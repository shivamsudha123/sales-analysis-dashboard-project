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slicers/slicer4.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slicers/slicer5.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xml" ContentType="application/vnd.openxmlformats-officedocument.drawing+xml"/>
  <Override PartName="/xl/slicers/slicer6.xml" ContentType="application/vnd.ms-excel.slicer+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hivam Sudha\Desktop\sales-analysis-dashboard-project\Dashboard\"/>
    </mc:Choice>
  </mc:AlternateContent>
  <xr:revisionPtr revIDLastSave="0" documentId="13_ncr:1_{5DCB5AD2-DEF2-41DD-ABA7-0032688B6E62}" xr6:coauthVersionLast="47" xr6:coauthVersionMax="47" xr10:uidLastSave="{00000000-0000-0000-0000-000000000000}"/>
  <bookViews>
    <workbookView xWindow="12" yWindow="12" windowWidth="23016" windowHeight="12216" tabRatio="784" activeTab="6" xr2:uid="{8309230E-2490-4402-A5D6-A3F058C90DE5}"/>
  </bookViews>
  <sheets>
    <sheet name="data" sheetId="1" r:id="rId1"/>
    <sheet name="pivot table" sheetId="6" r:id="rId2"/>
    <sheet name="Overview" sheetId="8" r:id="rId3"/>
    <sheet name="Product Performance" sheetId="9" r:id="rId4"/>
    <sheet name="Store Analysis" sheetId="11" r:id="rId5"/>
    <sheet name="Sales Team Performance" sheetId="3" r:id="rId6"/>
    <sheet name="Customer Analysis" sheetId="10" r:id="rId7"/>
  </sheets>
  <definedNames>
    <definedName name="Slicer_Month1">#N/A</definedName>
    <definedName name="Slicer_Product_Category">#N/A</definedName>
    <definedName name="Slicer_Product_Name">#N/A</definedName>
    <definedName name="Slicer_Sales_Representative">#N/A</definedName>
    <definedName name="Slicer_Store_Location">#N/A</definedName>
  </definedNames>
  <calcPr calcId="191028"/>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6" l="1"/>
  <c r="C12" i="6"/>
  <c r="C15" i="6"/>
  <c r="C4" i="6"/>
</calcChain>
</file>

<file path=xl/sharedStrings.xml><?xml version="1.0" encoding="utf-8"?>
<sst xmlns="http://schemas.openxmlformats.org/spreadsheetml/2006/main" count="28178" uniqueCount="4102">
  <si>
    <t>Transaction_ID</t>
  </si>
  <si>
    <t>Customer_Name</t>
  </si>
  <si>
    <t>Product_Category</t>
  </si>
  <si>
    <t>Product_Name</t>
  </si>
  <si>
    <t>Store_Location</t>
  </si>
  <si>
    <t>Date</t>
  </si>
  <si>
    <t>Units_Sold</t>
  </si>
  <si>
    <t>Unit_Price</t>
  </si>
  <si>
    <t>Discount_%</t>
  </si>
  <si>
    <t>Sales_Representative</t>
  </si>
  <si>
    <t>Discount_Amount</t>
  </si>
  <si>
    <t>Gross_Sale</t>
  </si>
  <si>
    <t>Total_Sales</t>
  </si>
  <si>
    <t>Month</t>
  </si>
  <si>
    <t>Year</t>
  </si>
  <si>
    <t>TXN00001</t>
  </si>
  <si>
    <t>Pooja Malhotra</t>
  </si>
  <si>
    <t>Electronics</t>
  </si>
  <si>
    <t>Laptop</t>
  </si>
  <si>
    <t>Bangalore</t>
  </si>
  <si>
    <t>Sonal</t>
  </si>
  <si>
    <t>August</t>
  </si>
  <si>
    <t>TXN00002</t>
  </si>
  <si>
    <t>Vikram Joshi</t>
  </si>
  <si>
    <t>Headphones</t>
  </si>
  <si>
    <t>Delhi</t>
  </si>
  <si>
    <t>Amit</t>
  </si>
  <si>
    <t>April</t>
  </si>
  <si>
    <t>TXN00003</t>
  </si>
  <si>
    <t>Neha Gupta</t>
  </si>
  <si>
    <t>Chennai</t>
  </si>
  <si>
    <t>Varun</t>
  </si>
  <si>
    <t>TXN00004</t>
  </si>
  <si>
    <t>Sneha Kapoor</t>
  </si>
  <si>
    <t>Furniture</t>
  </si>
  <si>
    <t>Dining Table</t>
  </si>
  <si>
    <t>Karan</t>
  </si>
  <si>
    <t>TXN00005</t>
  </si>
  <si>
    <t>Simran Kaur</t>
  </si>
  <si>
    <t>Tablet</t>
  </si>
  <si>
    <t>Deepak</t>
  </si>
  <si>
    <t>February</t>
  </si>
  <si>
    <t>TXN00006</t>
  </si>
  <si>
    <t>Arjun Mehta</t>
  </si>
  <si>
    <t>Kolkata</t>
  </si>
  <si>
    <t>Nidhi</t>
  </si>
  <si>
    <t>TXN00007</t>
  </si>
  <si>
    <t>Priya Verma</t>
  </si>
  <si>
    <t>Bookshelf</t>
  </si>
  <si>
    <t>TXN00008</t>
  </si>
  <si>
    <t>Mumbai</t>
  </si>
  <si>
    <t>December</t>
  </si>
  <si>
    <t>TXN00009</t>
  </si>
  <si>
    <t>Rahul Singh</t>
  </si>
  <si>
    <t>Sports</t>
  </si>
  <si>
    <t>Football</t>
  </si>
  <si>
    <t>Hyderabad</t>
  </si>
  <si>
    <t>October</t>
  </si>
  <si>
    <t>TXN00010</t>
  </si>
  <si>
    <t>Smartphone</t>
  </si>
  <si>
    <t>TXN00011</t>
  </si>
  <si>
    <t>Aditya Roy</t>
  </si>
  <si>
    <t>Clothing</t>
  </si>
  <si>
    <t>Jeans</t>
  </si>
  <si>
    <t>TXN00012</t>
  </si>
  <si>
    <t>Rohan Patel</t>
  </si>
  <si>
    <t>Sofa</t>
  </si>
  <si>
    <t>TXN00013</t>
  </si>
  <si>
    <t>Dumbbells</t>
  </si>
  <si>
    <t>TXN00014</t>
  </si>
  <si>
    <t>Cricket Bat</t>
  </si>
  <si>
    <t>Meena</t>
  </si>
  <si>
    <t>June</t>
  </si>
  <si>
    <t>TXN00015</t>
  </si>
  <si>
    <t>Manish Kumar</t>
  </si>
  <si>
    <t>TXN00016</t>
  </si>
  <si>
    <t>TXN00017</t>
  </si>
  <si>
    <t>Tennis Racket</t>
  </si>
  <si>
    <t>TXN00018</t>
  </si>
  <si>
    <t>TXN00019</t>
  </si>
  <si>
    <t>Office Chair</t>
  </si>
  <si>
    <t>Pune</t>
  </si>
  <si>
    <t>Riya</t>
  </si>
  <si>
    <t>March</t>
  </si>
  <si>
    <t>TXN00020</t>
  </si>
  <si>
    <t>Desk</t>
  </si>
  <si>
    <t>September</t>
  </si>
  <si>
    <t>TXN00021</t>
  </si>
  <si>
    <t>TXN00022</t>
  </si>
  <si>
    <t>Ananya Das</t>
  </si>
  <si>
    <t>Home Appliances</t>
  </si>
  <si>
    <t>Iron</t>
  </si>
  <si>
    <t>TXN00023</t>
  </si>
  <si>
    <t>Kavya Nair</t>
  </si>
  <si>
    <t>TXN00024</t>
  </si>
  <si>
    <t>T-Shirt</t>
  </si>
  <si>
    <t>November</t>
  </si>
  <si>
    <t>TXN00025</t>
  </si>
  <si>
    <t>TXN00026</t>
  </si>
  <si>
    <t>Kurta</t>
  </si>
  <si>
    <t>TXN00027</t>
  </si>
  <si>
    <t>May</t>
  </si>
  <si>
    <t>TXN00028</t>
  </si>
  <si>
    <t>TXN00029</t>
  </si>
  <si>
    <t>TXN00030</t>
  </si>
  <si>
    <t>Mixer</t>
  </si>
  <si>
    <t>TXN00031</t>
  </si>
  <si>
    <t>Microwave</t>
  </si>
  <si>
    <t>TXN00032</t>
  </si>
  <si>
    <t>Aarav Sharma</t>
  </si>
  <si>
    <t>TXN00033</t>
  </si>
  <si>
    <t>TXN00034</t>
  </si>
  <si>
    <t>TXN00035</t>
  </si>
  <si>
    <t>TXN00036</t>
  </si>
  <si>
    <t>Yash Jain</t>
  </si>
  <si>
    <t>Air Fryer</t>
  </si>
  <si>
    <t>January</t>
  </si>
  <si>
    <t>TXN00037</t>
  </si>
  <si>
    <t>TXN00038</t>
  </si>
  <si>
    <t>Jacket</t>
  </si>
  <si>
    <t>TXN00039</t>
  </si>
  <si>
    <t>TXN00040</t>
  </si>
  <si>
    <t>July</t>
  </si>
  <si>
    <t>TXN00041</t>
  </si>
  <si>
    <t>TXN00042</t>
  </si>
  <si>
    <t>TXN00043</t>
  </si>
  <si>
    <t>TXN00044</t>
  </si>
  <si>
    <t>TXN00045</t>
  </si>
  <si>
    <t>TXN00046</t>
  </si>
  <si>
    <t>TXN00047</t>
  </si>
  <si>
    <t>TXN00048</t>
  </si>
  <si>
    <t>TXN00049</t>
  </si>
  <si>
    <t>Shoes</t>
  </si>
  <si>
    <t>TXN00050</t>
  </si>
  <si>
    <t>TXN00051</t>
  </si>
  <si>
    <t>TXN00052</t>
  </si>
  <si>
    <t>TXN00053</t>
  </si>
  <si>
    <t>Yoga Mat</t>
  </si>
  <si>
    <t>TXN00054</t>
  </si>
  <si>
    <t>TXN00055</t>
  </si>
  <si>
    <t>TXN00056</t>
  </si>
  <si>
    <t>TXN00057</t>
  </si>
  <si>
    <t>TXN00058</t>
  </si>
  <si>
    <t>TXN00059</t>
  </si>
  <si>
    <t>TXN00060</t>
  </si>
  <si>
    <t>TXN00061</t>
  </si>
  <si>
    <t>TXN00062</t>
  </si>
  <si>
    <t>TXN00063</t>
  </si>
  <si>
    <t>TXN00064</t>
  </si>
  <si>
    <t>TXN00065</t>
  </si>
  <si>
    <t>TXN00066</t>
  </si>
  <si>
    <t>TXN00067</t>
  </si>
  <si>
    <t>Vacuum Cleaner</t>
  </si>
  <si>
    <t>TXN00068</t>
  </si>
  <si>
    <t>TXN00069</t>
  </si>
  <si>
    <t>TXN00070</t>
  </si>
  <si>
    <t>TXN00071</t>
  </si>
  <si>
    <t>Smartwatch</t>
  </si>
  <si>
    <t>TXN00072</t>
  </si>
  <si>
    <t>TXN00073</t>
  </si>
  <si>
    <t>TXN00074</t>
  </si>
  <si>
    <t>TXN00075</t>
  </si>
  <si>
    <t>TXN00076</t>
  </si>
  <si>
    <t>TXN00077</t>
  </si>
  <si>
    <t>TXN00078</t>
  </si>
  <si>
    <t>TXN00079</t>
  </si>
  <si>
    <t>TXN00080</t>
  </si>
  <si>
    <t>TXN00081</t>
  </si>
  <si>
    <t>TXN00082</t>
  </si>
  <si>
    <t>TXN00083</t>
  </si>
  <si>
    <t>TXN00084</t>
  </si>
  <si>
    <t>TXN00085</t>
  </si>
  <si>
    <t>TXN00086</t>
  </si>
  <si>
    <t>TXN00087</t>
  </si>
  <si>
    <t>TXN00088</t>
  </si>
  <si>
    <t>TXN00089</t>
  </si>
  <si>
    <t>TXN00090</t>
  </si>
  <si>
    <t>TXN00091</t>
  </si>
  <si>
    <t>TXN00092</t>
  </si>
  <si>
    <t>TXN00093</t>
  </si>
  <si>
    <t>TXN00094</t>
  </si>
  <si>
    <t>TXN00095</t>
  </si>
  <si>
    <t>TXN00096</t>
  </si>
  <si>
    <t>TXN00097</t>
  </si>
  <si>
    <t>TXN00098</t>
  </si>
  <si>
    <t>TXN00099</t>
  </si>
  <si>
    <t>TXN00100</t>
  </si>
  <si>
    <t>TXN00101</t>
  </si>
  <si>
    <t>TXN00102</t>
  </si>
  <si>
    <t>TXN00103</t>
  </si>
  <si>
    <t>TXN00104</t>
  </si>
  <si>
    <t>TXN00105</t>
  </si>
  <si>
    <t>TXN00106</t>
  </si>
  <si>
    <t>TXN00107</t>
  </si>
  <si>
    <t>TXN00108</t>
  </si>
  <si>
    <t>TXN00109</t>
  </si>
  <si>
    <t>TXN00110</t>
  </si>
  <si>
    <t>TXN00111</t>
  </si>
  <si>
    <t>TXN00112</t>
  </si>
  <si>
    <t>TXN00113</t>
  </si>
  <si>
    <t>TXN00114</t>
  </si>
  <si>
    <t>TXN00115</t>
  </si>
  <si>
    <t>TXN00116</t>
  </si>
  <si>
    <t>TXN00117</t>
  </si>
  <si>
    <t>TXN00118</t>
  </si>
  <si>
    <t>TXN00119</t>
  </si>
  <si>
    <t>TXN00120</t>
  </si>
  <si>
    <t>TXN00121</t>
  </si>
  <si>
    <t>TXN00122</t>
  </si>
  <si>
    <t>TXN00123</t>
  </si>
  <si>
    <t>TXN00124</t>
  </si>
  <si>
    <t>TXN00125</t>
  </si>
  <si>
    <t>TXN00126</t>
  </si>
  <si>
    <t>TXN00127</t>
  </si>
  <si>
    <t>TXN00128</t>
  </si>
  <si>
    <t>TXN00129</t>
  </si>
  <si>
    <t>TXN00130</t>
  </si>
  <si>
    <t>TXN00131</t>
  </si>
  <si>
    <t>TXN00132</t>
  </si>
  <si>
    <t>TXN00133</t>
  </si>
  <si>
    <t>TXN00134</t>
  </si>
  <si>
    <t>TXN00135</t>
  </si>
  <si>
    <t>TXN00136</t>
  </si>
  <si>
    <t>TXN00137</t>
  </si>
  <si>
    <t>TXN00138</t>
  </si>
  <si>
    <t>TXN00139</t>
  </si>
  <si>
    <t>TXN00140</t>
  </si>
  <si>
    <t>TXN00141</t>
  </si>
  <si>
    <t>TXN00142</t>
  </si>
  <si>
    <t>TXN00143</t>
  </si>
  <si>
    <t>TXN00144</t>
  </si>
  <si>
    <t>TXN00145</t>
  </si>
  <si>
    <t>TXN00146</t>
  </si>
  <si>
    <t>TXN00147</t>
  </si>
  <si>
    <t>TXN00148</t>
  </si>
  <si>
    <t>TXN00149</t>
  </si>
  <si>
    <t>TXN00150</t>
  </si>
  <si>
    <t>TXN00151</t>
  </si>
  <si>
    <t>TXN00152</t>
  </si>
  <si>
    <t>TXN00153</t>
  </si>
  <si>
    <t>TXN00154</t>
  </si>
  <si>
    <t>TXN00155</t>
  </si>
  <si>
    <t>TXN00156</t>
  </si>
  <si>
    <t>TXN00157</t>
  </si>
  <si>
    <t>TXN00158</t>
  </si>
  <si>
    <t>TXN00159</t>
  </si>
  <si>
    <t>TXN00160</t>
  </si>
  <si>
    <t>TXN00161</t>
  </si>
  <si>
    <t>TXN00162</t>
  </si>
  <si>
    <t>TXN00163</t>
  </si>
  <si>
    <t>TXN00164</t>
  </si>
  <si>
    <t>TXN00165</t>
  </si>
  <si>
    <t>TXN00166</t>
  </si>
  <si>
    <t>TXN00167</t>
  </si>
  <si>
    <t>TXN00168</t>
  </si>
  <si>
    <t>TXN00169</t>
  </si>
  <si>
    <t>TXN00170</t>
  </si>
  <si>
    <t>TXN00171</t>
  </si>
  <si>
    <t>TXN00172</t>
  </si>
  <si>
    <t>TXN00173</t>
  </si>
  <si>
    <t>TXN00174</t>
  </si>
  <si>
    <t>TXN00175</t>
  </si>
  <si>
    <t>TXN00176</t>
  </si>
  <si>
    <t>TXN00177</t>
  </si>
  <si>
    <t>TXN00178</t>
  </si>
  <si>
    <t>TXN00179</t>
  </si>
  <si>
    <t>TXN00180</t>
  </si>
  <si>
    <t>TXN00181</t>
  </si>
  <si>
    <t>TXN00182</t>
  </si>
  <si>
    <t>TXN00183</t>
  </si>
  <si>
    <t>TXN00184</t>
  </si>
  <si>
    <t>TXN00185</t>
  </si>
  <si>
    <t>TXN00186</t>
  </si>
  <si>
    <t>TXN00187</t>
  </si>
  <si>
    <t>TXN00188</t>
  </si>
  <si>
    <t>TXN00189</t>
  </si>
  <si>
    <t>TXN00190</t>
  </si>
  <si>
    <t>TXN00191</t>
  </si>
  <si>
    <t>TXN00192</t>
  </si>
  <si>
    <t>TXN00193</t>
  </si>
  <si>
    <t>TXN00194</t>
  </si>
  <si>
    <t>TXN00195</t>
  </si>
  <si>
    <t>TXN00196</t>
  </si>
  <si>
    <t>TXN00197</t>
  </si>
  <si>
    <t>TXN00198</t>
  </si>
  <si>
    <t>TXN00199</t>
  </si>
  <si>
    <t>TXN00200</t>
  </si>
  <si>
    <t>TXN00201</t>
  </si>
  <si>
    <t>TXN00202</t>
  </si>
  <si>
    <t>TXN00203</t>
  </si>
  <si>
    <t>TXN00204</t>
  </si>
  <si>
    <t>TXN00205</t>
  </si>
  <si>
    <t>TXN00206</t>
  </si>
  <si>
    <t>TXN00207</t>
  </si>
  <si>
    <t>TXN00208</t>
  </si>
  <si>
    <t>TXN00209</t>
  </si>
  <si>
    <t>TXN00210</t>
  </si>
  <si>
    <t>TXN00211</t>
  </si>
  <si>
    <t>TXN00212</t>
  </si>
  <si>
    <t>TXN00213</t>
  </si>
  <si>
    <t>TXN00214</t>
  </si>
  <si>
    <t>TXN00215</t>
  </si>
  <si>
    <t>TXN00216</t>
  </si>
  <si>
    <t>TXN00217</t>
  </si>
  <si>
    <t>TXN00218</t>
  </si>
  <si>
    <t>TXN00219</t>
  </si>
  <si>
    <t>TXN00220</t>
  </si>
  <si>
    <t>TXN00221</t>
  </si>
  <si>
    <t>TXN00222</t>
  </si>
  <si>
    <t>TXN00223</t>
  </si>
  <si>
    <t>TXN00224</t>
  </si>
  <si>
    <t>TXN00225</t>
  </si>
  <si>
    <t>TXN00226</t>
  </si>
  <si>
    <t>TXN00227</t>
  </si>
  <si>
    <t>TXN00228</t>
  </si>
  <si>
    <t>TXN00229</t>
  </si>
  <si>
    <t>TXN00230</t>
  </si>
  <si>
    <t>TXN00231</t>
  </si>
  <si>
    <t>TXN00232</t>
  </si>
  <si>
    <t>TXN00233</t>
  </si>
  <si>
    <t>TXN00234</t>
  </si>
  <si>
    <t>TXN00235</t>
  </si>
  <si>
    <t>TXN00236</t>
  </si>
  <si>
    <t>TXN00237</t>
  </si>
  <si>
    <t>TXN00238</t>
  </si>
  <si>
    <t>TXN00239</t>
  </si>
  <si>
    <t>TXN00240</t>
  </si>
  <si>
    <t>TXN00241</t>
  </si>
  <si>
    <t>TXN00242</t>
  </si>
  <si>
    <t>TXN00243</t>
  </si>
  <si>
    <t>TXN00244</t>
  </si>
  <si>
    <t>TXN00245</t>
  </si>
  <si>
    <t>TXN00246</t>
  </si>
  <si>
    <t>TXN00247</t>
  </si>
  <si>
    <t>TXN00248</t>
  </si>
  <si>
    <t>TXN00249</t>
  </si>
  <si>
    <t>TXN00250</t>
  </si>
  <si>
    <t>TXN00251</t>
  </si>
  <si>
    <t>TXN00252</t>
  </si>
  <si>
    <t>TXN00253</t>
  </si>
  <si>
    <t>TXN00254</t>
  </si>
  <si>
    <t>TXN00255</t>
  </si>
  <si>
    <t>TXN00256</t>
  </si>
  <si>
    <t>TXN00257</t>
  </si>
  <si>
    <t>TXN00258</t>
  </si>
  <si>
    <t>TXN00259</t>
  </si>
  <si>
    <t>TXN00260</t>
  </si>
  <si>
    <t>TXN00261</t>
  </si>
  <si>
    <t>TXN00262</t>
  </si>
  <si>
    <t>TXN00263</t>
  </si>
  <si>
    <t>TXN00264</t>
  </si>
  <si>
    <t>TXN00265</t>
  </si>
  <si>
    <t>TXN00266</t>
  </si>
  <si>
    <t>TXN00267</t>
  </si>
  <si>
    <t>TXN00268</t>
  </si>
  <si>
    <t>TXN00269</t>
  </si>
  <si>
    <t>TXN00270</t>
  </si>
  <si>
    <t>TXN00271</t>
  </si>
  <si>
    <t>TXN00272</t>
  </si>
  <si>
    <t>TXN00273</t>
  </si>
  <si>
    <t>TXN00274</t>
  </si>
  <si>
    <t>TXN00275</t>
  </si>
  <si>
    <t>TXN00276</t>
  </si>
  <si>
    <t>TXN00277</t>
  </si>
  <si>
    <t>TXN00278</t>
  </si>
  <si>
    <t>TXN00279</t>
  </si>
  <si>
    <t>TXN00280</t>
  </si>
  <si>
    <t>TXN00281</t>
  </si>
  <si>
    <t>TXN00282</t>
  </si>
  <si>
    <t>TXN00283</t>
  </si>
  <si>
    <t>TXN00284</t>
  </si>
  <si>
    <t>TXN00285</t>
  </si>
  <si>
    <t>TXN00286</t>
  </si>
  <si>
    <t>TXN00287</t>
  </si>
  <si>
    <t>TXN00288</t>
  </si>
  <si>
    <t>TXN00289</t>
  </si>
  <si>
    <t>TXN00290</t>
  </si>
  <si>
    <t>TXN00291</t>
  </si>
  <si>
    <t>TXN00292</t>
  </si>
  <si>
    <t>TXN00293</t>
  </si>
  <si>
    <t>TXN00294</t>
  </si>
  <si>
    <t>TXN00295</t>
  </si>
  <si>
    <t>TXN00296</t>
  </si>
  <si>
    <t>TXN00297</t>
  </si>
  <si>
    <t>TXN00298</t>
  </si>
  <si>
    <t>TXN00299</t>
  </si>
  <si>
    <t>TXN00300</t>
  </si>
  <si>
    <t>TXN00301</t>
  </si>
  <si>
    <t>TXN00302</t>
  </si>
  <si>
    <t>TXN00303</t>
  </si>
  <si>
    <t>TXN00304</t>
  </si>
  <si>
    <t>TXN00305</t>
  </si>
  <si>
    <t>TXN00306</t>
  </si>
  <si>
    <t>TXN00307</t>
  </si>
  <si>
    <t>TXN00308</t>
  </si>
  <si>
    <t>TXN00309</t>
  </si>
  <si>
    <t>TXN00310</t>
  </si>
  <si>
    <t>TXN00311</t>
  </si>
  <si>
    <t>TXN00312</t>
  </si>
  <si>
    <t>TXN00313</t>
  </si>
  <si>
    <t>TXN00314</t>
  </si>
  <si>
    <t>TXN00315</t>
  </si>
  <si>
    <t>TXN00316</t>
  </si>
  <si>
    <t>TXN00317</t>
  </si>
  <si>
    <t>TXN00318</t>
  </si>
  <si>
    <t>TXN00319</t>
  </si>
  <si>
    <t>TXN00320</t>
  </si>
  <si>
    <t>TXN00321</t>
  </si>
  <si>
    <t>TXN00322</t>
  </si>
  <si>
    <t>TXN00323</t>
  </si>
  <si>
    <t>TXN00324</t>
  </si>
  <si>
    <t>TXN00325</t>
  </si>
  <si>
    <t>TXN00326</t>
  </si>
  <si>
    <t>TXN00327</t>
  </si>
  <si>
    <t>TXN00328</t>
  </si>
  <si>
    <t>TXN00329</t>
  </si>
  <si>
    <t>TXN00330</t>
  </si>
  <si>
    <t>TXN00331</t>
  </si>
  <si>
    <t>TXN00332</t>
  </si>
  <si>
    <t>TXN00333</t>
  </si>
  <si>
    <t>TXN00334</t>
  </si>
  <si>
    <t>TXN00335</t>
  </si>
  <si>
    <t>TXN00336</t>
  </si>
  <si>
    <t>TXN00337</t>
  </si>
  <si>
    <t>TXN00338</t>
  </si>
  <si>
    <t>TXN00339</t>
  </si>
  <si>
    <t>TXN00340</t>
  </si>
  <si>
    <t>TXN00341</t>
  </si>
  <si>
    <t>TXN00342</t>
  </si>
  <si>
    <t>TXN00343</t>
  </si>
  <si>
    <t>TXN00344</t>
  </si>
  <si>
    <t>TXN00345</t>
  </si>
  <si>
    <t>TXN00346</t>
  </si>
  <si>
    <t>TXN00347</t>
  </si>
  <si>
    <t>TXN00348</t>
  </si>
  <si>
    <t>TXN00349</t>
  </si>
  <si>
    <t>TXN00350</t>
  </si>
  <si>
    <t>TXN00351</t>
  </si>
  <si>
    <t>TXN00352</t>
  </si>
  <si>
    <t>TXN00353</t>
  </si>
  <si>
    <t>TXN00354</t>
  </si>
  <si>
    <t>TXN00355</t>
  </si>
  <si>
    <t>TXN00356</t>
  </si>
  <si>
    <t>TXN00357</t>
  </si>
  <si>
    <t>TXN00358</t>
  </si>
  <si>
    <t>TXN00359</t>
  </si>
  <si>
    <t>TXN00360</t>
  </si>
  <si>
    <t>TXN00361</t>
  </si>
  <si>
    <t>TXN00362</t>
  </si>
  <si>
    <t>TXN00363</t>
  </si>
  <si>
    <t>TXN00364</t>
  </si>
  <si>
    <t>TXN00365</t>
  </si>
  <si>
    <t>TXN00366</t>
  </si>
  <si>
    <t>TXN00367</t>
  </si>
  <si>
    <t>TXN00368</t>
  </si>
  <si>
    <t>TXN00369</t>
  </si>
  <si>
    <t>TXN00370</t>
  </si>
  <si>
    <t>TXN00371</t>
  </si>
  <si>
    <t>TXN00372</t>
  </si>
  <si>
    <t>TXN00373</t>
  </si>
  <si>
    <t>TXN00374</t>
  </si>
  <si>
    <t>TXN00375</t>
  </si>
  <si>
    <t>TXN00376</t>
  </si>
  <si>
    <t>TXN00377</t>
  </si>
  <si>
    <t>TXN00378</t>
  </si>
  <si>
    <t>TXN00379</t>
  </si>
  <si>
    <t>TXN00380</t>
  </si>
  <si>
    <t>TXN00381</t>
  </si>
  <si>
    <t>TXN00382</t>
  </si>
  <si>
    <t>TXN00383</t>
  </si>
  <si>
    <t>TXN00384</t>
  </si>
  <si>
    <t>TXN00385</t>
  </si>
  <si>
    <t>TXN00386</t>
  </si>
  <si>
    <t>TXN00387</t>
  </si>
  <si>
    <t>TXN00388</t>
  </si>
  <si>
    <t>TXN00389</t>
  </si>
  <si>
    <t>TXN00390</t>
  </si>
  <si>
    <t>TXN00391</t>
  </si>
  <si>
    <t>TXN00392</t>
  </si>
  <si>
    <t>TXN00393</t>
  </si>
  <si>
    <t>TXN00394</t>
  </si>
  <si>
    <t>TXN00395</t>
  </si>
  <si>
    <t>TXN00396</t>
  </si>
  <si>
    <t>TXN00397</t>
  </si>
  <si>
    <t>TXN00398</t>
  </si>
  <si>
    <t>TXN00399</t>
  </si>
  <si>
    <t>TXN00400</t>
  </si>
  <si>
    <t>TXN00401</t>
  </si>
  <si>
    <t>TXN00402</t>
  </si>
  <si>
    <t>TXN00403</t>
  </si>
  <si>
    <t>TXN00404</t>
  </si>
  <si>
    <t>TXN00405</t>
  </si>
  <si>
    <t>TXN00406</t>
  </si>
  <si>
    <t>TXN00407</t>
  </si>
  <si>
    <t>TXN00408</t>
  </si>
  <si>
    <t>TXN00409</t>
  </si>
  <si>
    <t>TXN00410</t>
  </si>
  <si>
    <t>TXN00411</t>
  </si>
  <si>
    <t>TXN00412</t>
  </si>
  <si>
    <t>TXN00413</t>
  </si>
  <si>
    <t>TXN00414</t>
  </si>
  <si>
    <t>TXN00415</t>
  </si>
  <si>
    <t>TXN00416</t>
  </si>
  <si>
    <t>TXN00417</t>
  </si>
  <si>
    <t>TXN00418</t>
  </si>
  <si>
    <t>TXN00419</t>
  </si>
  <si>
    <t>TXN00420</t>
  </si>
  <si>
    <t>TXN00421</t>
  </si>
  <si>
    <t>TXN00422</t>
  </si>
  <si>
    <t>TXN00423</t>
  </si>
  <si>
    <t>TXN00424</t>
  </si>
  <si>
    <t>TXN00425</t>
  </si>
  <si>
    <t>TXN00426</t>
  </si>
  <si>
    <t>TXN00427</t>
  </si>
  <si>
    <t>TXN00428</t>
  </si>
  <si>
    <t>TXN00429</t>
  </si>
  <si>
    <t>TXN00430</t>
  </si>
  <si>
    <t>TXN00431</t>
  </si>
  <si>
    <t>TXN00432</t>
  </si>
  <si>
    <t>TXN00433</t>
  </si>
  <si>
    <t>TXN00434</t>
  </si>
  <si>
    <t>TXN00435</t>
  </si>
  <si>
    <t>TXN00436</t>
  </si>
  <si>
    <t>TXN00437</t>
  </si>
  <si>
    <t>TXN00438</t>
  </si>
  <si>
    <t>TXN00439</t>
  </si>
  <si>
    <t>TXN00440</t>
  </si>
  <si>
    <t>TXN00441</t>
  </si>
  <si>
    <t>TXN00442</t>
  </si>
  <si>
    <t>TXN00443</t>
  </si>
  <si>
    <t>TXN00444</t>
  </si>
  <si>
    <t>TXN00445</t>
  </si>
  <si>
    <t>TXN00446</t>
  </si>
  <si>
    <t>TXN00447</t>
  </si>
  <si>
    <t>TXN00448</t>
  </si>
  <si>
    <t>TXN00449</t>
  </si>
  <si>
    <t>TXN00450</t>
  </si>
  <si>
    <t>TXN00451</t>
  </si>
  <si>
    <t>TXN00452</t>
  </si>
  <si>
    <t>TXN00453</t>
  </si>
  <si>
    <t>TXN00454</t>
  </si>
  <si>
    <t>TXN00455</t>
  </si>
  <si>
    <t>TXN00456</t>
  </si>
  <si>
    <t>TXN00457</t>
  </si>
  <si>
    <t>TXN00458</t>
  </si>
  <si>
    <t>TXN00459</t>
  </si>
  <si>
    <t>TXN00460</t>
  </si>
  <si>
    <t>TXN00461</t>
  </si>
  <si>
    <t>TXN00462</t>
  </si>
  <si>
    <t>TXN00463</t>
  </si>
  <si>
    <t>TXN00464</t>
  </si>
  <si>
    <t>TXN00465</t>
  </si>
  <si>
    <t>TXN00466</t>
  </si>
  <si>
    <t>TXN00467</t>
  </si>
  <si>
    <t>TXN00468</t>
  </si>
  <si>
    <t>TXN00469</t>
  </si>
  <si>
    <t>TXN00470</t>
  </si>
  <si>
    <t>TXN00471</t>
  </si>
  <si>
    <t>TXN00472</t>
  </si>
  <si>
    <t>TXN00473</t>
  </si>
  <si>
    <t>TXN00474</t>
  </si>
  <si>
    <t>TXN00475</t>
  </si>
  <si>
    <t>TXN00476</t>
  </si>
  <si>
    <t>TXN00477</t>
  </si>
  <si>
    <t>TXN00478</t>
  </si>
  <si>
    <t>TXN00479</t>
  </si>
  <si>
    <t>TXN00480</t>
  </si>
  <si>
    <t>TXN00481</t>
  </si>
  <si>
    <t>TXN00482</t>
  </si>
  <si>
    <t>TXN00483</t>
  </si>
  <si>
    <t>TXN00484</t>
  </si>
  <si>
    <t>TXN00485</t>
  </si>
  <si>
    <t>TXN00486</t>
  </si>
  <si>
    <t>TXN00487</t>
  </si>
  <si>
    <t>TXN00488</t>
  </si>
  <si>
    <t>TXN00489</t>
  </si>
  <si>
    <t>TXN00490</t>
  </si>
  <si>
    <t>TXN00491</t>
  </si>
  <si>
    <t>TXN00492</t>
  </si>
  <si>
    <t>TXN00493</t>
  </si>
  <si>
    <t>TXN00494</t>
  </si>
  <si>
    <t>TXN00495</t>
  </si>
  <si>
    <t>TXN00496</t>
  </si>
  <si>
    <t>TXN00497</t>
  </si>
  <si>
    <t>TXN00498</t>
  </si>
  <si>
    <t>TXN00499</t>
  </si>
  <si>
    <t>TXN00500</t>
  </si>
  <si>
    <t>TXN00501</t>
  </si>
  <si>
    <t>TXN00502</t>
  </si>
  <si>
    <t>TXN00503</t>
  </si>
  <si>
    <t>TXN00504</t>
  </si>
  <si>
    <t>TXN00505</t>
  </si>
  <si>
    <t>TXN00506</t>
  </si>
  <si>
    <t>TXN00507</t>
  </si>
  <si>
    <t>TXN00508</t>
  </si>
  <si>
    <t>TXN00509</t>
  </si>
  <si>
    <t>TXN00510</t>
  </si>
  <si>
    <t>TXN00511</t>
  </si>
  <si>
    <t>TXN00512</t>
  </si>
  <si>
    <t>TXN00513</t>
  </si>
  <si>
    <t>TXN00514</t>
  </si>
  <si>
    <t>TXN00515</t>
  </si>
  <si>
    <t>TXN00516</t>
  </si>
  <si>
    <t>TXN00517</t>
  </si>
  <si>
    <t>TXN00518</t>
  </si>
  <si>
    <t>TXN00519</t>
  </si>
  <si>
    <t>TXN00520</t>
  </si>
  <si>
    <t>TXN00521</t>
  </si>
  <si>
    <t>TXN00522</t>
  </si>
  <si>
    <t>TXN00523</t>
  </si>
  <si>
    <t>TXN00524</t>
  </si>
  <si>
    <t>TXN00525</t>
  </si>
  <si>
    <t>TXN00526</t>
  </si>
  <si>
    <t>TXN00527</t>
  </si>
  <si>
    <t>TXN00528</t>
  </si>
  <si>
    <t>TXN00529</t>
  </si>
  <si>
    <t>TXN00530</t>
  </si>
  <si>
    <t>TXN00531</t>
  </si>
  <si>
    <t>TXN00532</t>
  </si>
  <si>
    <t>TXN00533</t>
  </si>
  <si>
    <t>TXN00534</t>
  </si>
  <si>
    <t>TXN00535</t>
  </si>
  <si>
    <t>TXN00536</t>
  </si>
  <si>
    <t>TXN00537</t>
  </si>
  <si>
    <t>TXN00538</t>
  </si>
  <si>
    <t>TXN00539</t>
  </si>
  <si>
    <t>TXN00540</t>
  </si>
  <si>
    <t>TXN00541</t>
  </si>
  <si>
    <t>TXN00542</t>
  </si>
  <si>
    <t>TXN00543</t>
  </si>
  <si>
    <t>TXN00544</t>
  </si>
  <si>
    <t>TXN00545</t>
  </si>
  <si>
    <t>TXN00546</t>
  </si>
  <si>
    <t>TXN00547</t>
  </si>
  <si>
    <t>TXN00548</t>
  </si>
  <si>
    <t>TXN00549</t>
  </si>
  <si>
    <t>TXN00550</t>
  </si>
  <si>
    <t>TXN00551</t>
  </si>
  <si>
    <t>TXN00552</t>
  </si>
  <si>
    <t>TXN00553</t>
  </si>
  <si>
    <t>TXN00554</t>
  </si>
  <si>
    <t>TXN00555</t>
  </si>
  <si>
    <t>TXN00556</t>
  </si>
  <si>
    <t>TXN00557</t>
  </si>
  <si>
    <t>TXN00558</t>
  </si>
  <si>
    <t>TXN00559</t>
  </si>
  <si>
    <t>TXN00560</t>
  </si>
  <si>
    <t>TXN00561</t>
  </si>
  <si>
    <t>TXN00562</t>
  </si>
  <si>
    <t>TXN00563</t>
  </si>
  <si>
    <t>TXN00564</t>
  </si>
  <si>
    <t>TXN00565</t>
  </si>
  <si>
    <t>TXN00566</t>
  </si>
  <si>
    <t>TXN00567</t>
  </si>
  <si>
    <t>TXN00568</t>
  </si>
  <si>
    <t>TXN00569</t>
  </si>
  <si>
    <t>TXN00570</t>
  </si>
  <si>
    <t>TXN00571</t>
  </si>
  <si>
    <t>TXN00572</t>
  </si>
  <si>
    <t>TXN00573</t>
  </si>
  <si>
    <t>TXN00574</t>
  </si>
  <si>
    <t>TXN00575</t>
  </si>
  <si>
    <t>TXN00576</t>
  </si>
  <si>
    <t>TXN00577</t>
  </si>
  <si>
    <t>TXN00578</t>
  </si>
  <si>
    <t>TXN00579</t>
  </si>
  <si>
    <t>TXN00580</t>
  </si>
  <si>
    <t>TXN00581</t>
  </si>
  <si>
    <t>TXN00582</t>
  </si>
  <si>
    <t>TXN00583</t>
  </si>
  <si>
    <t>TXN00584</t>
  </si>
  <si>
    <t>TXN00585</t>
  </si>
  <si>
    <t>TXN00586</t>
  </si>
  <si>
    <t>TXN00587</t>
  </si>
  <si>
    <t>TXN00588</t>
  </si>
  <si>
    <t>TXN00589</t>
  </si>
  <si>
    <t>TXN00590</t>
  </si>
  <si>
    <t>TXN00591</t>
  </si>
  <si>
    <t>TXN00592</t>
  </si>
  <si>
    <t>TXN00593</t>
  </si>
  <si>
    <t>TXN00594</t>
  </si>
  <si>
    <t>TXN00595</t>
  </si>
  <si>
    <t>TXN00596</t>
  </si>
  <si>
    <t>TXN00597</t>
  </si>
  <si>
    <t>TXN00598</t>
  </si>
  <si>
    <t>TXN00599</t>
  </si>
  <si>
    <t>TXN00600</t>
  </si>
  <si>
    <t>TXN00601</t>
  </si>
  <si>
    <t>TXN00602</t>
  </si>
  <si>
    <t>TXN00603</t>
  </si>
  <si>
    <t>TXN00604</t>
  </si>
  <si>
    <t>TXN00605</t>
  </si>
  <si>
    <t>TXN00606</t>
  </si>
  <si>
    <t>TXN00607</t>
  </si>
  <si>
    <t>TXN00608</t>
  </si>
  <si>
    <t>TXN00609</t>
  </si>
  <si>
    <t>TXN00610</t>
  </si>
  <si>
    <t>TXN00611</t>
  </si>
  <si>
    <t>TXN00612</t>
  </si>
  <si>
    <t>TXN00613</t>
  </si>
  <si>
    <t>TXN00614</t>
  </si>
  <si>
    <t>TXN00615</t>
  </si>
  <si>
    <t>TXN00616</t>
  </si>
  <si>
    <t>TXN00617</t>
  </si>
  <si>
    <t>TXN00618</t>
  </si>
  <si>
    <t>TXN00619</t>
  </si>
  <si>
    <t>TXN00620</t>
  </si>
  <si>
    <t>TXN00621</t>
  </si>
  <si>
    <t>TXN00622</t>
  </si>
  <si>
    <t>TXN00623</t>
  </si>
  <si>
    <t>TXN00624</t>
  </si>
  <si>
    <t>TXN00625</t>
  </si>
  <si>
    <t>TXN00626</t>
  </si>
  <si>
    <t>TXN00627</t>
  </si>
  <si>
    <t>TXN00628</t>
  </si>
  <si>
    <t>TXN00629</t>
  </si>
  <si>
    <t>TXN00630</t>
  </si>
  <si>
    <t>TXN00631</t>
  </si>
  <si>
    <t>TXN00632</t>
  </si>
  <si>
    <t>TXN00633</t>
  </si>
  <si>
    <t>TXN00634</t>
  </si>
  <si>
    <t>TXN00635</t>
  </si>
  <si>
    <t>TXN00636</t>
  </si>
  <si>
    <t>TXN00637</t>
  </si>
  <si>
    <t>TXN00638</t>
  </si>
  <si>
    <t>TXN00639</t>
  </si>
  <si>
    <t>TXN00640</t>
  </si>
  <si>
    <t>TXN00641</t>
  </si>
  <si>
    <t>TXN00642</t>
  </si>
  <si>
    <t>TXN00643</t>
  </si>
  <si>
    <t>TXN00644</t>
  </si>
  <si>
    <t>TXN00645</t>
  </si>
  <si>
    <t>TXN00646</t>
  </si>
  <si>
    <t>TXN00647</t>
  </si>
  <si>
    <t>TXN00648</t>
  </si>
  <si>
    <t>TXN00649</t>
  </si>
  <si>
    <t>TXN00650</t>
  </si>
  <si>
    <t>TXN00651</t>
  </si>
  <si>
    <t>TXN00652</t>
  </si>
  <si>
    <t>TXN00653</t>
  </si>
  <si>
    <t>TXN00654</t>
  </si>
  <si>
    <t>TXN00655</t>
  </si>
  <si>
    <t>TXN00656</t>
  </si>
  <si>
    <t>TXN00657</t>
  </si>
  <si>
    <t>TXN00658</t>
  </si>
  <si>
    <t>TXN00659</t>
  </si>
  <si>
    <t>TXN00660</t>
  </si>
  <si>
    <t>TXN00661</t>
  </si>
  <si>
    <t>TXN00662</t>
  </si>
  <si>
    <t>TXN00663</t>
  </si>
  <si>
    <t>TXN00664</t>
  </si>
  <si>
    <t>TXN00665</t>
  </si>
  <si>
    <t>TXN00666</t>
  </si>
  <si>
    <t>TXN00667</t>
  </si>
  <si>
    <t>TXN00668</t>
  </si>
  <si>
    <t>TXN00669</t>
  </si>
  <si>
    <t>TXN00670</t>
  </si>
  <si>
    <t>TXN00671</t>
  </si>
  <si>
    <t>TXN00672</t>
  </si>
  <si>
    <t>TXN00673</t>
  </si>
  <si>
    <t>TXN00674</t>
  </si>
  <si>
    <t>TXN00675</t>
  </si>
  <si>
    <t>TXN00676</t>
  </si>
  <si>
    <t>TXN00677</t>
  </si>
  <si>
    <t>TXN00678</t>
  </si>
  <si>
    <t>TXN00679</t>
  </si>
  <si>
    <t>TXN00680</t>
  </si>
  <si>
    <t>TXN00681</t>
  </si>
  <si>
    <t>TXN00682</t>
  </si>
  <si>
    <t>TXN00683</t>
  </si>
  <si>
    <t>TXN00684</t>
  </si>
  <si>
    <t>TXN00685</t>
  </si>
  <si>
    <t>TXN00686</t>
  </si>
  <si>
    <t>TXN00687</t>
  </si>
  <si>
    <t>TXN00688</t>
  </si>
  <si>
    <t>TXN00689</t>
  </si>
  <si>
    <t>TXN00690</t>
  </si>
  <si>
    <t>TXN00691</t>
  </si>
  <si>
    <t>TXN00692</t>
  </si>
  <si>
    <t>TXN00693</t>
  </si>
  <si>
    <t>TXN00694</t>
  </si>
  <si>
    <t>TXN00695</t>
  </si>
  <si>
    <t>TXN00696</t>
  </si>
  <si>
    <t>TXN00697</t>
  </si>
  <si>
    <t>TXN00698</t>
  </si>
  <si>
    <t>TXN00699</t>
  </si>
  <si>
    <t>TXN00700</t>
  </si>
  <si>
    <t>TXN00701</t>
  </si>
  <si>
    <t>TXN00702</t>
  </si>
  <si>
    <t>TXN00703</t>
  </si>
  <si>
    <t>TXN00704</t>
  </si>
  <si>
    <t>TXN00705</t>
  </si>
  <si>
    <t>TXN00706</t>
  </si>
  <si>
    <t>TXN00707</t>
  </si>
  <si>
    <t>TXN00708</t>
  </si>
  <si>
    <t>TXN00709</t>
  </si>
  <si>
    <t>TXN00710</t>
  </si>
  <si>
    <t>TXN00711</t>
  </si>
  <si>
    <t>TXN00712</t>
  </si>
  <si>
    <t>TXN00713</t>
  </si>
  <si>
    <t>TXN00714</t>
  </si>
  <si>
    <t>TXN00715</t>
  </si>
  <si>
    <t>TXN00716</t>
  </si>
  <si>
    <t>TXN00717</t>
  </si>
  <si>
    <t>TXN00718</t>
  </si>
  <si>
    <t>TXN00719</t>
  </si>
  <si>
    <t>TXN00720</t>
  </si>
  <si>
    <t>TXN00721</t>
  </si>
  <si>
    <t>TXN00722</t>
  </si>
  <si>
    <t>TXN00723</t>
  </si>
  <si>
    <t>TXN00724</t>
  </si>
  <si>
    <t>TXN00725</t>
  </si>
  <si>
    <t>TXN00726</t>
  </si>
  <si>
    <t>TXN00727</t>
  </si>
  <si>
    <t>TXN00728</t>
  </si>
  <si>
    <t>TXN00729</t>
  </si>
  <si>
    <t>TXN00730</t>
  </si>
  <si>
    <t>TXN00731</t>
  </si>
  <si>
    <t>TXN00732</t>
  </si>
  <si>
    <t>TXN00733</t>
  </si>
  <si>
    <t>TXN00734</t>
  </si>
  <si>
    <t>TXN00735</t>
  </si>
  <si>
    <t>TXN00736</t>
  </si>
  <si>
    <t>TXN00737</t>
  </si>
  <si>
    <t>TXN00738</t>
  </si>
  <si>
    <t>TXN00739</t>
  </si>
  <si>
    <t>TXN00740</t>
  </si>
  <si>
    <t>TXN00741</t>
  </si>
  <si>
    <t>TXN00742</t>
  </si>
  <si>
    <t>TXN00743</t>
  </si>
  <si>
    <t>TXN00744</t>
  </si>
  <si>
    <t>TXN00745</t>
  </si>
  <si>
    <t>TXN00746</t>
  </si>
  <si>
    <t>TXN00747</t>
  </si>
  <si>
    <t>TXN00748</t>
  </si>
  <si>
    <t>TXN00749</t>
  </si>
  <si>
    <t>TXN00750</t>
  </si>
  <si>
    <t>TXN00751</t>
  </si>
  <si>
    <t>TXN00752</t>
  </si>
  <si>
    <t>TXN00753</t>
  </si>
  <si>
    <t>TXN00754</t>
  </si>
  <si>
    <t>TXN00755</t>
  </si>
  <si>
    <t>TXN00756</t>
  </si>
  <si>
    <t>TXN00757</t>
  </si>
  <si>
    <t>TXN00758</t>
  </si>
  <si>
    <t>TXN00759</t>
  </si>
  <si>
    <t>TXN00760</t>
  </si>
  <si>
    <t>TXN00761</t>
  </si>
  <si>
    <t>TXN00762</t>
  </si>
  <si>
    <t>TXN00763</t>
  </si>
  <si>
    <t>TXN00764</t>
  </si>
  <si>
    <t>TXN00765</t>
  </si>
  <si>
    <t>TXN00766</t>
  </si>
  <si>
    <t>TXN00767</t>
  </si>
  <si>
    <t>TXN00768</t>
  </si>
  <si>
    <t>TXN00769</t>
  </si>
  <si>
    <t>TXN00770</t>
  </si>
  <si>
    <t>TXN00771</t>
  </si>
  <si>
    <t>TXN00772</t>
  </si>
  <si>
    <t>TXN00773</t>
  </si>
  <si>
    <t>TXN00774</t>
  </si>
  <si>
    <t>TXN00775</t>
  </si>
  <si>
    <t>TXN00776</t>
  </si>
  <si>
    <t>TXN00777</t>
  </si>
  <si>
    <t>TXN00778</t>
  </si>
  <si>
    <t>TXN00779</t>
  </si>
  <si>
    <t>TXN00780</t>
  </si>
  <si>
    <t>TXN00781</t>
  </si>
  <si>
    <t>TXN00782</t>
  </si>
  <si>
    <t>TXN00783</t>
  </si>
  <si>
    <t>TXN00784</t>
  </si>
  <si>
    <t>TXN00785</t>
  </si>
  <si>
    <t>TXN00786</t>
  </si>
  <si>
    <t>TXN00787</t>
  </si>
  <si>
    <t>TXN00788</t>
  </si>
  <si>
    <t>TXN00789</t>
  </si>
  <si>
    <t>TXN00790</t>
  </si>
  <si>
    <t>TXN00791</t>
  </si>
  <si>
    <t>TXN00792</t>
  </si>
  <si>
    <t>TXN00793</t>
  </si>
  <si>
    <t>TXN00794</t>
  </si>
  <si>
    <t>TXN00795</t>
  </si>
  <si>
    <t>TXN00796</t>
  </si>
  <si>
    <t>TXN00797</t>
  </si>
  <si>
    <t>TXN00798</t>
  </si>
  <si>
    <t>TXN00799</t>
  </si>
  <si>
    <t>TXN00800</t>
  </si>
  <si>
    <t>TXN00801</t>
  </si>
  <si>
    <t>TXN00802</t>
  </si>
  <si>
    <t>TXN00803</t>
  </si>
  <si>
    <t>TXN00804</t>
  </si>
  <si>
    <t>TXN00805</t>
  </si>
  <si>
    <t>TXN00806</t>
  </si>
  <si>
    <t>TXN00807</t>
  </si>
  <si>
    <t>TXN00808</t>
  </si>
  <si>
    <t>TXN00809</t>
  </si>
  <si>
    <t>TXN00810</t>
  </si>
  <si>
    <t>TXN00811</t>
  </si>
  <si>
    <t>TXN00812</t>
  </si>
  <si>
    <t>TXN00813</t>
  </si>
  <si>
    <t>TXN00814</t>
  </si>
  <si>
    <t>TXN00815</t>
  </si>
  <si>
    <t>TXN00816</t>
  </si>
  <si>
    <t>TXN00817</t>
  </si>
  <si>
    <t>TXN00818</t>
  </si>
  <si>
    <t>TXN00819</t>
  </si>
  <si>
    <t>TXN00820</t>
  </si>
  <si>
    <t>TXN00821</t>
  </si>
  <si>
    <t>TXN00822</t>
  </si>
  <si>
    <t>TXN00823</t>
  </si>
  <si>
    <t>TXN00824</t>
  </si>
  <si>
    <t>TXN00825</t>
  </si>
  <si>
    <t>TXN00826</t>
  </si>
  <si>
    <t>TXN00827</t>
  </si>
  <si>
    <t>TXN00828</t>
  </si>
  <si>
    <t>TXN00829</t>
  </si>
  <si>
    <t>TXN00830</t>
  </si>
  <si>
    <t>TXN00831</t>
  </si>
  <si>
    <t>TXN00832</t>
  </si>
  <si>
    <t>TXN00833</t>
  </si>
  <si>
    <t>TXN00834</t>
  </si>
  <si>
    <t>TXN00835</t>
  </si>
  <si>
    <t>TXN00836</t>
  </si>
  <si>
    <t>TXN00837</t>
  </si>
  <si>
    <t>TXN00838</t>
  </si>
  <si>
    <t>TXN00839</t>
  </si>
  <si>
    <t>TXN00840</t>
  </si>
  <si>
    <t>TXN00841</t>
  </si>
  <si>
    <t>TXN00842</t>
  </si>
  <si>
    <t>TXN00843</t>
  </si>
  <si>
    <t>TXN00844</t>
  </si>
  <si>
    <t>TXN00845</t>
  </si>
  <si>
    <t>TXN00846</t>
  </si>
  <si>
    <t>TXN00847</t>
  </si>
  <si>
    <t>TXN00848</t>
  </si>
  <si>
    <t>TXN00849</t>
  </si>
  <si>
    <t>TXN00850</t>
  </si>
  <si>
    <t>TXN00851</t>
  </si>
  <si>
    <t>TXN00852</t>
  </si>
  <si>
    <t>TXN00853</t>
  </si>
  <si>
    <t>TXN00854</t>
  </si>
  <si>
    <t>TXN00855</t>
  </si>
  <si>
    <t>TXN00856</t>
  </si>
  <si>
    <t>TXN00857</t>
  </si>
  <si>
    <t>TXN00858</t>
  </si>
  <si>
    <t>TXN00859</t>
  </si>
  <si>
    <t>TXN00860</t>
  </si>
  <si>
    <t>TXN00861</t>
  </si>
  <si>
    <t>TXN00862</t>
  </si>
  <si>
    <t>TXN00863</t>
  </si>
  <si>
    <t>TXN00864</t>
  </si>
  <si>
    <t>TXN00865</t>
  </si>
  <si>
    <t>TXN00866</t>
  </si>
  <si>
    <t>TXN00867</t>
  </si>
  <si>
    <t>TXN00868</t>
  </si>
  <si>
    <t>TXN00869</t>
  </si>
  <si>
    <t>TXN00870</t>
  </si>
  <si>
    <t>TXN00871</t>
  </si>
  <si>
    <t>TXN00872</t>
  </si>
  <si>
    <t>TXN00873</t>
  </si>
  <si>
    <t>TXN00874</t>
  </si>
  <si>
    <t>TXN00875</t>
  </si>
  <si>
    <t>TXN00876</t>
  </si>
  <si>
    <t>TXN00877</t>
  </si>
  <si>
    <t>TXN00878</t>
  </si>
  <si>
    <t>TXN00879</t>
  </si>
  <si>
    <t>TXN00880</t>
  </si>
  <si>
    <t>TXN00881</t>
  </si>
  <si>
    <t>TXN00882</t>
  </si>
  <si>
    <t>TXN00883</t>
  </si>
  <si>
    <t>TXN00884</t>
  </si>
  <si>
    <t>TXN00885</t>
  </si>
  <si>
    <t>TXN00886</t>
  </si>
  <si>
    <t>TXN00887</t>
  </si>
  <si>
    <t>TXN00888</t>
  </si>
  <si>
    <t>TXN00889</t>
  </si>
  <si>
    <t>TXN00890</t>
  </si>
  <si>
    <t>TXN00891</t>
  </si>
  <si>
    <t>TXN00892</t>
  </si>
  <si>
    <t>TXN00893</t>
  </si>
  <si>
    <t>TXN00894</t>
  </si>
  <si>
    <t>TXN00895</t>
  </si>
  <si>
    <t>TXN00896</t>
  </si>
  <si>
    <t>TXN00897</t>
  </si>
  <si>
    <t>TXN00898</t>
  </si>
  <si>
    <t>TXN00899</t>
  </si>
  <si>
    <t>TXN00900</t>
  </si>
  <si>
    <t>TXN00901</t>
  </si>
  <si>
    <t>TXN00902</t>
  </si>
  <si>
    <t>TXN00903</t>
  </si>
  <si>
    <t>TXN00904</t>
  </si>
  <si>
    <t>TXN00905</t>
  </si>
  <si>
    <t>TXN00906</t>
  </si>
  <si>
    <t>TXN00907</t>
  </si>
  <si>
    <t>TXN00908</t>
  </si>
  <si>
    <t>TXN00909</t>
  </si>
  <si>
    <t>TXN00910</t>
  </si>
  <si>
    <t>TXN00911</t>
  </si>
  <si>
    <t>TXN00912</t>
  </si>
  <si>
    <t>TXN00913</t>
  </si>
  <si>
    <t>TXN00914</t>
  </si>
  <si>
    <t>TXN00915</t>
  </si>
  <si>
    <t>TXN00916</t>
  </si>
  <si>
    <t>TXN00917</t>
  </si>
  <si>
    <t>TXN00918</t>
  </si>
  <si>
    <t>TXN00919</t>
  </si>
  <si>
    <t>TXN00920</t>
  </si>
  <si>
    <t>TXN00921</t>
  </si>
  <si>
    <t>TXN00922</t>
  </si>
  <si>
    <t>TXN00923</t>
  </si>
  <si>
    <t>TXN00924</t>
  </si>
  <si>
    <t>TXN00925</t>
  </si>
  <si>
    <t>TXN00926</t>
  </si>
  <si>
    <t>TXN00927</t>
  </si>
  <si>
    <t>TXN00928</t>
  </si>
  <si>
    <t>TXN00929</t>
  </si>
  <si>
    <t>TXN00930</t>
  </si>
  <si>
    <t>TXN00931</t>
  </si>
  <si>
    <t>TXN00932</t>
  </si>
  <si>
    <t>TXN00933</t>
  </si>
  <si>
    <t>TXN00934</t>
  </si>
  <si>
    <t>TXN00935</t>
  </si>
  <si>
    <t>TXN00936</t>
  </si>
  <si>
    <t>TXN00937</t>
  </si>
  <si>
    <t>TXN00938</t>
  </si>
  <si>
    <t>TXN00939</t>
  </si>
  <si>
    <t>TXN00940</t>
  </si>
  <si>
    <t>TXN00941</t>
  </si>
  <si>
    <t>TXN00942</t>
  </si>
  <si>
    <t>TXN00943</t>
  </si>
  <si>
    <t>TXN00944</t>
  </si>
  <si>
    <t>TXN00945</t>
  </si>
  <si>
    <t>TXN00946</t>
  </si>
  <si>
    <t>TXN00947</t>
  </si>
  <si>
    <t>TXN00948</t>
  </si>
  <si>
    <t>TXN00949</t>
  </si>
  <si>
    <t>TXN00950</t>
  </si>
  <si>
    <t>TXN00951</t>
  </si>
  <si>
    <t>TXN00952</t>
  </si>
  <si>
    <t>TXN00953</t>
  </si>
  <si>
    <t>TXN00954</t>
  </si>
  <si>
    <t>TXN00955</t>
  </si>
  <si>
    <t>TXN00956</t>
  </si>
  <si>
    <t>TXN00957</t>
  </si>
  <si>
    <t>TXN00958</t>
  </si>
  <si>
    <t>TXN00959</t>
  </si>
  <si>
    <t>TXN00960</t>
  </si>
  <si>
    <t>TXN00961</t>
  </si>
  <si>
    <t>TXN00962</t>
  </si>
  <si>
    <t>TXN00963</t>
  </si>
  <si>
    <t>TXN00964</t>
  </si>
  <si>
    <t>TXN00965</t>
  </si>
  <si>
    <t>TXN00966</t>
  </si>
  <si>
    <t>TXN00967</t>
  </si>
  <si>
    <t>TXN00968</t>
  </si>
  <si>
    <t>TXN00969</t>
  </si>
  <si>
    <t>TXN00970</t>
  </si>
  <si>
    <t>TXN00971</t>
  </si>
  <si>
    <t>TXN00972</t>
  </si>
  <si>
    <t>TXN00973</t>
  </si>
  <si>
    <t>TXN00974</t>
  </si>
  <si>
    <t>TXN00975</t>
  </si>
  <si>
    <t>TXN00976</t>
  </si>
  <si>
    <t>TXN00977</t>
  </si>
  <si>
    <t>TXN00978</t>
  </si>
  <si>
    <t>TXN00979</t>
  </si>
  <si>
    <t>TXN00980</t>
  </si>
  <si>
    <t>TXN00981</t>
  </si>
  <si>
    <t>TXN00982</t>
  </si>
  <si>
    <t>TXN00983</t>
  </si>
  <si>
    <t>TXN00984</t>
  </si>
  <si>
    <t>TXN00985</t>
  </si>
  <si>
    <t>TXN00986</t>
  </si>
  <si>
    <t>TXN00987</t>
  </si>
  <si>
    <t>TXN00988</t>
  </si>
  <si>
    <t>TXN00989</t>
  </si>
  <si>
    <t>TXN00990</t>
  </si>
  <si>
    <t>TXN00991</t>
  </si>
  <si>
    <t>TXN00992</t>
  </si>
  <si>
    <t>TXN00993</t>
  </si>
  <si>
    <t>TXN00994</t>
  </si>
  <si>
    <t>TXN00995</t>
  </si>
  <si>
    <t>TXN00996</t>
  </si>
  <si>
    <t>TXN00997</t>
  </si>
  <si>
    <t>TXN00998</t>
  </si>
  <si>
    <t>TXN00999</t>
  </si>
  <si>
    <t>TXN01000</t>
  </si>
  <si>
    <t>TXN01001</t>
  </si>
  <si>
    <t>TXN01002</t>
  </si>
  <si>
    <t>TXN01003</t>
  </si>
  <si>
    <t>TXN01004</t>
  </si>
  <si>
    <t>TXN01005</t>
  </si>
  <si>
    <t>TXN01006</t>
  </si>
  <si>
    <t>TXN01007</t>
  </si>
  <si>
    <t>TXN01008</t>
  </si>
  <si>
    <t>TXN01009</t>
  </si>
  <si>
    <t>TXN01010</t>
  </si>
  <si>
    <t>TXN01011</t>
  </si>
  <si>
    <t>TXN01012</t>
  </si>
  <si>
    <t>TXN01013</t>
  </si>
  <si>
    <t>TXN01014</t>
  </si>
  <si>
    <t>TXN01015</t>
  </si>
  <si>
    <t>TXN01016</t>
  </si>
  <si>
    <t>TXN01017</t>
  </si>
  <si>
    <t>TXN01018</t>
  </si>
  <si>
    <t>TXN01019</t>
  </si>
  <si>
    <t>TXN01020</t>
  </si>
  <si>
    <t>TXN01021</t>
  </si>
  <si>
    <t>TXN01022</t>
  </si>
  <si>
    <t>TXN01023</t>
  </si>
  <si>
    <t>TXN01024</t>
  </si>
  <si>
    <t>TXN01025</t>
  </si>
  <si>
    <t>TXN01026</t>
  </si>
  <si>
    <t>TXN01027</t>
  </si>
  <si>
    <t>TXN01028</t>
  </si>
  <si>
    <t>TXN01029</t>
  </si>
  <si>
    <t>TXN01030</t>
  </si>
  <si>
    <t>TXN01031</t>
  </si>
  <si>
    <t>TXN01032</t>
  </si>
  <si>
    <t>TXN01033</t>
  </si>
  <si>
    <t>TXN01034</t>
  </si>
  <si>
    <t>TXN01035</t>
  </si>
  <si>
    <t>TXN01036</t>
  </si>
  <si>
    <t>TXN01037</t>
  </si>
  <si>
    <t>TXN01038</t>
  </si>
  <si>
    <t>TXN01039</t>
  </si>
  <si>
    <t>TXN01040</t>
  </si>
  <si>
    <t>TXN01041</t>
  </si>
  <si>
    <t>TXN01042</t>
  </si>
  <si>
    <t>TXN01043</t>
  </si>
  <si>
    <t>TXN01044</t>
  </si>
  <si>
    <t>TXN01045</t>
  </si>
  <si>
    <t>TXN01046</t>
  </si>
  <si>
    <t>TXN01047</t>
  </si>
  <si>
    <t>TXN01048</t>
  </si>
  <si>
    <t>TXN01049</t>
  </si>
  <si>
    <t>TXN01050</t>
  </si>
  <si>
    <t>TXN01051</t>
  </si>
  <si>
    <t>TXN01052</t>
  </si>
  <si>
    <t>TXN01053</t>
  </si>
  <si>
    <t>TXN01054</t>
  </si>
  <si>
    <t>TXN01055</t>
  </si>
  <si>
    <t>TXN01056</t>
  </si>
  <si>
    <t>TXN01057</t>
  </si>
  <si>
    <t>TXN01058</t>
  </si>
  <si>
    <t>TXN01059</t>
  </si>
  <si>
    <t>TXN01060</t>
  </si>
  <si>
    <t>TXN01061</t>
  </si>
  <si>
    <t>TXN01062</t>
  </si>
  <si>
    <t>TXN01063</t>
  </si>
  <si>
    <t>TXN01064</t>
  </si>
  <si>
    <t>TXN01065</t>
  </si>
  <si>
    <t>TXN01066</t>
  </si>
  <si>
    <t>TXN01067</t>
  </si>
  <si>
    <t>TXN01068</t>
  </si>
  <si>
    <t>TXN01069</t>
  </si>
  <si>
    <t>TXN01070</t>
  </si>
  <si>
    <t>TXN01071</t>
  </si>
  <si>
    <t>TXN01072</t>
  </si>
  <si>
    <t>TXN01073</t>
  </si>
  <si>
    <t>TXN01074</t>
  </si>
  <si>
    <t>TXN01075</t>
  </si>
  <si>
    <t>TXN01076</t>
  </si>
  <si>
    <t>TXN01077</t>
  </si>
  <si>
    <t>TXN01078</t>
  </si>
  <si>
    <t>TXN01079</t>
  </si>
  <si>
    <t>TXN01080</t>
  </si>
  <si>
    <t>TXN01081</t>
  </si>
  <si>
    <t>TXN01082</t>
  </si>
  <si>
    <t>TXN01083</t>
  </si>
  <si>
    <t>TXN01084</t>
  </si>
  <si>
    <t>TXN01085</t>
  </si>
  <si>
    <t>TXN01086</t>
  </si>
  <si>
    <t>TXN01087</t>
  </si>
  <si>
    <t>TXN01088</t>
  </si>
  <si>
    <t>TXN01089</t>
  </si>
  <si>
    <t>TXN01090</t>
  </si>
  <si>
    <t>TXN01091</t>
  </si>
  <si>
    <t>TXN01092</t>
  </si>
  <si>
    <t>TXN01093</t>
  </si>
  <si>
    <t>TXN01094</t>
  </si>
  <si>
    <t>TXN01095</t>
  </si>
  <si>
    <t>TXN01096</t>
  </si>
  <si>
    <t>TXN01097</t>
  </si>
  <si>
    <t>TXN01098</t>
  </si>
  <si>
    <t>TXN01099</t>
  </si>
  <si>
    <t>TXN01100</t>
  </si>
  <si>
    <t>TXN01101</t>
  </si>
  <si>
    <t>TXN01102</t>
  </si>
  <si>
    <t>TXN01103</t>
  </si>
  <si>
    <t>TXN01104</t>
  </si>
  <si>
    <t>TXN01105</t>
  </si>
  <si>
    <t>TXN01106</t>
  </si>
  <si>
    <t>TXN01107</t>
  </si>
  <si>
    <t>TXN01108</t>
  </si>
  <si>
    <t>TXN01109</t>
  </si>
  <si>
    <t>TXN01110</t>
  </si>
  <si>
    <t>TXN01111</t>
  </si>
  <si>
    <t>TXN01112</t>
  </si>
  <si>
    <t>TXN01113</t>
  </si>
  <si>
    <t>TXN01114</t>
  </si>
  <si>
    <t>TXN01115</t>
  </si>
  <si>
    <t>TXN01116</t>
  </si>
  <si>
    <t>TXN01117</t>
  </si>
  <si>
    <t>TXN01118</t>
  </si>
  <si>
    <t>TXN01119</t>
  </si>
  <si>
    <t>TXN01120</t>
  </si>
  <si>
    <t>TXN01121</t>
  </si>
  <si>
    <t>TXN01122</t>
  </si>
  <si>
    <t>TXN01123</t>
  </si>
  <si>
    <t>TXN01124</t>
  </si>
  <si>
    <t>TXN01125</t>
  </si>
  <si>
    <t>TXN01126</t>
  </si>
  <si>
    <t>TXN01127</t>
  </si>
  <si>
    <t>TXN01128</t>
  </si>
  <si>
    <t>TXN01129</t>
  </si>
  <si>
    <t>TXN01130</t>
  </si>
  <si>
    <t>TXN01131</t>
  </si>
  <si>
    <t>TXN01132</t>
  </si>
  <si>
    <t>TXN01133</t>
  </si>
  <si>
    <t>TXN01134</t>
  </si>
  <si>
    <t>TXN01135</t>
  </si>
  <si>
    <t>TXN01136</t>
  </si>
  <si>
    <t>TXN01137</t>
  </si>
  <si>
    <t>TXN01138</t>
  </si>
  <si>
    <t>TXN01139</t>
  </si>
  <si>
    <t>TXN01140</t>
  </si>
  <si>
    <t>TXN01141</t>
  </si>
  <si>
    <t>TXN01142</t>
  </si>
  <si>
    <t>TXN01143</t>
  </si>
  <si>
    <t>TXN01144</t>
  </si>
  <si>
    <t>TXN01145</t>
  </si>
  <si>
    <t>TXN01146</t>
  </si>
  <si>
    <t>TXN01147</t>
  </si>
  <si>
    <t>TXN01148</t>
  </si>
  <si>
    <t>TXN01149</t>
  </si>
  <si>
    <t>TXN01150</t>
  </si>
  <si>
    <t>TXN01151</t>
  </si>
  <si>
    <t>TXN01152</t>
  </si>
  <si>
    <t>TXN01153</t>
  </si>
  <si>
    <t>TXN01154</t>
  </si>
  <si>
    <t>TXN01155</t>
  </si>
  <si>
    <t>TXN01156</t>
  </si>
  <si>
    <t>TXN01157</t>
  </si>
  <si>
    <t>TXN01158</t>
  </si>
  <si>
    <t>TXN01159</t>
  </si>
  <si>
    <t>TXN01160</t>
  </si>
  <si>
    <t>TXN01161</t>
  </si>
  <si>
    <t>TXN01162</t>
  </si>
  <si>
    <t>TXN01163</t>
  </si>
  <si>
    <t>TXN01164</t>
  </si>
  <si>
    <t>TXN01165</t>
  </si>
  <si>
    <t>TXN01166</t>
  </si>
  <si>
    <t>TXN01167</t>
  </si>
  <si>
    <t>TXN01168</t>
  </si>
  <si>
    <t>TXN01169</t>
  </si>
  <si>
    <t>TXN01170</t>
  </si>
  <si>
    <t>TXN01171</t>
  </si>
  <si>
    <t>TXN01172</t>
  </si>
  <si>
    <t>TXN01173</t>
  </si>
  <si>
    <t>TXN01174</t>
  </si>
  <si>
    <t>TXN01175</t>
  </si>
  <si>
    <t>TXN01176</t>
  </si>
  <si>
    <t>TXN01177</t>
  </si>
  <si>
    <t>TXN01178</t>
  </si>
  <si>
    <t>TXN01179</t>
  </si>
  <si>
    <t>TXN01180</t>
  </si>
  <si>
    <t>TXN01181</t>
  </si>
  <si>
    <t>TXN01182</t>
  </si>
  <si>
    <t>TXN01183</t>
  </si>
  <si>
    <t>TXN01184</t>
  </si>
  <si>
    <t>TXN01185</t>
  </si>
  <si>
    <t>TXN01186</t>
  </si>
  <si>
    <t>TXN01187</t>
  </si>
  <si>
    <t>TXN01188</t>
  </si>
  <si>
    <t>TXN01189</t>
  </si>
  <si>
    <t>TXN01190</t>
  </si>
  <si>
    <t>TXN01191</t>
  </si>
  <si>
    <t>TXN01192</t>
  </si>
  <si>
    <t>TXN01193</t>
  </si>
  <si>
    <t>TXN01194</t>
  </si>
  <si>
    <t>TXN01195</t>
  </si>
  <si>
    <t>TXN01196</t>
  </si>
  <si>
    <t>TXN01197</t>
  </si>
  <si>
    <t>TXN01198</t>
  </si>
  <si>
    <t>TXN01199</t>
  </si>
  <si>
    <t>TXN01200</t>
  </si>
  <si>
    <t>TXN01201</t>
  </si>
  <si>
    <t>TXN01202</t>
  </si>
  <si>
    <t>TXN01203</t>
  </si>
  <si>
    <t>TXN01204</t>
  </si>
  <si>
    <t>TXN01205</t>
  </si>
  <si>
    <t>TXN01206</t>
  </si>
  <si>
    <t>TXN01207</t>
  </si>
  <si>
    <t>TXN01208</t>
  </si>
  <si>
    <t>TXN01209</t>
  </si>
  <si>
    <t>TXN01210</t>
  </si>
  <si>
    <t>TXN01211</t>
  </si>
  <si>
    <t>TXN01212</t>
  </si>
  <si>
    <t>TXN01213</t>
  </si>
  <si>
    <t>TXN01214</t>
  </si>
  <si>
    <t>TXN01215</t>
  </si>
  <si>
    <t>TXN01216</t>
  </si>
  <si>
    <t>TXN01217</t>
  </si>
  <si>
    <t>TXN01218</t>
  </si>
  <si>
    <t>TXN01219</t>
  </si>
  <si>
    <t>TXN01220</t>
  </si>
  <si>
    <t>TXN01221</t>
  </si>
  <si>
    <t>TXN01222</t>
  </si>
  <si>
    <t>TXN01223</t>
  </si>
  <si>
    <t>TXN01224</t>
  </si>
  <si>
    <t>TXN01225</t>
  </si>
  <si>
    <t>TXN01226</t>
  </si>
  <si>
    <t>TXN01227</t>
  </si>
  <si>
    <t>TXN01228</t>
  </si>
  <si>
    <t>TXN01229</t>
  </si>
  <si>
    <t>TXN01230</t>
  </si>
  <si>
    <t>TXN01231</t>
  </si>
  <si>
    <t>TXN01232</t>
  </si>
  <si>
    <t>TXN01233</t>
  </si>
  <si>
    <t>TXN01234</t>
  </si>
  <si>
    <t>TXN01235</t>
  </si>
  <si>
    <t>TXN01236</t>
  </si>
  <si>
    <t>TXN01237</t>
  </si>
  <si>
    <t>TXN01238</t>
  </si>
  <si>
    <t>TXN01239</t>
  </si>
  <si>
    <t>TXN01240</t>
  </si>
  <si>
    <t>TXN01241</t>
  </si>
  <si>
    <t>TXN01242</t>
  </si>
  <si>
    <t>TXN01243</t>
  </si>
  <si>
    <t>TXN01244</t>
  </si>
  <si>
    <t>TXN01245</t>
  </si>
  <si>
    <t>TXN01246</t>
  </si>
  <si>
    <t>TXN01247</t>
  </si>
  <si>
    <t>TXN01248</t>
  </si>
  <si>
    <t>TXN01249</t>
  </si>
  <si>
    <t>TXN01250</t>
  </si>
  <si>
    <t>TXN01251</t>
  </si>
  <si>
    <t>TXN01252</t>
  </si>
  <si>
    <t>TXN01253</t>
  </si>
  <si>
    <t>TXN01254</t>
  </si>
  <si>
    <t>TXN01255</t>
  </si>
  <si>
    <t>TXN01256</t>
  </si>
  <si>
    <t>TXN01257</t>
  </si>
  <si>
    <t>TXN01258</t>
  </si>
  <si>
    <t>TXN01259</t>
  </si>
  <si>
    <t>TXN01260</t>
  </si>
  <si>
    <t>TXN01261</t>
  </si>
  <si>
    <t>TXN01262</t>
  </si>
  <si>
    <t>TXN01263</t>
  </si>
  <si>
    <t>TXN01264</t>
  </si>
  <si>
    <t>TXN01265</t>
  </si>
  <si>
    <t>TXN01266</t>
  </si>
  <si>
    <t>TXN01267</t>
  </si>
  <si>
    <t>TXN01268</t>
  </si>
  <si>
    <t>TXN01269</t>
  </si>
  <si>
    <t>TXN01270</t>
  </si>
  <si>
    <t>TXN01271</t>
  </si>
  <si>
    <t>TXN01272</t>
  </si>
  <si>
    <t>TXN01273</t>
  </si>
  <si>
    <t>TXN01274</t>
  </si>
  <si>
    <t>TXN01275</t>
  </si>
  <si>
    <t>TXN01276</t>
  </si>
  <si>
    <t>TXN01277</t>
  </si>
  <si>
    <t>TXN01278</t>
  </si>
  <si>
    <t>TXN01279</t>
  </si>
  <si>
    <t>TXN01280</t>
  </si>
  <si>
    <t>TXN01281</t>
  </si>
  <si>
    <t>TXN01282</t>
  </si>
  <si>
    <t>TXN01283</t>
  </si>
  <si>
    <t>TXN01284</t>
  </si>
  <si>
    <t>TXN01285</t>
  </si>
  <si>
    <t>TXN01286</t>
  </si>
  <si>
    <t>TXN01287</t>
  </si>
  <si>
    <t>TXN01288</t>
  </si>
  <si>
    <t>TXN01289</t>
  </si>
  <si>
    <t>TXN01290</t>
  </si>
  <si>
    <t>TXN01291</t>
  </si>
  <si>
    <t>TXN01292</t>
  </si>
  <si>
    <t>TXN01293</t>
  </si>
  <si>
    <t>TXN01294</t>
  </si>
  <si>
    <t>TXN01295</t>
  </si>
  <si>
    <t>TXN01296</t>
  </si>
  <si>
    <t>TXN01297</t>
  </si>
  <si>
    <t>TXN01298</t>
  </si>
  <si>
    <t>TXN01299</t>
  </si>
  <si>
    <t>TXN01300</t>
  </si>
  <si>
    <t>TXN01301</t>
  </si>
  <si>
    <t>TXN01302</t>
  </si>
  <si>
    <t>TXN01303</t>
  </si>
  <si>
    <t>TXN01304</t>
  </si>
  <si>
    <t>TXN01305</t>
  </si>
  <si>
    <t>TXN01306</t>
  </si>
  <si>
    <t>TXN01307</t>
  </si>
  <si>
    <t>TXN01308</t>
  </si>
  <si>
    <t>TXN01309</t>
  </si>
  <si>
    <t>TXN01310</t>
  </si>
  <si>
    <t>TXN01311</t>
  </si>
  <si>
    <t>TXN01312</t>
  </si>
  <si>
    <t>TXN01313</t>
  </si>
  <si>
    <t>TXN01314</t>
  </si>
  <si>
    <t>TXN01315</t>
  </si>
  <si>
    <t>TXN01316</t>
  </si>
  <si>
    <t>TXN01317</t>
  </si>
  <si>
    <t>TXN01318</t>
  </si>
  <si>
    <t>TXN01319</t>
  </si>
  <si>
    <t>TXN01320</t>
  </si>
  <si>
    <t>TXN01321</t>
  </si>
  <si>
    <t>TXN01322</t>
  </si>
  <si>
    <t>TXN01323</t>
  </si>
  <si>
    <t>TXN01324</t>
  </si>
  <si>
    <t>TXN01325</t>
  </si>
  <si>
    <t>TXN01326</t>
  </si>
  <si>
    <t>TXN01327</t>
  </si>
  <si>
    <t>TXN01328</t>
  </si>
  <si>
    <t>TXN01329</t>
  </si>
  <si>
    <t>TXN01330</t>
  </si>
  <si>
    <t>TXN01331</t>
  </si>
  <si>
    <t>TXN01332</t>
  </si>
  <si>
    <t>TXN01333</t>
  </si>
  <si>
    <t>TXN01334</t>
  </si>
  <si>
    <t>TXN01335</t>
  </si>
  <si>
    <t>TXN01336</t>
  </si>
  <si>
    <t>TXN01337</t>
  </si>
  <si>
    <t>TXN01338</t>
  </si>
  <si>
    <t>TXN01339</t>
  </si>
  <si>
    <t>TXN01340</t>
  </si>
  <si>
    <t>TXN01341</t>
  </si>
  <si>
    <t>TXN01342</t>
  </si>
  <si>
    <t>TXN01343</t>
  </si>
  <si>
    <t>TXN01344</t>
  </si>
  <si>
    <t>TXN01345</t>
  </si>
  <si>
    <t>TXN01346</t>
  </si>
  <si>
    <t>TXN01347</t>
  </si>
  <si>
    <t>TXN01348</t>
  </si>
  <si>
    <t>TXN01349</t>
  </si>
  <si>
    <t>TXN01350</t>
  </si>
  <si>
    <t>TXN01351</t>
  </si>
  <si>
    <t>TXN01352</t>
  </si>
  <si>
    <t>TXN01353</t>
  </si>
  <si>
    <t>TXN01354</t>
  </si>
  <si>
    <t>TXN01355</t>
  </si>
  <si>
    <t>TXN01356</t>
  </si>
  <si>
    <t>TXN01357</t>
  </si>
  <si>
    <t>TXN01358</t>
  </si>
  <si>
    <t>TXN01359</t>
  </si>
  <si>
    <t>TXN01360</t>
  </si>
  <si>
    <t>TXN01361</t>
  </si>
  <si>
    <t>TXN01362</t>
  </si>
  <si>
    <t>TXN01363</t>
  </si>
  <si>
    <t>TXN01364</t>
  </si>
  <si>
    <t>TXN01365</t>
  </si>
  <si>
    <t>TXN01366</t>
  </si>
  <si>
    <t>TXN01367</t>
  </si>
  <si>
    <t>TXN01368</t>
  </si>
  <si>
    <t>TXN01369</t>
  </si>
  <si>
    <t>TXN01370</t>
  </si>
  <si>
    <t>TXN01371</t>
  </si>
  <si>
    <t>TXN01372</t>
  </si>
  <si>
    <t>TXN01373</t>
  </si>
  <si>
    <t>TXN01374</t>
  </si>
  <si>
    <t>TXN01375</t>
  </si>
  <si>
    <t>TXN01376</t>
  </si>
  <si>
    <t>TXN01377</t>
  </si>
  <si>
    <t>TXN01378</t>
  </si>
  <si>
    <t>TXN01379</t>
  </si>
  <si>
    <t>TXN01380</t>
  </si>
  <si>
    <t>TXN01381</t>
  </si>
  <si>
    <t>TXN01382</t>
  </si>
  <si>
    <t>TXN01383</t>
  </si>
  <si>
    <t>TXN01384</t>
  </si>
  <si>
    <t>TXN01385</t>
  </si>
  <si>
    <t>TXN01386</t>
  </si>
  <si>
    <t>TXN01387</t>
  </si>
  <si>
    <t>TXN01388</t>
  </si>
  <si>
    <t>TXN01389</t>
  </si>
  <si>
    <t>TXN01390</t>
  </si>
  <si>
    <t>TXN01391</t>
  </si>
  <si>
    <t>TXN01392</t>
  </si>
  <si>
    <t>TXN01393</t>
  </si>
  <si>
    <t>TXN01394</t>
  </si>
  <si>
    <t>TXN01395</t>
  </si>
  <si>
    <t>TXN01396</t>
  </si>
  <si>
    <t>TXN01397</t>
  </si>
  <si>
    <t>TXN01398</t>
  </si>
  <si>
    <t>TXN01399</t>
  </si>
  <si>
    <t>TXN01400</t>
  </si>
  <si>
    <t>TXN01401</t>
  </si>
  <si>
    <t>TXN01402</t>
  </si>
  <si>
    <t>TXN01403</t>
  </si>
  <si>
    <t>TXN01404</t>
  </si>
  <si>
    <t>TXN01405</t>
  </si>
  <si>
    <t>TXN01406</t>
  </si>
  <si>
    <t>TXN01407</t>
  </si>
  <si>
    <t>TXN01408</t>
  </si>
  <si>
    <t>TXN01409</t>
  </si>
  <si>
    <t>TXN01410</t>
  </si>
  <si>
    <t>TXN01411</t>
  </si>
  <si>
    <t>TXN01412</t>
  </si>
  <si>
    <t>TXN01413</t>
  </si>
  <si>
    <t>TXN01414</t>
  </si>
  <si>
    <t>TXN01415</t>
  </si>
  <si>
    <t>TXN01416</t>
  </si>
  <si>
    <t>TXN01417</t>
  </si>
  <si>
    <t>TXN01418</t>
  </si>
  <si>
    <t>TXN01419</t>
  </si>
  <si>
    <t>TXN01420</t>
  </si>
  <si>
    <t>TXN01421</t>
  </si>
  <si>
    <t>TXN01422</t>
  </si>
  <si>
    <t>TXN01423</t>
  </si>
  <si>
    <t>TXN01424</t>
  </si>
  <si>
    <t>TXN01425</t>
  </si>
  <si>
    <t>TXN01426</t>
  </si>
  <si>
    <t>TXN01427</t>
  </si>
  <si>
    <t>TXN01428</t>
  </si>
  <si>
    <t>TXN01429</t>
  </si>
  <si>
    <t>TXN01430</t>
  </si>
  <si>
    <t>TXN01431</t>
  </si>
  <si>
    <t>TXN01432</t>
  </si>
  <si>
    <t>TXN01433</t>
  </si>
  <si>
    <t>TXN01434</t>
  </si>
  <si>
    <t>TXN01435</t>
  </si>
  <si>
    <t>TXN01436</t>
  </si>
  <si>
    <t>TXN01437</t>
  </si>
  <si>
    <t>TXN01438</t>
  </si>
  <si>
    <t>TXN01439</t>
  </si>
  <si>
    <t>TXN01440</t>
  </si>
  <si>
    <t>TXN01441</t>
  </si>
  <si>
    <t>TXN01442</t>
  </si>
  <si>
    <t>TXN01443</t>
  </si>
  <si>
    <t>TXN01444</t>
  </si>
  <si>
    <t>TXN01445</t>
  </si>
  <si>
    <t>TXN01446</t>
  </si>
  <si>
    <t>TXN01447</t>
  </si>
  <si>
    <t>TXN01448</t>
  </si>
  <si>
    <t>TXN01449</t>
  </si>
  <si>
    <t>TXN01450</t>
  </si>
  <si>
    <t>TXN01451</t>
  </si>
  <si>
    <t>TXN01452</t>
  </si>
  <si>
    <t>TXN01453</t>
  </si>
  <si>
    <t>TXN01454</t>
  </si>
  <si>
    <t>TXN01455</t>
  </si>
  <si>
    <t>TXN01456</t>
  </si>
  <si>
    <t>TXN01457</t>
  </si>
  <si>
    <t>TXN01458</t>
  </si>
  <si>
    <t>TXN01459</t>
  </si>
  <si>
    <t>TXN01460</t>
  </si>
  <si>
    <t>TXN01461</t>
  </si>
  <si>
    <t>TXN01462</t>
  </si>
  <si>
    <t>TXN01463</t>
  </si>
  <si>
    <t>TXN01464</t>
  </si>
  <si>
    <t>TXN01465</t>
  </si>
  <si>
    <t>TXN01466</t>
  </si>
  <si>
    <t>TXN01467</t>
  </si>
  <si>
    <t>TXN01468</t>
  </si>
  <si>
    <t>TXN01469</t>
  </si>
  <si>
    <t>TXN01470</t>
  </si>
  <si>
    <t>TXN01471</t>
  </si>
  <si>
    <t>TXN01472</t>
  </si>
  <si>
    <t>TXN01473</t>
  </si>
  <si>
    <t>TXN01474</t>
  </si>
  <si>
    <t>TXN01475</t>
  </si>
  <si>
    <t>TXN01476</t>
  </si>
  <si>
    <t>TXN01477</t>
  </si>
  <si>
    <t>TXN01478</t>
  </si>
  <si>
    <t>TXN01479</t>
  </si>
  <si>
    <t>TXN01480</t>
  </si>
  <si>
    <t>TXN01481</t>
  </si>
  <si>
    <t>TXN01482</t>
  </si>
  <si>
    <t>TXN01483</t>
  </si>
  <si>
    <t>TXN01484</t>
  </si>
  <si>
    <t>TXN01485</t>
  </si>
  <si>
    <t>TXN01486</t>
  </si>
  <si>
    <t>TXN01487</t>
  </si>
  <si>
    <t>TXN01488</t>
  </si>
  <si>
    <t>TXN01489</t>
  </si>
  <si>
    <t>TXN01490</t>
  </si>
  <si>
    <t>TXN01491</t>
  </si>
  <si>
    <t>TXN01492</t>
  </si>
  <si>
    <t>TXN01493</t>
  </si>
  <si>
    <t>TXN01494</t>
  </si>
  <si>
    <t>TXN01495</t>
  </si>
  <si>
    <t>TXN01496</t>
  </si>
  <si>
    <t>TXN01497</t>
  </si>
  <si>
    <t>TXN01498</t>
  </si>
  <si>
    <t>TXN01499</t>
  </si>
  <si>
    <t>TXN01500</t>
  </si>
  <si>
    <t>TXN01501</t>
  </si>
  <si>
    <t>TXN01502</t>
  </si>
  <si>
    <t>TXN01503</t>
  </si>
  <si>
    <t>TXN01504</t>
  </si>
  <si>
    <t>TXN01505</t>
  </si>
  <si>
    <t>TXN01506</t>
  </si>
  <si>
    <t>TXN01507</t>
  </si>
  <si>
    <t>TXN01508</t>
  </si>
  <si>
    <t>TXN01509</t>
  </si>
  <si>
    <t>TXN01510</t>
  </si>
  <si>
    <t>TXN01511</t>
  </si>
  <si>
    <t>TXN01512</t>
  </si>
  <si>
    <t>TXN01513</t>
  </si>
  <si>
    <t>TXN01514</t>
  </si>
  <si>
    <t>TXN01515</t>
  </si>
  <si>
    <t>TXN01516</t>
  </si>
  <si>
    <t>TXN01517</t>
  </si>
  <si>
    <t>TXN01518</t>
  </si>
  <si>
    <t>TXN01519</t>
  </si>
  <si>
    <t>TXN01520</t>
  </si>
  <si>
    <t>TXN01521</t>
  </si>
  <si>
    <t>TXN01522</t>
  </si>
  <si>
    <t>TXN01523</t>
  </si>
  <si>
    <t>TXN01524</t>
  </si>
  <si>
    <t>TXN01525</t>
  </si>
  <si>
    <t>TXN01526</t>
  </si>
  <si>
    <t>TXN01527</t>
  </si>
  <si>
    <t>TXN01528</t>
  </si>
  <si>
    <t>TXN01529</t>
  </si>
  <si>
    <t>TXN01530</t>
  </si>
  <si>
    <t>TXN01531</t>
  </si>
  <si>
    <t>TXN01532</t>
  </si>
  <si>
    <t>TXN01533</t>
  </si>
  <si>
    <t>TXN01534</t>
  </si>
  <si>
    <t>TXN01535</t>
  </si>
  <si>
    <t>TXN01536</t>
  </si>
  <si>
    <t>TXN01537</t>
  </si>
  <si>
    <t>TXN01538</t>
  </si>
  <si>
    <t>TXN01539</t>
  </si>
  <si>
    <t>TXN01540</t>
  </si>
  <si>
    <t>TXN01541</t>
  </si>
  <si>
    <t>TXN01542</t>
  </si>
  <si>
    <t>TXN01543</t>
  </si>
  <si>
    <t>TXN01544</t>
  </si>
  <si>
    <t>TXN01545</t>
  </si>
  <si>
    <t>TXN01546</t>
  </si>
  <si>
    <t>TXN01547</t>
  </si>
  <si>
    <t>TXN01548</t>
  </si>
  <si>
    <t>TXN01549</t>
  </si>
  <si>
    <t>TXN01550</t>
  </si>
  <si>
    <t>TXN01551</t>
  </si>
  <si>
    <t>TXN01552</t>
  </si>
  <si>
    <t>TXN01553</t>
  </si>
  <si>
    <t>TXN01554</t>
  </si>
  <si>
    <t>TXN01555</t>
  </si>
  <si>
    <t>TXN01556</t>
  </si>
  <si>
    <t>TXN01557</t>
  </si>
  <si>
    <t>TXN01558</t>
  </si>
  <si>
    <t>TXN01559</t>
  </si>
  <si>
    <t>TXN01560</t>
  </si>
  <si>
    <t>TXN01561</t>
  </si>
  <si>
    <t>TXN01562</t>
  </si>
  <si>
    <t>TXN01563</t>
  </si>
  <si>
    <t>TXN01564</t>
  </si>
  <si>
    <t>TXN01565</t>
  </si>
  <si>
    <t>TXN01566</t>
  </si>
  <si>
    <t>TXN01567</t>
  </si>
  <si>
    <t>TXN01568</t>
  </si>
  <si>
    <t>TXN01569</t>
  </si>
  <si>
    <t>TXN01570</t>
  </si>
  <si>
    <t>TXN01571</t>
  </si>
  <si>
    <t>TXN01572</t>
  </si>
  <si>
    <t>TXN01573</t>
  </si>
  <si>
    <t>TXN01574</t>
  </si>
  <si>
    <t>TXN01575</t>
  </si>
  <si>
    <t>TXN01576</t>
  </si>
  <si>
    <t>TXN01577</t>
  </si>
  <si>
    <t>TXN01578</t>
  </si>
  <si>
    <t>TXN01579</t>
  </si>
  <si>
    <t>TXN01580</t>
  </si>
  <si>
    <t>TXN01581</t>
  </si>
  <si>
    <t>TXN01582</t>
  </si>
  <si>
    <t>TXN01583</t>
  </si>
  <si>
    <t>TXN01584</t>
  </si>
  <si>
    <t>TXN01585</t>
  </si>
  <si>
    <t>TXN01586</t>
  </si>
  <si>
    <t>TXN01587</t>
  </si>
  <si>
    <t>TXN01588</t>
  </si>
  <si>
    <t>TXN01589</t>
  </si>
  <si>
    <t>TXN01590</t>
  </si>
  <si>
    <t>TXN01591</t>
  </si>
  <si>
    <t>TXN01592</t>
  </si>
  <si>
    <t>TXN01593</t>
  </si>
  <si>
    <t>TXN01594</t>
  </si>
  <si>
    <t>TXN01595</t>
  </si>
  <si>
    <t>TXN01596</t>
  </si>
  <si>
    <t>TXN01597</t>
  </si>
  <si>
    <t>TXN01598</t>
  </si>
  <si>
    <t>TXN01599</t>
  </si>
  <si>
    <t>TXN01600</t>
  </si>
  <si>
    <t>TXN01601</t>
  </si>
  <si>
    <t>TXN01602</t>
  </si>
  <si>
    <t>TXN01603</t>
  </si>
  <si>
    <t>TXN01604</t>
  </si>
  <si>
    <t>TXN01605</t>
  </si>
  <si>
    <t>TXN01606</t>
  </si>
  <si>
    <t>TXN01607</t>
  </si>
  <si>
    <t>TXN01608</t>
  </si>
  <si>
    <t>TXN01609</t>
  </si>
  <si>
    <t>TXN01610</t>
  </si>
  <si>
    <t>TXN01611</t>
  </si>
  <si>
    <t>TXN01612</t>
  </si>
  <si>
    <t>TXN01613</t>
  </si>
  <si>
    <t>TXN01614</t>
  </si>
  <si>
    <t>TXN01615</t>
  </si>
  <si>
    <t>TXN01616</t>
  </si>
  <si>
    <t>TXN01617</t>
  </si>
  <si>
    <t>TXN01618</t>
  </si>
  <si>
    <t>TXN01619</t>
  </si>
  <si>
    <t>TXN01620</t>
  </si>
  <si>
    <t>TXN01621</t>
  </si>
  <si>
    <t>TXN01622</t>
  </si>
  <si>
    <t>TXN01623</t>
  </si>
  <si>
    <t>TXN01624</t>
  </si>
  <si>
    <t>TXN01625</t>
  </si>
  <si>
    <t>TXN01626</t>
  </si>
  <si>
    <t>TXN01627</t>
  </si>
  <si>
    <t>TXN01628</t>
  </si>
  <si>
    <t>TXN01629</t>
  </si>
  <si>
    <t>TXN01630</t>
  </si>
  <si>
    <t>TXN01631</t>
  </si>
  <si>
    <t>TXN01632</t>
  </si>
  <si>
    <t>TXN01633</t>
  </si>
  <si>
    <t>TXN01634</t>
  </si>
  <si>
    <t>TXN01635</t>
  </si>
  <si>
    <t>TXN01636</t>
  </si>
  <si>
    <t>TXN01637</t>
  </si>
  <si>
    <t>TXN01638</t>
  </si>
  <si>
    <t>TXN01639</t>
  </si>
  <si>
    <t>TXN01640</t>
  </si>
  <si>
    <t>TXN01641</t>
  </si>
  <si>
    <t>TXN01642</t>
  </si>
  <si>
    <t>TXN01643</t>
  </si>
  <si>
    <t>TXN01644</t>
  </si>
  <si>
    <t>TXN01645</t>
  </si>
  <si>
    <t>TXN01646</t>
  </si>
  <si>
    <t>TXN01647</t>
  </si>
  <si>
    <t>TXN01648</t>
  </si>
  <si>
    <t>TXN01649</t>
  </si>
  <si>
    <t>TXN01650</t>
  </si>
  <si>
    <t>TXN01651</t>
  </si>
  <si>
    <t>TXN01652</t>
  </si>
  <si>
    <t>TXN01653</t>
  </si>
  <si>
    <t>TXN01654</t>
  </si>
  <si>
    <t>TXN01655</t>
  </si>
  <si>
    <t>TXN01656</t>
  </si>
  <si>
    <t>TXN01657</t>
  </si>
  <si>
    <t>TXN01658</t>
  </si>
  <si>
    <t>TXN01659</t>
  </si>
  <si>
    <t>TXN01660</t>
  </si>
  <si>
    <t>TXN01661</t>
  </si>
  <si>
    <t>TXN01662</t>
  </si>
  <si>
    <t>TXN01663</t>
  </si>
  <si>
    <t>TXN01664</t>
  </si>
  <si>
    <t>TXN01665</t>
  </si>
  <si>
    <t>TXN01666</t>
  </si>
  <si>
    <t>TXN01667</t>
  </si>
  <si>
    <t>TXN01668</t>
  </si>
  <si>
    <t>TXN01669</t>
  </si>
  <si>
    <t>TXN01670</t>
  </si>
  <si>
    <t>TXN01671</t>
  </si>
  <si>
    <t>TXN01672</t>
  </si>
  <si>
    <t>TXN01673</t>
  </si>
  <si>
    <t>TXN01674</t>
  </si>
  <si>
    <t>TXN01675</t>
  </si>
  <si>
    <t>TXN01676</t>
  </si>
  <si>
    <t>TXN01677</t>
  </si>
  <si>
    <t>TXN01678</t>
  </si>
  <si>
    <t>TXN01679</t>
  </si>
  <si>
    <t>TXN01680</t>
  </si>
  <si>
    <t>TXN01681</t>
  </si>
  <si>
    <t>TXN01682</t>
  </si>
  <si>
    <t>TXN01683</t>
  </si>
  <si>
    <t>TXN01684</t>
  </si>
  <si>
    <t>TXN01685</t>
  </si>
  <si>
    <t>TXN01686</t>
  </si>
  <si>
    <t>TXN01687</t>
  </si>
  <si>
    <t>TXN01688</t>
  </si>
  <si>
    <t>TXN01689</t>
  </si>
  <si>
    <t>TXN01690</t>
  </si>
  <si>
    <t>TXN01691</t>
  </si>
  <si>
    <t>TXN01692</t>
  </si>
  <si>
    <t>TXN01693</t>
  </si>
  <si>
    <t>TXN01694</t>
  </si>
  <si>
    <t>TXN01695</t>
  </si>
  <si>
    <t>TXN01696</t>
  </si>
  <si>
    <t>TXN01697</t>
  </si>
  <si>
    <t>TXN01698</t>
  </si>
  <si>
    <t>TXN01699</t>
  </si>
  <si>
    <t>TXN01700</t>
  </si>
  <si>
    <t>TXN01701</t>
  </si>
  <si>
    <t>TXN01702</t>
  </si>
  <si>
    <t>TXN01703</t>
  </si>
  <si>
    <t>TXN01704</t>
  </si>
  <si>
    <t>TXN01705</t>
  </si>
  <si>
    <t>TXN01706</t>
  </si>
  <si>
    <t>TXN01707</t>
  </si>
  <si>
    <t>TXN01708</t>
  </si>
  <si>
    <t>TXN01709</t>
  </si>
  <si>
    <t>TXN01710</t>
  </si>
  <si>
    <t>TXN01711</t>
  </si>
  <si>
    <t>TXN01712</t>
  </si>
  <si>
    <t>TXN01713</t>
  </si>
  <si>
    <t>TXN01714</t>
  </si>
  <si>
    <t>TXN01715</t>
  </si>
  <si>
    <t>TXN01716</t>
  </si>
  <si>
    <t>TXN01717</t>
  </si>
  <si>
    <t>TXN01718</t>
  </si>
  <si>
    <t>TXN01719</t>
  </si>
  <si>
    <t>TXN01720</t>
  </si>
  <si>
    <t>TXN01721</t>
  </si>
  <si>
    <t>TXN01722</t>
  </si>
  <si>
    <t>TXN01723</t>
  </si>
  <si>
    <t>TXN01724</t>
  </si>
  <si>
    <t>TXN01725</t>
  </si>
  <si>
    <t>TXN01726</t>
  </si>
  <si>
    <t>TXN01727</t>
  </si>
  <si>
    <t>TXN01728</t>
  </si>
  <si>
    <t>TXN01729</t>
  </si>
  <si>
    <t>TXN01730</t>
  </si>
  <si>
    <t>TXN01731</t>
  </si>
  <si>
    <t>TXN01732</t>
  </si>
  <si>
    <t>TXN01733</t>
  </si>
  <si>
    <t>TXN01734</t>
  </si>
  <si>
    <t>TXN01735</t>
  </si>
  <si>
    <t>TXN01736</t>
  </si>
  <si>
    <t>TXN01737</t>
  </si>
  <si>
    <t>TXN01738</t>
  </si>
  <si>
    <t>TXN01739</t>
  </si>
  <si>
    <t>TXN01740</t>
  </si>
  <si>
    <t>TXN01741</t>
  </si>
  <si>
    <t>TXN01742</t>
  </si>
  <si>
    <t>TXN01743</t>
  </si>
  <si>
    <t>TXN01744</t>
  </si>
  <si>
    <t>TXN01745</t>
  </si>
  <si>
    <t>TXN01746</t>
  </si>
  <si>
    <t>TXN01747</t>
  </si>
  <si>
    <t>TXN01748</t>
  </si>
  <si>
    <t>TXN01749</t>
  </si>
  <si>
    <t>TXN01750</t>
  </si>
  <si>
    <t>TXN01751</t>
  </si>
  <si>
    <t>TXN01752</t>
  </si>
  <si>
    <t>TXN01753</t>
  </si>
  <si>
    <t>TXN01754</t>
  </si>
  <si>
    <t>TXN01755</t>
  </si>
  <si>
    <t>TXN01756</t>
  </si>
  <si>
    <t>TXN01757</t>
  </si>
  <si>
    <t>TXN01758</t>
  </si>
  <si>
    <t>TXN01759</t>
  </si>
  <si>
    <t>TXN01760</t>
  </si>
  <si>
    <t>TXN01761</t>
  </si>
  <si>
    <t>TXN01762</t>
  </si>
  <si>
    <t>TXN01763</t>
  </si>
  <si>
    <t>TXN01764</t>
  </si>
  <si>
    <t>TXN01765</t>
  </si>
  <si>
    <t>TXN01766</t>
  </si>
  <si>
    <t>TXN01767</t>
  </si>
  <si>
    <t>TXN01768</t>
  </si>
  <si>
    <t>TXN01769</t>
  </si>
  <si>
    <t>TXN01770</t>
  </si>
  <si>
    <t>TXN01771</t>
  </si>
  <si>
    <t>TXN01772</t>
  </si>
  <si>
    <t>TXN01773</t>
  </si>
  <si>
    <t>TXN01774</t>
  </si>
  <si>
    <t>TXN01775</t>
  </si>
  <si>
    <t>TXN01776</t>
  </si>
  <si>
    <t>TXN01777</t>
  </si>
  <si>
    <t>TXN01778</t>
  </si>
  <si>
    <t>TXN01779</t>
  </si>
  <si>
    <t>TXN01780</t>
  </si>
  <si>
    <t>TXN01781</t>
  </si>
  <si>
    <t>TXN01782</t>
  </si>
  <si>
    <t>TXN01783</t>
  </si>
  <si>
    <t>TXN01784</t>
  </si>
  <si>
    <t>TXN01785</t>
  </si>
  <si>
    <t>TXN01786</t>
  </si>
  <si>
    <t>TXN01787</t>
  </si>
  <si>
    <t>TXN01788</t>
  </si>
  <si>
    <t>TXN01789</t>
  </si>
  <si>
    <t>TXN01790</t>
  </si>
  <si>
    <t>TXN01791</t>
  </si>
  <si>
    <t>TXN01792</t>
  </si>
  <si>
    <t>TXN01793</t>
  </si>
  <si>
    <t>TXN01794</t>
  </si>
  <si>
    <t>TXN01795</t>
  </si>
  <si>
    <t>TXN01796</t>
  </si>
  <si>
    <t>TXN01797</t>
  </si>
  <si>
    <t>TXN01798</t>
  </si>
  <si>
    <t>TXN01799</t>
  </si>
  <si>
    <t>TXN01800</t>
  </si>
  <si>
    <t>TXN01801</t>
  </si>
  <si>
    <t>TXN01802</t>
  </si>
  <si>
    <t>TXN01803</t>
  </si>
  <si>
    <t>TXN01804</t>
  </si>
  <si>
    <t>TXN01805</t>
  </si>
  <si>
    <t>TXN01806</t>
  </si>
  <si>
    <t>TXN01807</t>
  </si>
  <si>
    <t>TXN01808</t>
  </si>
  <si>
    <t>TXN01809</t>
  </si>
  <si>
    <t>TXN01810</t>
  </si>
  <si>
    <t>TXN01811</t>
  </si>
  <si>
    <t>TXN01812</t>
  </si>
  <si>
    <t>TXN01813</t>
  </si>
  <si>
    <t>TXN01814</t>
  </si>
  <si>
    <t>TXN01815</t>
  </si>
  <si>
    <t>TXN01816</t>
  </si>
  <si>
    <t>TXN01817</t>
  </si>
  <si>
    <t>TXN01818</t>
  </si>
  <si>
    <t>TXN01819</t>
  </si>
  <si>
    <t>TXN01820</t>
  </si>
  <si>
    <t>TXN01821</t>
  </si>
  <si>
    <t>TXN01822</t>
  </si>
  <si>
    <t>TXN01823</t>
  </si>
  <si>
    <t>TXN01824</t>
  </si>
  <si>
    <t>TXN01825</t>
  </si>
  <si>
    <t>TXN01826</t>
  </si>
  <si>
    <t>TXN01827</t>
  </si>
  <si>
    <t>TXN01828</t>
  </si>
  <si>
    <t>TXN01829</t>
  </si>
  <si>
    <t>TXN01830</t>
  </si>
  <si>
    <t>TXN01831</t>
  </si>
  <si>
    <t>TXN01832</t>
  </si>
  <si>
    <t>TXN01833</t>
  </si>
  <si>
    <t>TXN01834</t>
  </si>
  <si>
    <t>TXN01835</t>
  </si>
  <si>
    <t>TXN01836</t>
  </si>
  <si>
    <t>TXN01837</t>
  </si>
  <si>
    <t>TXN01838</t>
  </si>
  <si>
    <t>TXN01839</t>
  </si>
  <si>
    <t>TXN01840</t>
  </si>
  <si>
    <t>TXN01841</t>
  </si>
  <si>
    <t>TXN01842</t>
  </si>
  <si>
    <t>TXN01843</t>
  </si>
  <si>
    <t>TXN01844</t>
  </si>
  <si>
    <t>TXN01845</t>
  </si>
  <si>
    <t>TXN01846</t>
  </si>
  <si>
    <t>TXN01847</t>
  </si>
  <si>
    <t>TXN01848</t>
  </si>
  <si>
    <t>TXN01849</t>
  </si>
  <si>
    <t>TXN01850</t>
  </si>
  <si>
    <t>TXN01851</t>
  </si>
  <si>
    <t>TXN01852</t>
  </si>
  <si>
    <t>TXN01853</t>
  </si>
  <si>
    <t>TXN01854</t>
  </si>
  <si>
    <t>TXN01855</t>
  </si>
  <si>
    <t>TXN01856</t>
  </si>
  <si>
    <t>TXN01857</t>
  </si>
  <si>
    <t>TXN01858</t>
  </si>
  <si>
    <t>TXN01859</t>
  </si>
  <si>
    <t>TXN01860</t>
  </si>
  <si>
    <t>TXN01861</t>
  </si>
  <si>
    <t>TXN01862</t>
  </si>
  <si>
    <t>TXN01863</t>
  </si>
  <si>
    <t>TXN01864</t>
  </si>
  <si>
    <t>TXN01865</t>
  </si>
  <si>
    <t>TXN01866</t>
  </si>
  <si>
    <t>TXN01867</t>
  </si>
  <si>
    <t>TXN01868</t>
  </si>
  <si>
    <t>TXN01869</t>
  </si>
  <si>
    <t>TXN01870</t>
  </si>
  <si>
    <t>TXN01871</t>
  </si>
  <si>
    <t>TXN01872</t>
  </si>
  <si>
    <t>TXN01873</t>
  </si>
  <si>
    <t>TXN01874</t>
  </si>
  <si>
    <t>TXN01875</t>
  </si>
  <si>
    <t>TXN01876</t>
  </si>
  <si>
    <t>TXN01877</t>
  </si>
  <si>
    <t>TXN01878</t>
  </si>
  <si>
    <t>TXN01879</t>
  </si>
  <si>
    <t>TXN01880</t>
  </si>
  <si>
    <t>TXN01881</t>
  </si>
  <si>
    <t>TXN01882</t>
  </si>
  <si>
    <t>TXN01883</t>
  </si>
  <si>
    <t>TXN01884</t>
  </si>
  <si>
    <t>TXN01885</t>
  </si>
  <si>
    <t>TXN01886</t>
  </si>
  <si>
    <t>TXN01887</t>
  </si>
  <si>
    <t>TXN01888</t>
  </si>
  <si>
    <t>TXN01889</t>
  </si>
  <si>
    <t>TXN01890</t>
  </si>
  <si>
    <t>TXN01891</t>
  </si>
  <si>
    <t>TXN01892</t>
  </si>
  <si>
    <t>TXN01893</t>
  </si>
  <si>
    <t>TXN01894</t>
  </si>
  <si>
    <t>TXN01895</t>
  </si>
  <si>
    <t>TXN01896</t>
  </si>
  <si>
    <t>TXN01897</t>
  </si>
  <si>
    <t>TXN01898</t>
  </si>
  <si>
    <t>TXN01899</t>
  </si>
  <si>
    <t>TXN01900</t>
  </si>
  <si>
    <t>TXN01901</t>
  </si>
  <si>
    <t>TXN01902</t>
  </si>
  <si>
    <t>TXN01903</t>
  </si>
  <si>
    <t>TXN01904</t>
  </si>
  <si>
    <t>TXN01905</t>
  </si>
  <si>
    <t>TXN01906</t>
  </si>
  <si>
    <t>TXN01907</t>
  </si>
  <si>
    <t>TXN01908</t>
  </si>
  <si>
    <t>TXN01909</t>
  </si>
  <si>
    <t>TXN01910</t>
  </si>
  <si>
    <t>TXN01911</t>
  </si>
  <si>
    <t>TXN01912</t>
  </si>
  <si>
    <t>TXN01913</t>
  </si>
  <si>
    <t>TXN01914</t>
  </si>
  <si>
    <t>TXN01915</t>
  </si>
  <si>
    <t>TXN01916</t>
  </si>
  <si>
    <t>TXN01917</t>
  </si>
  <si>
    <t>TXN01918</t>
  </si>
  <si>
    <t>TXN01919</t>
  </si>
  <si>
    <t>TXN01920</t>
  </si>
  <si>
    <t>TXN01921</t>
  </si>
  <si>
    <t>TXN01922</t>
  </si>
  <si>
    <t>TXN01923</t>
  </si>
  <si>
    <t>TXN01924</t>
  </si>
  <si>
    <t>TXN01925</t>
  </si>
  <si>
    <t>TXN01926</t>
  </si>
  <si>
    <t>TXN01927</t>
  </si>
  <si>
    <t>TXN01928</t>
  </si>
  <si>
    <t>TXN01929</t>
  </si>
  <si>
    <t>TXN01930</t>
  </si>
  <si>
    <t>TXN01931</t>
  </si>
  <si>
    <t>TXN01932</t>
  </si>
  <si>
    <t>TXN01933</t>
  </si>
  <si>
    <t>TXN01934</t>
  </si>
  <si>
    <t>TXN01935</t>
  </si>
  <si>
    <t>TXN01936</t>
  </si>
  <si>
    <t>TXN01937</t>
  </si>
  <si>
    <t>TXN01938</t>
  </si>
  <si>
    <t>TXN01939</t>
  </si>
  <si>
    <t>TXN01940</t>
  </si>
  <si>
    <t>TXN01941</t>
  </si>
  <si>
    <t>TXN01942</t>
  </si>
  <si>
    <t>TXN01943</t>
  </si>
  <si>
    <t>TXN01944</t>
  </si>
  <si>
    <t>TXN01945</t>
  </si>
  <si>
    <t>TXN01946</t>
  </si>
  <si>
    <t>TXN01947</t>
  </si>
  <si>
    <t>TXN01948</t>
  </si>
  <si>
    <t>TXN01949</t>
  </si>
  <si>
    <t>TXN01950</t>
  </si>
  <si>
    <t>TXN01951</t>
  </si>
  <si>
    <t>TXN01952</t>
  </si>
  <si>
    <t>TXN01953</t>
  </si>
  <si>
    <t>TXN01954</t>
  </si>
  <si>
    <t>TXN01955</t>
  </si>
  <si>
    <t>TXN01956</t>
  </si>
  <si>
    <t>TXN01957</t>
  </si>
  <si>
    <t>TXN01958</t>
  </si>
  <si>
    <t>TXN01959</t>
  </si>
  <si>
    <t>TXN01960</t>
  </si>
  <si>
    <t>TXN01961</t>
  </si>
  <si>
    <t>TXN01962</t>
  </si>
  <si>
    <t>TXN01963</t>
  </si>
  <si>
    <t>TXN01964</t>
  </si>
  <si>
    <t>TXN01965</t>
  </si>
  <si>
    <t>TXN01966</t>
  </si>
  <si>
    <t>TXN01967</t>
  </si>
  <si>
    <t>TXN01968</t>
  </si>
  <si>
    <t>TXN01969</t>
  </si>
  <si>
    <t>TXN01970</t>
  </si>
  <si>
    <t>TXN01971</t>
  </si>
  <si>
    <t>TXN01972</t>
  </si>
  <si>
    <t>TXN01973</t>
  </si>
  <si>
    <t>TXN01974</t>
  </si>
  <si>
    <t>TXN01975</t>
  </si>
  <si>
    <t>TXN01976</t>
  </si>
  <si>
    <t>TXN01977</t>
  </si>
  <si>
    <t>TXN01978</t>
  </si>
  <si>
    <t>TXN01979</t>
  </si>
  <si>
    <t>TXN01980</t>
  </si>
  <si>
    <t>TXN01981</t>
  </si>
  <si>
    <t>TXN01982</t>
  </si>
  <si>
    <t>TXN01983</t>
  </si>
  <si>
    <t>TXN01984</t>
  </si>
  <si>
    <t>TXN01985</t>
  </si>
  <si>
    <t>TXN01986</t>
  </si>
  <si>
    <t>TXN01987</t>
  </si>
  <si>
    <t>TXN01988</t>
  </si>
  <si>
    <t>TXN01989</t>
  </si>
  <si>
    <t>TXN01990</t>
  </si>
  <si>
    <t>TXN01991</t>
  </si>
  <si>
    <t>TXN01992</t>
  </si>
  <si>
    <t>TXN01993</t>
  </si>
  <si>
    <t>TXN01994</t>
  </si>
  <si>
    <t>TXN01995</t>
  </si>
  <si>
    <t>TXN01996</t>
  </si>
  <si>
    <t>TXN01997</t>
  </si>
  <si>
    <t>TXN01998</t>
  </si>
  <si>
    <t>TXN01999</t>
  </si>
  <si>
    <t>TXN02000</t>
  </si>
  <si>
    <t>TXN02001</t>
  </si>
  <si>
    <t>TXN02002</t>
  </si>
  <si>
    <t>TXN02003</t>
  </si>
  <si>
    <t>TXN02004</t>
  </si>
  <si>
    <t>TXN02005</t>
  </si>
  <si>
    <t>TXN02006</t>
  </si>
  <si>
    <t>TXN02007</t>
  </si>
  <si>
    <t>TXN02008</t>
  </si>
  <si>
    <t>TXN02009</t>
  </si>
  <si>
    <t>TXN02010</t>
  </si>
  <si>
    <t>TXN02011</t>
  </si>
  <si>
    <t>TXN02012</t>
  </si>
  <si>
    <t>TXN02013</t>
  </si>
  <si>
    <t>TXN02014</t>
  </si>
  <si>
    <t>TXN02015</t>
  </si>
  <si>
    <t>TXN02016</t>
  </si>
  <si>
    <t>TXN02017</t>
  </si>
  <si>
    <t>TXN02018</t>
  </si>
  <si>
    <t>TXN02019</t>
  </si>
  <si>
    <t>TXN02020</t>
  </si>
  <si>
    <t>TXN02021</t>
  </si>
  <si>
    <t>TXN02022</t>
  </si>
  <si>
    <t>TXN02023</t>
  </si>
  <si>
    <t>TXN02024</t>
  </si>
  <si>
    <t>TXN02025</t>
  </si>
  <si>
    <t>TXN02026</t>
  </si>
  <si>
    <t>TXN02027</t>
  </si>
  <si>
    <t>TXN02028</t>
  </si>
  <si>
    <t>TXN02029</t>
  </si>
  <si>
    <t>TXN02030</t>
  </si>
  <si>
    <t>TXN02031</t>
  </si>
  <si>
    <t>TXN02032</t>
  </si>
  <si>
    <t>TXN02033</t>
  </si>
  <si>
    <t>TXN02034</t>
  </si>
  <si>
    <t>TXN02035</t>
  </si>
  <si>
    <t>TXN02036</t>
  </si>
  <si>
    <t>TXN02037</t>
  </si>
  <si>
    <t>TXN02038</t>
  </si>
  <si>
    <t>TXN02039</t>
  </si>
  <si>
    <t>TXN02040</t>
  </si>
  <si>
    <t>TXN02041</t>
  </si>
  <si>
    <t>TXN02042</t>
  </si>
  <si>
    <t>TXN02043</t>
  </si>
  <si>
    <t>TXN02044</t>
  </si>
  <si>
    <t>TXN02045</t>
  </si>
  <si>
    <t>TXN02046</t>
  </si>
  <si>
    <t>TXN02047</t>
  </si>
  <si>
    <t>TXN02048</t>
  </si>
  <si>
    <t>TXN02049</t>
  </si>
  <si>
    <t>TXN02050</t>
  </si>
  <si>
    <t>TXN02051</t>
  </si>
  <si>
    <t>TXN02052</t>
  </si>
  <si>
    <t>TXN02053</t>
  </si>
  <si>
    <t>TXN02054</t>
  </si>
  <si>
    <t>TXN02055</t>
  </si>
  <si>
    <t>TXN02056</t>
  </si>
  <si>
    <t>TXN02057</t>
  </si>
  <si>
    <t>TXN02058</t>
  </si>
  <si>
    <t>TXN02059</t>
  </si>
  <si>
    <t>TXN02060</t>
  </si>
  <si>
    <t>TXN02061</t>
  </si>
  <si>
    <t>TXN02062</t>
  </si>
  <si>
    <t>TXN02063</t>
  </si>
  <si>
    <t>TXN02064</t>
  </si>
  <si>
    <t>TXN02065</t>
  </si>
  <si>
    <t>TXN02066</t>
  </si>
  <si>
    <t>TXN02067</t>
  </si>
  <si>
    <t>TXN02068</t>
  </si>
  <si>
    <t>TXN02069</t>
  </si>
  <si>
    <t>TXN02070</t>
  </si>
  <si>
    <t>TXN02071</t>
  </si>
  <si>
    <t>TXN02072</t>
  </si>
  <si>
    <t>TXN02073</t>
  </si>
  <si>
    <t>TXN02074</t>
  </si>
  <si>
    <t>TXN02075</t>
  </si>
  <si>
    <t>TXN02076</t>
  </si>
  <si>
    <t>TXN02077</t>
  </si>
  <si>
    <t>TXN02078</t>
  </si>
  <si>
    <t>TXN02079</t>
  </si>
  <si>
    <t>TXN02080</t>
  </si>
  <si>
    <t>TXN02081</t>
  </si>
  <si>
    <t>TXN02082</t>
  </si>
  <si>
    <t>TXN02083</t>
  </si>
  <si>
    <t>TXN02084</t>
  </si>
  <si>
    <t>TXN02085</t>
  </si>
  <si>
    <t>TXN02086</t>
  </si>
  <si>
    <t>TXN02087</t>
  </si>
  <si>
    <t>TXN02088</t>
  </si>
  <si>
    <t>TXN02089</t>
  </si>
  <si>
    <t>TXN02090</t>
  </si>
  <si>
    <t>TXN02091</t>
  </si>
  <si>
    <t>TXN02092</t>
  </si>
  <si>
    <t>TXN02093</t>
  </si>
  <si>
    <t>TXN02094</t>
  </si>
  <si>
    <t>TXN02095</t>
  </si>
  <si>
    <t>TXN02096</t>
  </si>
  <si>
    <t>TXN02097</t>
  </si>
  <si>
    <t>TXN02098</t>
  </si>
  <si>
    <t>TXN02099</t>
  </si>
  <si>
    <t>TXN02100</t>
  </si>
  <si>
    <t>TXN02101</t>
  </si>
  <si>
    <t>TXN02102</t>
  </si>
  <si>
    <t>TXN02103</t>
  </si>
  <si>
    <t>TXN02104</t>
  </si>
  <si>
    <t>TXN02105</t>
  </si>
  <si>
    <t>TXN02106</t>
  </si>
  <si>
    <t>TXN02107</t>
  </si>
  <si>
    <t>TXN02108</t>
  </si>
  <si>
    <t>TXN02109</t>
  </si>
  <si>
    <t>TXN02110</t>
  </si>
  <si>
    <t>TXN02111</t>
  </si>
  <si>
    <t>TXN02112</t>
  </si>
  <si>
    <t>TXN02113</t>
  </si>
  <si>
    <t>TXN02114</t>
  </si>
  <si>
    <t>TXN02115</t>
  </si>
  <si>
    <t>TXN02116</t>
  </si>
  <si>
    <t>TXN02117</t>
  </si>
  <si>
    <t>TXN02118</t>
  </si>
  <si>
    <t>TXN02119</t>
  </si>
  <si>
    <t>TXN02120</t>
  </si>
  <si>
    <t>TXN02121</t>
  </si>
  <si>
    <t>TXN02122</t>
  </si>
  <si>
    <t>TXN02123</t>
  </si>
  <si>
    <t>TXN02124</t>
  </si>
  <si>
    <t>TXN02125</t>
  </si>
  <si>
    <t>TXN02126</t>
  </si>
  <si>
    <t>TXN02127</t>
  </si>
  <si>
    <t>TXN02128</t>
  </si>
  <si>
    <t>TXN02129</t>
  </si>
  <si>
    <t>TXN02130</t>
  </si>
  <si>
    <t>TXN02131</t>
  </si>
  <si>
    <t>TXN02132</t>
  </si>
  <si>
    <t>TXN02133</t>
  </si>
  <si>
    <t>TXN02134</t>
  </si>
  <si>
    <t>TXN02135</t>
  </si>
  <si>
    <t>TXN02136</t>
  </si>
  <si>
    <t>TXN02137</t>
  </si>
  <si>
    <t>TXN02138</t>
  </si>
  <si>
    <t>TXN02139</t>
  </si>
  <si>
    <t>TXN02140</t>
  </si>
  <si>
    <t>TXN02141</t>
  </si>
  <si>
    <t>TXN02142</t>
  </si>
  <si>
    <t>TXN02143</t>
  </si>
  <si>
    <t>TXN02144</t>
  </si>
  <si>
    <t>TXN02145</t>
  </si>
  <si>
    <t>TXN02146</t>
  </si>
  <si>
    <t>TXN02147</t>
  </si>
  <si>
    <t>TXN02148</t>
  </si>
  <si>
    <t>TXN02149</t>
  </si>
  <si>
    <t>TXN02150</t>
  </si>
  <si>
    <t>TXN02151</t>
  </si>
  <si>
    <t>TXN02152</t>
  </si>
  <si>
    <t>TXN02153</t>
  </si>
  <si>
    <t>TXN02154</t>
  </si>
  <si>
    <t>TXN02155</t>
  </si>
  <si>
    <t>TXN02156</t>
  </si>
  <si>
    <t>TXN02157</t>
  </si>
  <si>
    <t>TXN02158</t>
  </si>
  <si>
    <t>TXN02159</t>
  </si>
  <si>
    <t>TXN02160</t>
  </si>
  <si>
    <t>TXN02161</t>
  </si>
  <si>
    <t>TXN02162</t>
  </si>
  <si>
    <t>TXN02163</t>
  </si>
  <si>
    <t>TXN02164</t>
  </si>
  <si>
    <t>TXN02165</t>
  </si>
  <si>
    <t>TXN02166</t>
  </si>
  <si>
    <t>TXN02167</t>
  </si>
  <si>
    <t>TXN02168</t>
  </si>
  <si>
    <t>TXN02169</t>
  </si>
  <si>
    <t>TXN02170</t>
  </si>
  <si>
    <t>TXN02171</t>
  </si>
  <si>
    <t>TXN02172</t>
  </si>
  <si>
    <t>TXN02173</t>
  </si>
  <si>
    <t>TXN02174</t>
  </si>
  <si>
    <t>TXN02175</t>
  </si>
  <si>
    <t>TXN02176</t>
  </si>
  <si>
    <t>TXN02177</t>
  </si>
  <si>
    <t>TXN02178</t>
  </si>
  <si>
    <t>TXN02179</t>
  </si>
  <si>
    <t>TXN02180</t>
  </si>
  <si>
    <t>TXN02181</t>
  </si>
  <si>
    <t>TXN02182</t>
  </si>
  <si>
    <t>TXN02183</t>
  </si>
  <si>
    <t>TXN02184</t>
  </si>
  <si>
    <t>TXN02185</t>
  </si>
  <si>
    <t>TXN02186</t>
  </si>
  <si>
    <t>TXN02187</t>
  </si>
  <si>
    <t>TXN02188</t>
  </si>
  <si>
    <t>TXN02189</t>
  </si>
  <si>
    <t>TXN02190</t>
  </si>
  <si>
    <t>TXN02191</t>
  </si>
  <si>
    <t>TXN02192</t>
  </si>
  <si>
    <t>TXN02193</t>
  </si>
  <si>
    <t>TXN02194</t>
  </si>
  <si>
    <t>TXN02195</t>
  </si>
  <si>
    <t>TXN02196</t>
  </si>
  <si>
    <t>TXN02197</t>
  </si>
  <si>
    <t>TXN02198</t>
  </si>
  <si>
    <t>TXN02199</t>
  </si>
  <si>
    <t>TXN02200</t>
  </si>
  <si>
    <t>TXN02201</t>
  </si>
  <si>
    <t>TXN02202</t>
  </si>
  <si>
    <t>TXN02203</t>
  </si>
  <si>
    <t>TXN02204</t>
  </si>
  <si>
    <t>TXN02205</t>
  </si>
  <si>
    <t>TXN02206</t>
  </si>
  <si>
    <t>TXN02207</t>
  </si>
  <si>
    <t>TXN02208</t>
  </si>
  <si>
    <t>TXN02209</t>
  </si>
  <si>
    <t>TXN02210</t>
  </si>
  <si>
    <t>TXN02211</t>
  </si>
  <si>
    <t>TXN02212</t>
  </si>
  <si>
    <t>TXN02213</t>
  </si>
  <si>
    <t>TXN02214</t>
  </si>
  <si>
    <t>TXN02215</t>
  </si>
  <si>
    <t>TXN02216</t>
  </si>
  <si>
    <t>TXN02217</t>
  </si>
  <si>
    <t>TXN02218</t>
  </si>
  <si>
    <t>TXN02219</t>
  </si>
  <si>
    <t>TXN02220</t>
  </si>
  <si>
    <t>TXN02221</t>
  </si>
  <si>
    <t>TXN02222</t>
  </si>
  <si>
    <t>TXN02223</t>
  </si>
  <si>
    <t>TXN02224</t>
  </si>
  <si>
    <t>TXN02225</t>
  </si>
  <si>
    <t>TXN02226</t>
  </si>
  <si>
    <t>TXN02227</t>
  </si>
  <si>
    <t>TXN02228</t>
  </si>
  <si>
    <t>TXN02229</t>
  </si>
  <si>
    <t>TXN02230</t>
  </si>
  <si>
    <t>TXN02231</t>
  </si>
  <si>
    <t>TXN02232</t>
  </si>
  <si>
    <t>TXN02233</t>
  </si>
  <si>
    <t>TXN02234</t>
  </si>
  <si>
    <t>TXN02235</t>
  </si>
  <si>
    <t>TXN02236</t>
  </si>
  <si>
    <t>TXN02237</t>
  </si>
  <si>
    <t>TXN02238</t>
  </si>
  <si>
    <t>TXN02239</t>
  </si>
  <si>
    <t>TXN02240</t>
  </si>
  <si>
    <t>TXN02241</t>
  </si>
  <si>
    <t>TXN02242</t>
  </si>
  <si>
    <t>TXN02243</t>
  </si>
  <si>
    <t>TXN02244</t>
  </si>
  <si>
    <t>TXN02245</t>
  </si>
  <si>
    <t>TXN02246</t>
  </si>
  <si>
    <t>TXN02247</t>
  </si>
  <si>
    <t>TXN02248</t>
  </si>
  <si>
    <t>TXN02249</t>
  </si>
  <si>
    <t>TXN02250</t>
  </si>
  <si>
    <t>TXN02251</t>
  </si>
  <si>
    <t>TXN02252</t>
  </si>
  <si>
    <t>TXN02253</t>
  </si>
  <si>
    <t>TXN02254</t>
  </si>
  <si>
    <t>TXN02255</t>
  </si>
  <si>
    <t>TXN02256</t>
  </si>
  <si>
    <t>TXN02257</t>
  </si>
  <si>
    <t>TXN02258</t>
  </si>
  <si>
    <t>TXN02259</t>
  </si>
  <si>
    <t>TXN02260</t>
  </si>
  <si>
    <t>TXN02261</t>
  </si>
  <si>
    <t>TXN02262</t>
  </si>
  <si>
    <t>TXN02263</t>
  </si>
  <si>
    <t>TXN02264</t>
  </si>
  <si>
    <t>TXN02265</t>
  </si>
  <si>
    <t>TXN02266</t>
  </si>
  <si>
    <t>TXN02267</t>
  </si>
  <si>
    <t>TXN02268</t>
  </si>
  <si>
    <t>TXN02269</t>
  </si>
  <si>
    <t>TXN02270</t>
  </si>
  <si>
    <t>TXN02271</t>
  </si>
  <si>
    <t>TXN02272</t>
  </si>
  <si>
    <t>TXN02273</t>
  </si>
  <si>
    <t>TXN02274</t>
  </si>
  <si>
    <t>TXN02275</t>
  </si>
  <si>
    <t>TXN02276</t>
  </si>
  <si>
    <t>TXN02277</t>
  </si>
  <si>
    <t>TXN02278</t>
  </si>
  <si>
    <t>TXN02279</t>
  </si>
  <si>
    <t>TXN02280</t>
  </si>
  <si>
    <t>TXN02281</t>
  </si>
  <si>
    <t>TXN02282</t>
  </si>
  <si>
    <t>TXN02283</t>
  </si>
  <si>
    <t>TXN02284</t>
  </si>
  <si>
    <t>TXN02285</t>
  </si>
  <si>
    <t>TXN02286</t>
  </si>
  <si>
    <t>TXN02287</t>
  </si>
  <si>
    <t>TXN02288</t>
  </si>
  <si>
    <t>TXN02289</t>
  </si>
  <si>
    <t>TXN02290</t>
  </si>
  <si>
    <t>TXN02291</t>
  </si>
  <si>
    <t>TXN02292</t>
  </si>
  <si>
    <t>TXN02293</t>
  </si>
  <si>
    <t>TXN02294</t>
  </si>
  <si>
    <t>TXN02295</t>
  </si>
  <si>
    <t>TXN02296</t>
  </si>
  <si>
    <t>TXN02297</t>
  </si>
  <si>
    <t>TXN02298</t>
  </si>
  <si>
    <t>TXN02299</t>
  </si>
  <si>
    <t>TXN02300</t>
  </si>
  <si>
    <t>TXN02301</t>
  </si>
  <si>
    <t>TXN02302</t>
  </si>
  <si>
    <t>TXN02303</t>
  </si>
  <si>
    <t>TXN02304</t>
  </si>
  <si>
    <t>TXN02305</t>
  </si>
  <si>
    <t>TXN02306</t>
  </si>
  <si>
    <t>TXN02307</t>
  </si>
  <si>
    <t>TXN02308</t>
  </si>
  <si>
    <t>TXN02309</t>
  </si>
  <si>
    <t>TXN02310</t>
  </si>
  <si>
    <t>TXN02311</t>
  </si>
  <si>
    <t>TXN02312</t>
  </si>
  <si>
    <t>TXN02313</t>
  </si>
  <si>
    <t>TXN02314</t>
  </si>
  <si>
    <t>TXN02315</t>
  </si>
  <si>
    <t>TXN02316</t>
  </si>
  <si>
    <t>TXN02317</t>
  </si>
  <si>
    <t>TXN02318</t>
  </si>
  <si>
    <t>TXN02319</t>
  </si>
  <si>
    <t>TXN02320</t>
  </si>
  <si>
    <t>TXN02321</t>
  </si>
  <si>
    <t>TXN02322</t>
  </si>
  <si>
    <t>TXN02323</t>
  </si>
  <si>
    <t>TXN02324</t>
  </si>
  <si>
    <t>TXN02325</t>
  </si>
  <si>
    <t>TXN02326</t>
  </si>
  <si>
    <t>TXN02327</t>
  </si>
  <si>
    <t>TXN02328</t>
  </si>
  <si>
    <t>TXN02329</t>
  </si>
  <si>
    <t>TXN02330</t>
  </si>
  <si>
    <t>TXN02331</t>
  </si>
  <si>
    <t>TXN02332</t>
  </si>
  <si>
    <t>TXN02333</t>
  </si>
  <si>
    <t>TXN02334</t>
  </si>
  <si>
    <t>TXN02335</t>
  </si>
  <si>
    <t>TXN02336</t>
  </si>
  <si>
    <t>TXN02337</t>
  </si>
  <si>
    <t>TXN02338</t>
  </si>
  <si>
    <t>TXN02339</t>
  </si>
  <si>
    <t>TXN02340</t>
  </si>
  <si>
    <t>TXN02341</t>
  </si>
  <si>
    <t>TXN02342</t>
  </si>
  <si>
    <t>TXN02343</t>
  </si>
  <si>
    <t>TXN02344</t>
  </si>
  <si>
    <t>TXN02345</t>
  </si>
  <si>
    <t>TXN02346</t>
  </si>
  <si>
    <t>TXN02347</t>
  </si>
  <si>
    <t>TXN02348</t>
  </si>
  <si>
    <t>TXN02349</t>
  </si>
  <si>
    <t>TXN02350</t>
  </si>
  <si>
    <t>TXN02351</t>
  </si>
  <si>
    <t>TXN02352</t>
  </si>
  <si>
    <t>TXN02353</t>
  </si>
  <si>
    <t>TXN02354</t>
  </si>
  <si>
    <t>TXN02355</t>
  </si>
  <si>
    <t>TXN02356</t>
  </si>
  <si>
    <t>TXN02357</t>
  </si>
  <si>
    <t>TXN02358</t>
  </si>
  <si>
    <t>TXN02359</t>
  </si>
  <si>
    <t>TXN02360</t>
  </si>
  <si>
    <t>TXN02361</t>
  </si>
  <si>
    <t>TXN02362</t>
  </si>
  <si>
    <t>TXN02363</t>
  </si>
  <si>
    <t>TXN02364</t>
  </si>
  <si>
    <t>TXN02365</t>
  </si>
  <si>
    <t>TXN02366</t>
  </si>
  <si>
    <t>TXN02367</t>
  </si>
  <si>
    <t>TXN02368</t>
  </si>
  <si>
    <t>TXN02369</t>
  </si>
  <si>
    <t>TXN02370</t>
  </si>
  <si>
    <t>TXN02371</t>
  </si>
  <si>
    <t>TXN02372</t>
  </si>
  <si>
    <t>TXN02373</t>
  </si>
  <si>
    <t>TXN02374</t>
  </si>
  <si>
    <t>TXN02375</t>
  </si>
  <si>
    <t>TXN02376</t>
  </si>
  <si>
    <t>TXN02377</t>
  </si>
  <si>
    <t>TXN02378</t>
  </si>
  <si>
    <t>TXN02379</t>
  </si>
  <si>
    <t>TXN02380</t>
  </si>
  <si>
    <t>TXN02381</t>
  </si>
  <si>
    <t>TXN02382</t>
  </si>
  <si>
    <t>TXN02383</t>
  </si>
  <si>
    <t>TXN02384</t>
  </si>
  <si>
    <t>TXN02385</t>
  </si>
  <si>
    <t>TXN02386</t>
  </si>
  <si>
    <t>TXN02387</t>
  </si>
  <si>
    <t>TXN02388</t>
  </si>
  <si>
    <t>TXN02389</t>
  </si>
  <si>
    <t>TXN02390</t>
  </si>
  <si>
    <t>TXN02391</t>
  </si>
  <si>
    <t>TXN02392</t>
  </si>
  <si>
    <t>TXN02393</t>
  </si>
  <si>
    <t>TXN02394</t>
  </si>
  <si>
    <t>TXN02395</t>
  </si>
  <si>
    <t>TXN02396</t>
  </si>
  <si>
    <t>TXN02397</t>
  </si>
  <si>
    <t>TXN02398</t>
  </si>
  <si>
    <t>TXN02399</t>
  </si>
  <si>
    <t>TXN02400</t>
  </si>
  <si>
    <t>TXN02401</t>
  </si>
  <si>
    <t>TXN02402</t>
  </si>
  <si>
    <t>TXN02403</t>
  </si>
  <si>
    <t>TXN02404</t>
  </si>
  <si>
    <t>TXN02405</t>
  </si>
  <si>
    <t>TXN02406</t>
  </si>
  <si>
    <t>TXN02407</t>
  </si>
  <si>
    <t>TXN02408</t>
  </si>
  <si>
    <t>TXN02409</t>
  </si>
  <si>
    <t>TXN02410</t>
  </si>
  <si>
    <t>TXN02411</t>
  </si>
  <si>
    <t>TXN02412</t>
  </si>
  <si>
    <t>TXN02413</t>
  </si>
  <si>
    <t>TXN02414</t>
  </si>
  <si>
    <t>TXN02415</t>
  </si>
  <si>
    <t>TXN02416</t>
  </si>
  <si>
    <t>TXN02417</t>
  </si>
  <si>
    <t>TXN02418</t>
  </si>
  <si>
    <t>TXN02419</t>
  </si>
  <si>
    <t>TXN02420</t>
  </si>
  <si>
    <t>TXN02421</t>
  </si>
  <si>
    <t>TXN02422</t>
  </si>
  <si>
    <t>TXN02423</t>
  </si>
  <si>
    <t>TXN02424</t>
  </si>
  <si>
    <t>TXN02425</t>
  </si>
  <si>
    <t>TXN02426</t>
  </si>
  <si>
    <t>TXN02427</t>
  </si>
  <si>
    <t>TXN02428</t>
  </si>
  <si>
    <t>TXN02429</t>
  </si>
  <si>
    <t>TXN02430</t>
  </si>
  <si>
    <t>TXN02431</t>
  </si>
  <si>
    <t>TXN02432</t>
  </si>
  <si>
    <t>TXN02433</t>
  </si>
  <si>
    <t>TXN02434</t>
  </si>
  <si>
    <t>TXN02435</t>
  </si>
  <si>
    <t>TXN02436</t>
  </si>
  <si>
    <t>TXN02437</t>
  </si>
  <si>
    <t>TXN02438</t>
  </si>
  <si>
    <t>TXN02439</t>
  </si>
  <si>
    <t>TXN02440</t>
  </si>
  <si>
    <t>TXN02441</t>
  </si>
  <si>
    <t>TXN02442</t>
  </si>
  <si>
    <t>TXN02443</t>
  </si>
  <si>
    <t>TXN02444</t>
  </si>
  <si>
    <t>TXN02445</t>
  </si>
  <si>
    <t>TXN02446</t>
  </si>
  <si>
    <t>TXN02447</t>
  </si>
  <si>
    <t>TXN02448</t>
  </si>
  <si>
    <t>TXN02449</t>
  </si>
  <si>
    <t>TXN02450</t>
  </si>
  <si>
    <t>TXN02451</t>
  </si>
  <si>
    <t>TXN02452</t>
  </si>
  <si>
    <t>TXN02453</t>
  </si>
  <si>
    <t>TXN02454</t>
  </si>
  <si>
    <t>TXN02455</t>
  </si>
  <si>
    <t>TXN02456</t>
  </si>
  <si>
    <t>TXN02457</t>
  </si>
  <si>
    <t>TXN02458</t>
  </si>
  <si>
    <t>TXN02459</t>
  </si>
  <si>
    <t>TXN02460</t>
  </si>
  <si>
    <t>TXN02461</t>
  </si>
  <si>
    <t>TXN02462</t>
  </si>
  <si>
    <t>TXN02463</t>
  </si>
  <si>
    <t>TXN02464</t>
  </si>
  <si>
    <t>TXN02465</t>
  </si>
  <si>
    <t>TXN02466</t>
  </si>
  <si>
    <t>TXN02467</t>
  </si>
  <si>
    <t>TXN02468</t>
  </si>
  <si>
    <t>TXN02469</t>
  </si>
  <si>
    <t>TXN02470</t>
  </si>
  <si>
    <t>TXN02471</t>
  </si>
  <si>
    <t>TXN02472</t>
  </si>
  <si>
    <t>TXN02473</t>
  </si>
  <si>
    <t>TXN02474</t>
  </si>
  <si>
    <t>TXN02475</t>
  </si>
  <si>
    <t>TXN02476</t>
  </si>
  <si>
    <t>TXN02477</t>
  </si>
  <si>
    <t>TXN02478</t>
  </si>
  <si>
    <t>TXN02479</t>
  </si>
  <si>
    <t>TXN02480</t>
  </si>
  <si>
    <t>TXN02481</t>
  </si>
  <si>
    <t>TXN02482</t>
  </si>
  <si>
    <t>TXN02483</t>
  </si>
  <si>
    <t>TXN02484</t>
  </si>
  <si>
    <t>TXN02485</t>
  </si>
  <si>
    <t>TXN02486</t>
  </si>
  <si>
    <t>TXN02487</t>
  </si>
  <si>
    <t>TXN02488</t>
  </si>
  <si>
    <t>TXN02489</t>
  </si>
  <si>
    <t>TXN02490</t>
  </si>
  <si>
    <t>TXN02491</t>
  </si>
  <si>
    <t>TXN02492</t>
  </si>
  <si>
    <t>TXN02493</t>
  </si>
  <si>
    <t>TXN02494</t>
  </si>
  <si>
    <t>TXN02495</t>
  </si>
  <si>
    <t>TXN02496</t>
  </si>
  <si>
    <t>TXN02497</t>
  </si>
  <si>
    <t>TXN02498</t>
  </si>
  <si>
    <t>TXN02499</t>
  </si>
  <si>
    <t>TXN02500</t>
  </si>
  <si>
    <t>TXN02501</t>
  </si>
  <si>
    <t>TXN02502</t>
  </si>
  <si>
    <t>TXN02503</t>
  </si>
  <si>
    <t>TXN02504</t>
  </si>
  <si>
    <t>TXN02505</t>
  </si>
  <si>
    <t>TXN02506</t>
  </si>
  <si>
    <t>TXN02507</t>
  </si>
  <si>
    <t>TXN02508</t>
  </si>
  <si>
    <t>TXN02509</t>
  </si>
  <si>
    <t>TXN02510</t>
  </si>
  <si>
    <t>TXN02511</t>
  </si>
  <si>
    <t>TXN02512</t>
  </si>
  <si>
    <t>TXN02513</t>
  </si>
  <si>
    <t>TXN02514</t>
  </si>
  <si>
    <t>TXN02515</t>
  </si>
  <si>
    <t>TXN02516</t>
  </si>
  <si>
    <t>TXN02517</t>
  </si>
  <si>
    <t>TXN02518</t>
  </si>
  <si>
    <t>TXN02519</t>
  </si>
  <si>
    <t>TXN02520</t>
  </si>
  <si>
    <t>TXN02521</t>
  </si>
  <si>
    <t>TXN02522</t>
  </si>
  <si>
    <t>TXN02523</t>
  </si>
  <si>
    <t>TXN02524</t>
  </si>
  <si>
    <t>TXN02525</t>
  </si>
  <si>
    <t>TXN02526</t>
  </si>
  <si>
    <t>TXN02527</t>
  </si>
  <si>
    <t>TXN02528</t>
  </si>
  <si>
    <t>TXN02529</t>
  </si>
  <si>
    <t>TXN02530</t>
  </si>
  <si>
    <t>TXN02531</t>
  </si>
  <si>
    <t>TXN02532</t>
  </si>
  <si>
    <t>TXN02533</t>
  </si>
  <si>
    <t>TXN02534</t>
  </si>
  <si>
    <t>TXN02535</t>
  </si>
  <si>
    <t>TXN02536</t>
  </si>
  <si>
    <t>TXN02537</t>
  </si>
  <si>
    <t>TXN02538</t>
  </si>
  <si>
    <t>TXN02539</t>
  </si>
  <si>
    <t>TXN02540</t>
  </si>
  <si>
    <t>TXN02541</t>
  </si>
  <si>
    <t>TXN02542</t>
  </si>
  <si>
    <t>TXN02543</t>
  </si>
  <si>
    <t>TXN02544</t>
  </si>
  <si>
    <t>TXN02545</t>
  </si>
  <si>
    <t>TXN02546</t>
  </si>
  <si>
    <t>TXN02547</t>
  </si>
  <si>
    <t>TXN02548</t>
  </si>
  <si>
    <t>TXN02549</t>
  </si>
  <si>
    <t>TXN02550</t>
  </si>
  <si>
    <t>TXN02551</t>
  </si>
  <si>
    <t>TXN02552</t>
  </si>
  <si>
    <t>TXN02553</t>
  </si>
  <si>
    <t>TXN02554</t>
  </si>
  <si>
    <t>TXN02555</t>
  </si>
  <si>
    <t>TXN02556</t>
  </si>
  <si>
    <t>TXN02557</t>
  </si>
  <si>
    <t>TXN02558</t>
  </si>
  <si>
    <t>TXN02559</t>
  </si>
  <si>
    <t>TXN02560</t>
  </si>
  <si>
    <t>TXN02561</t>
  </si>
  <si>
    <t>TXN02562</t>
  </si>
  <si>
    <t>TXN02563</t>
  </si>
  <si>
    <t>TXN02564</t>
  </si>
  <si>
    <t>TXN02565</t>
  </si>
  <si>
    <t>TXN02566</t>
  </si>
  <si>
    <t>TXN02567</t>
  </si>
  <si>
    <t>TXN02568</t>
  </si>
  <si>
    <t>TXN02569</t>
  </si>
  <si>
    <t>TXN02570</t>
  </si>
  <si>
    <t>TXN02571</t>
  </si>
  <si>
    <t>TXN02572</t>
  </si>
  <si>
    <t>TXN02573</t>
  </si>
  <si>
    <t>TXN02574</t>
  </si>
  <si>
    <t>TXN02575</t>
  </si>
  <si>
    <t>TXN02576</t>
  </si>
  <si>
    <t>TXN02577</t>
  </si>
  <si>
    <t>TXN02578</t>
  </si>
  <si>
    <t>TXN02579</t>
  </si>
  <si>
    <t>TXN02580</t>
  </si>
  <si>
    <t>TXN02581</t>
  </si>
  <si>
    <t>TXN02582</t>
  </si>
  <si>
    <t>TXN02583</t>
  </si>
  <si>
    <t>TXN02584</t>
  </si>
  <si>
    <t>TXN02585</t>
  </si>
  <si>
    <t>TXN02586</t>
  </si>
  <si>
    <t>TXN02587</t>
  </si>
  <si>
    <t>TXN02588</t>
  </si>
  <si>
    <t>TXN02589</t>
  </si>
  <si>
    <t>TXN02590</t>
  </si>
  <si>
    <t>TXN02591</t>
  </si>
  <si>
    <t>TXN02592</t>
  </si>
  <si>
    <t>TXN02593</t>
  </si>
  <si>
    <t>TXN02594</t>
  </si>
  <si>
    <t>TXN02595</t>
  </si>
  <si>
    <t>TXN02596</t>
  </si>
  <si>
    <t>TXN02597</t>
  </si>
  <si>
    <t>TXN02598</t>
  </si>
  <si>
    <t>TXN02599</t>
  </si>
  <si>
    <t>TXN02600</t>
  </si>
  <si>
    <t>TXN02601</t>
  </si>
  <si>
    <t>TXN02602</t>
  </si>
  <si>
    <t>TXN02603</t>
  </si>
  <si>
    <t>TXN02604</t>
  </si>
  <si>
    <t>TXN02605</t>
  </si>
  <si>
    <t>TXN02606</t>
  </si>
  <si>
    <t>TXN02607</t>
  </si>
  <si>
    <t>TXN02608</t>
  </si>
  <si>
    <t>TXN02609</t>
  </si>
  <si>
    <t>TXN02610</t>
  </si>
  <si>
    <t>TXN02611</t>
  </si>
  <si>
    <t>TXN02612</t>
  </si>
  <si>
    <t>TXN02613</t>
  </si>
  <si>
    <t>TXN02614</t>
  </si>
  <si>
    <t>TXN02615</t>
  </si>
  <si>
    <t>TXN02616</t>
  </si>
  <si>
    <t>TXN02617</t>
  </si>
  <si>
    <t>TXN02618</t>
  </si>
  <si>
    <t>TXN02619</t>
  </si>
  <si>
    <t>TXN02620</t>
  </si>
  <si>
    <t>TXN02621</t>
  </si>
  <si>
    <t>TXN02622</t>
  </si>
  <si>
    <t>TXN02623</t>
  </si>
  <si>
    <t>TXN02624</t>
  </si>
  <si>
    <t>TXN02625</t>
  </si>
  <si>
    <t>TXN02626</t>
  </si>
  <si>
    <t>TXN02627</t>
  </si>
  <si>
    <t>TXN02628</t>
  </si>
  <si>
    <t>TXN02629</t>
  </si>
  <si>
    <t>TXN02630</t>
  </si>
  <si>
    <t>TXN02631</t>
  </si>
  <si>
    <t>TXN02632</t>
  </si>
  <si>
    <t>TXN02633</t>
  </si>
  <si>
    <t>TXN02634</t>
  </si>
  <si>
    <t>TXN02635</t>
  </si>
  <si>
    <t>TXN02636</t>
  </si>
  <si>
    <t>TXN02637</t>
  </si>
  <si>
    <t>TXN02638</t>
  </si>
  <si>
    <t>TXN02639</t>
  </si>
  <si>
    <t>TXN02640</t>
  </si>
  <si>
    <t>TXN02641</t>
  </si>
  <si>
    <t>TXN02642</t>
  </si>
  <si>
    <t>TXN02643</t>
  </si>
  <si>
    <t>TXN02644</t>
  </si>
  <si>
    <t>TXN02645</t>
  </si>
  <si>
    <t>TXN02646</t>
  </si>
  <si>
    <t>TXN02647</t>
  </si>
  <si>
    <t>TXN02648</t>
  </si>
  <si>
    <t>TXN02649</t>
  </si>
  <si>
    <t>TXN02650</t>
  </si>
  <si>
    <t>TXN02651</t>
  </si>
  <si>
    <t>TXN02652</t>
  </si>
  <si>
    <t>TXN02653</t>
  </si>
  <si>
    <t>TXN02654</t>
  </si>
  <si>
    <t>TXN02655</t>
  </si>
  <si>
    <t>TXN02656</t>
  </si>
  <si>
    <t>TXN02657</t>
  </si>
  <si>
    <t>TXN02658</t>
  </si>
  <si>
    <t>TXN02659</t>
  </si>
  <si>
    <t>TXN02660</t>
  </si>
  <si>
    <t>TXN02661</t>
  </si>
  <si>
    <t>TXN02662</t>
  </si>
  <si>
    <t>TXN02663</t>
  </si>
  <si>
    <t>TXN02664</t>
  </si>
  <si>
    <t>TXN02665</t>
  </si>
  <si>
    <t>TXN02666</t>
  </si>
  <si>
    <t>TXN02667</t>
  </si>
  <si>
    <t>TXN02668</t>
  </si>
  <si>
    <t>TXN02669</t>
  </si>
  <si>
    <t>TXN02670</t>
  </si>
  <si>
    <t>TXN02671</t>
  </si>
  <si>
    <t>TXN02672</t>
  </si>
  <si>
    <t>TXN02673</t>
  </si>
  <si>
    <t>TXN02674</t>
  </si>
  <si>
    <t>TXN02675</t>
  </si>
  <si>
    <t>TXN02676</t>
  </si>
  <si>
    <t>TXN02677</t>
  </si>
  <si>
    <t>TXN02678</t>
  </si>
  <si>
    <t>TXN02679</t>
  </si>
  <si>
    <t>TXN02680</t>
  </si>
  <si>
    <t>TXN02681</t>
  </si>
  <si>
    <t>TXN02682</t>
  </si>
  <si>
    <t>TXN02683</t>
  </si>
  <si>
    <t>TXN02684</t>
  </si>
  <si>
    <t>TXN02685</t>
  </si>
  <si>
    <t>TXN02686</t>
  </si>
  <si>
    <t>TXN02687</t>
  </si>
  <si>
    <t>TXN02688</t>
  </si>
  <si>
    <t>TXN02689</t>
  </si>
  <si>
    <t>TXN02690</t>
  </si>
  <si>
    <t>TXN02691</t>
  </si>
  <si>
    <t>TXN02692</t>
  </si>
  <si>
    <t>TXN02693</t>
  </si>
  <si>
    <t>TXN02694</t>
  </si>
  <si>
    <t>TXN02695</t>
  </si>
  <si>
    <t>TXN02696</t>
  </si>
  <si>
    <t>TXN02697</t>
  </si>
  <si>
    <t>TXN02698</t>
  </si>
  <si>
    <t>TXN02699</t>
  </si>
  <si>
    <t>TXN02700</t>
  </si>
  <si>
    <t>TXN02701</t>
  </si>
  <si>
    <t>TXN02702</t>
  </si>
  <si>
    <t>TXN02703</t>
  </si>
  <si>
    <t>TXN02704</t>
  </si>
  <si>
    <t>TXN02705</t>
  </si>
  <si>
    <t>TXN02706</t>
  </si>
  <si>
    <t>TXN02707</t>
  </si>
  <si>
    <t>TXN02708</t>
  </si>
  <si>
    <t>TXN02709</t>
  </si>
  <si>
    <t>TXN02710</t>
  </si>
  <si>
    <t>TXN02711</t>
  </si>
  <si>
    <t>TXN02712</t>
  </si>
  <si>
    <t>TXN02713</t>
  </si>
  <si>
    <t>TXN02714</t>
  </si>
  <si>
    <t>TXN02715</t>
  </si>
  <si>
    <t>TXN02716</t>
  </si>
  <si>
    <t>TXN02717</t>
  </si>
  <si>
    <t>TXN02718</t>
  </si>
  <si>
    <t>TXN02719</t>
  </si>
  <si>
    <t>TXN02720</t>
  </si>
  <si>
    <t>TXN02721</t>
  </si>
  <si>
    <t>TXN02722</t>
  </si>
  <si>
    <t>TXN02723</t>
  </si>
  <si>
    <t>TXN02724</t>
  </si>
  <si>
    <t>TXN02725</t>
  </si>
  <si>
    <t>TXN02726</t>
  </si>
  <si>
    <t>TXN02727</t>
  </si>
  <si>
    <t>TXN02728</t>
  </si>
  <si>
    <t>TXN02729</t>
  </si>
  <si>
    <t>TXN02730</t>
  </si>
  <si>
    <t>TXN02731</t>
  </si>
  <si>
    <t>TXN02732</t>
  </si>
  <si>
    <t>TXN02733</t>
  </si>
  <si>
    <t>TXN02734</t>
  </si>
  <si>
    <t>TXN02735</t>
  </si>
  <si>
    <t>TXN02736</t>
  </si>
  <si>
    <t>TXN02737</t>
  </si>
  <si>
    <t>TXN02738</t>
  </si>
  <si>
    <t>TXN02739</t>
  </si>
  <si>
    <t>TXN02740</t>
  </si>
  <si>
    <t>TXN02741</t>
  </si>
  <si>
    <t>TXN02742</t>
  </si>
  <si>
    <t>TXN02743</t>
  </si>
  <si>
    <t>TXN02744</t>
  </si>
  <si>
    <t>TXN02745</t>
  </si>
  <si>
    <t>TXN02746</t>
  </si>
  <si>
    <t>TXN02747</t>
  </si>
  <si>
    <t>TXN02748</t>
  </si>
  <si>
    <t>TXN02749</t>
  </si>
  <si>
    <t>TXN02750</t>
  </si>
  <si>
    <t>TXN02751</t>
  </si>
  <si>
    <t>TXN02752</t>
  </si>
  <si>
    <t>TXN02753</t>
  </si>
  <si>
    <t>TXN02754</t>
  </si>
  <si>
    <t>TXN02755</t>
  </si>
  <si>
    <t>TXN02756</t>
  </si>
  <si>
    <t>TXN02757</t>
  </si>
  <si>
    <t>TXN02758</t>
  </si>
  <si>
    <t>TXN02759</t>
  </si>
  <si>
    <t>TXN02760</t>
  </si>
  <si>
    <t>TXN02761</t>
  </si>
  <si>
    <t>TXN02762</t>
  </si>
  <si>
    <t>TXN02763</t>
  </si>
  <si>
    <t>TXN02764</t>
  </si>
  <si>
    <t>TXN02765</t>
  </si>
  <si>
    <t>TXN02766</t>
  </si>
  <si>
    <t>TXN02767</t>
  </si>
  <si>
    <t>TXN02768</t>
  </si>
  <si>
    <t>TXN02769</t>
  </si>
  <si>
    <t>TXN02770</t>
  </si>
  <si>
    <t>TXN02771</t>
  </si>
  <si>
    <t>TXN02772</t>
  </si>
  <si>
    <t>TXN02773</t>
  </si>
  <si>
    <t>TXN02774</t>
  </si>
  <si>
    <t>TXN02775</t>
  </si>
  <si>
    <t>TXN02776</t>
  </si>
  <si>
    <t>TXN02777</t>
  </si>
  <si>
    <t>TXN02778</t>
  </si>
  <si>
    <t>TXN02779</t>
  </si>
  <si>
    <t>TXN02780</t>
  </si>
  <si>
    <t>TXN02781</t>
  </si>
  <si>
    <t>TXN02782</t>
  </si>
  <si>
    <t>TXN02783</t>
  </si>
  <si>
    <t>TXN02784</t>
  </si>
  <si>
    <t>TXN02785</t>
  </si>
  <si>
    <t>TXN02786</t>
  </si>
  <si>
    <t>TXN02787</t>
  </si>
  <si>
    <t>TXN02788</t>
  </si>
  <si>
    <t>TXN02789</t>
  </si>
  <si>
    <t>TXN02790</t>
  </si>
  <si>
    <t>TXN02791</t>
  </si>
  <si>
    <t>TXN02792</t>
  </si>
  <si>
    <t>TXN02793</t>
  </si>
  <si>
    <t>TXN02794</t>
  </si>
  <si>
    <t>TXN02795</t>
  </si>
  <si>
    <t>TXN02796</t>
  </si>
  <si>
    <t>TXN02797</t>
  </si>
  <si>
    <t>TXN02798</t>
  </si>
  <si>
    <t>TXN02799</t>
  </si>
  <si>
    <t>TXN02800</t>
  </si>
  <si>
    <t>TXN02801</t>
  </si>
  <si>
    <t>TXN02802</t>
  </si>
  <si>
    <t>TXN02803</t>
  </si>
  <si>
    <t>TXN02804</t>
  </si>
  <si>
    <t>TXN02805</t>
  </si>
  <si>
    <t>TXN02806</t>
  </si>
  <si>
    <t>TXN02807</t>
  </si>
  <si>
    <t>TXN02808</t>
  </si>
  <si>
    <t>TXN02809</t>
  </si>
  <si>
    <t>TXN02810</t>
  </si>
  <si>
    <t>TXN02811</t>
  </si>
  <si>
    <t>TXN02812</t>
  </si>
  <si>
    <t>TXN02813</t>
  </si>
  <si>
    <t>TXN02814</t>
  </si>
  <si>
    <t>TXN02815</t>
  </si>
  <si>
    <t>TXN02816</t>
  </si>
  <si>
    <t>TXN02817</t>
  </si>
  <si>
    <t>TXN02818</t>
  </si>
  <si>
    <t>TXN02819</t>
  </si>
  <si>
    <t>TXN02820</t>
  </si>
  <si>
    <t>TXN02821</t>
  </si>
  <si>
    <t>TXN02822</t>
  </si>
  <si>
    <t>TXN02823</t>
  </si>
  <si>
    <t>TXN02824</t>
  </si>
  <si>
    <t>TXN02825</t>
  </si>
  <si>
    <t>TXN02826</t>
  </si>
  <si>
    <t>TXN02827</t>
  </si>
  <si>
    <t>TXN02828</t>
  </si>
  <si>
    <t>TXN02829</t>
  </si>
  <si>
    <t>TXN02830</t>
  </si>
  <si>
    <t>TXN02831</t>
  </si>
  <si>
    <t>TXN02832</t>
  </si>
  <si>
    <t>TXN02833</t>
  </si>
  <si>
    <t>TXN02834</t>
  </si>
  <si>
    <t>TXN02835</t>
  </si>
  <si>
    <t>TXN02836</t>
  </si>
  <si>
    <t>TXN02837</t>
  </si>
  <si>
    <t>TXN02838</t>
  </si>
  <si>
    <t>TXN02839</t>
  </si>
  <si>
    <t>TXN02840</t>
  </si>
  <si>
    <t>TXN02841</t>
  </si>
  <si>
    <t>TXN02842</t>
  </si>
  <si>
    <t>TXN02843</t>
  </si>
  <si>
    <t>TXN02844</t>
  </si>
  <si>
    <t>TXN02845</t>
  </si>
  <si>
    <t>TXN02846</t>
  </si>
  <si>
    <t>TXN02847</t>
  </si>
  <si>
    <t>TXN02848</t>
  </si>
  <si>
    <t>TXN02849</t>
  </si>
  <si>
    <t>TXN02850</t>
  </si>
  <si>
    <t>TXN02851</t>
  </si>
  <si>
    <t>TXN02852</t>
  </si>
  <si>
    <t>TXN02853</t>
  </si>
  <si>
    <t>TXN02854</t>
  </si>
  <si>
    <t>TXN02855</t>
  </si>
  <si>
    <t>TXN02856</t>
  </si>
  <si>
    <t>TXN02857</t>
  </si>
  <si>
    <t>TXN02858</t>
  </si>
  <si>
    <t>TXN02859</t>
  </si>
  <si>
    <t>TXN02860</t>
  </si>
  <si>
    <t>TXN02861</t>
  </si>
  <si>
    <t>TXN02862</t>
  </si>
  <si>
    <t>TXN02863</t>
  </si>
  <si>
    <t>TXN02864</t>
  </si>
  <si>
    <t>TXN02865</t>
  </si>
  <si>
    <t>TXN02866</t>
  </si>
  <si>
    <t>TXN02867</t>
  </si>
  <si>
    <t>TXN02868</t>
  </si>
  <si>
    <t>TXN02869</t>
  </si>
  <si>
    <t>TXN02870</t>
  </si>
  <si>
    <t>TXN02871</t>
  </si>
  <si>
    <t>TXN02872</t>
  </si>
  <si>
    <t>TXN02873</t>
  </si>
  <si>
    <t>TXN02874</t>
  </si>
  <si>
    <t>TXN02875</t>
  </si>
  <si>
    <t>TXN02876</t>
  </si>
  <si>
    <t>TXN02877</t>
  </si>
  <si>
    <t>TXN02878</t>
  </si>
  <si>
    <t>TXN02879</t>
  </si>
  <si>
    <t>TXN02880</t>
  </si>
  <si>
    <t>TXN02881</t>
  </si>
  <si>
    <t>TXN02882</t>
  </si>
  <si>
    <t>TXN02883</t>
  </si>
  <si>
    <t>TXN02884</t>
  </si>
  <si>
    <t>TXN02885</t>
  </si>
  <si>
    <t>TXN02886</t>
  </si>
  <si>
    <t>TXN02887</t>
  </si>
  <si>
    <t>TXN02888</t>
  </si>
  <si>
    <t>TXN02889</t>
  </si>
  <si>
    <t>TXN02890</t>
  </si>
  <si>
    <t>TXN02891</t>
  </si>
  <si>
    <t>TXN02892</t>
  </si>
  <si>
    <t>TXN02893</t>
  </si>
  <si>
    <t>TXN02894</t>
  </si>
  <si>
    <t>TXN02895</t>
  </si>
  <si>
    <t>TXN02896</t>
  </si>
  <si>
    <t>TXN02897</t>
  </si>
  <si>
    <t>TXN02898</t>
  </si>
  <si>
    <t>TXN02899</t>
  </si>
  <si>
    <t>TXN02900</t>
  </si>
  <si>
    <t>TXN02901</t>
  </si>
  <si>
    <t>TXN02902</t>
  </si>
  <si>
    <t>TXN02903</t>
  </si>
  <si>
    <t>TXN02904</t>
  </si>
  <si>
    <t>TXN02905</t>
  </si>
  <si>
    <t>TXN02906</t>
  </si>
  <si>
    <t>TXN02907</t>
  </si>
  <si>
    <t>TXN02908</t>
  </si>
  <si>
    <t>TXN02909</t>
  </si>
  <si>
    <t>TXN02910</t>
  </si>
  <si>
    <t>TXN02911</t>
  </si>
  <si>
    <t>TXN02912</t>
  </si>
  <si>
    <t>TXN02913</t>
  </si>
  <si>
    <t>TXN02914</t>
  </si>
  <si>
    <t>TXN02915</t>
  </si>
  <si>
    <t>TXN02916</t>
  </si>
  <si>
    <t>TXN02917</t>
  </si>
  <si>
    <t>TXN02918</t>
  </si>
  <si>
    <t>TXN02919</t>
  </si>
  <si>
    <t>TXN02920</t>
  </si>
  <si>
    <t>TXN02921</t>
  </si>
  <si>
    <t>TXN02922</t>
  </si>
  <si>
    <t>TXN02923</t>
  </si>
  <si>
    <t>TXN02924</t>
  </si>
  <si>
    <t>TXN02925</t>
  </si>
  <si>
    <t>TXN02926</t>
  </si>
  <si>
    <t>TXN02927</t>
  </si>
  <si>
    <t>TXN02928</t>
  </si>
  <si>
    <t>TXN02929</t>
  </si>
  <si>
    <t>TXN02930</t>
  </si>
  <si>
    <t>TXN02931</t>
  </si>
  <si>
    <t>TXN02932</t>
  </si>
  <si>
    <t>TXN02933</t>
  </si>
  <si>
    <t>TXN02934</t>
  </si>
  <si>
    <t>TXN02935</t>
  </si>
  <si>
    <t>TXN02936</t>
  </si>
  <si>
    <t>TXN02937</t>
  </si>
  <si>
    <t>TXN02938</t>
  </si>
  <si>
    <t>TXN02939</t>
  </si>
  <si>
    <t>TXN02940</t>
  </si>
  <si>
    <t>TXN02941</t>
  </si>
  <si>
    <t>TXN02942</t>
  </si>
  <si>
    <t>TXN02943</t>
  </si>
  <si>
    <t>TXN02944</t>
  </si>
  <si>
    <t>TXN02945</t>
  </si>
  <si>
    <t>TXN02946</t>
  </si>
  <si>
    <t>TXN02947</t>
  </si>
  <si>
    <t>TXN02948</t>
  </si>
  <si>
    <t>TXN02949</t>
  </si>
  <si>
    <t>TXN02950</t>
  </si>
  <si>
    <t>TXN02951</t>
  </si>
  <si>
    <t>TXN02952</t>
  </si>
  <si>
    <t>TXN02953</t>
  </si>
  <si>
    <t>TXN02954</t>
  </si>
  <si>
    <t>TXN02955</t>
  </si>
  <si>
    <t>TXN02956</t>
  </si>
  <si>
    <t>TXN02957</t>
  </si>
  <si>
    <t>TXN02958</t>
  </si>
  <si>
    <t>TXN02959</t>
  </si>
  <si>
    <t>TXN02960</t>
  </si>
  <si>
    <t>TXN02961</t>
  </si>
  <si>
    <t>TXN02962</t>
  </si>
  <si>
    <t>TXN02963</t>
  </si>
  <si>
    <t>TXN02964</t>
  </si>
  <si>
    <t>TXN02965</t>
  </si>
  <si>
    <t>TXN02966</t>
  </si>
  <si>
    <t>TXN02967</t>
  </si>
  <si>
    <t>TXN02968</t>
  </si>
  <si>
    <t>TXN02969</t>
  </si>
  <si>
    <t>TXN02970</t>
  </si>
  <si>
    <t>TXN02971</t>
  </si>
  <si>
    <t>TXN02972</t>
  </si>
  <si>
    <t>TXN02973</t>
  </si>
  <si>
    <t>TXN02974</t>
  </si>
  <si>
    <t>TXN02975</t>
  </si>
  <si>
    <t>TXN02976</t>
  </si>
  <si>
    <t>TXN02977</t>
  </si>
  <si>
    <t>TXN02978</t>
  </si>
  <si>
    <t>TXN02979</t>
  </si>
  <si>
    <t>TXN02980</t>
  </si>
  <si>
    <t>TXN02981</t>
  </si>
  <si>
    <t>TXN02982</t>
  </si>
  <si>
    <t>TXN02983</t>
  </si>
  <si>
    <t>TXN02984</t>
  </si>
  <si>
    <t>TXN02985</t>
  </si>
  <si>
    <t>TXN02986</t>
  </si>
  <si>
    <t>TXN02987</t>
  </si>
  <si>
    <t>TXN02988</t>
  </si>
  <si>
    <t>TXN02989</t>
  </si>
  <si>
    <t>TXN02990</t>
  </si>
  <si>
    <t>TXN02991</t>
  </si>
  <si>
    <t>TXN02992</t>
  </si>
  <si>
    <t>TXN02993</t>
  </si>
  <si>
    <t>TXN02994</t>
  </si>
  <si>
    <t>TXN02995</t>
  </si>
  <si>
    <t>TXN02996</t>
  </si>
  <si>
    <t>TXN02997</t>
  </si>
  <si>
    <t>TXN02998</t>
  </si>
  <si>
    <t>TXN02999</t>
  </si>
  <si>
    <t>TXN03000</t>
  </si>
  <si>
    <t>TXN03001</t>
  </si>
  <si>
    <t>TXN03002</t>
  </si>
  <si>
    <t>TXN03003</t>
  </si>
  <si>
    <t>TXN03004</t>
  </si>
  <si>
    <t>TXN03005</t>
  </si>
  <si>
    <t>TXN03006</t>
  </si>
  <si>
    <t>TXN03007</t>
  </si>
  <si>
    <t>TXN03008</t>
  </si>
  <si>
    <t>TXN03009</t>
  </si>
  <si>
    <t>TXN03010</t>
  </si>
  <si>
    <t>TXN03011</t>
  </si>
  <si>
    <t>TXN03012</t>
  </si>
  <si>
    <t>TXN03013</t>
  </si>
  <si>
    <t>TXN03014</t>
  </si>
  <si>
    <t>TXN03015</t>
  </si>
  <si>
    <t>TXN03016</t>
  </si>
  <si>
    <t>TXN03017</t>
  </si>
  <si>
    <t>TXN03018</t>
  </si>
  <si>
    <t>TXN03019</t>
  </si>
  <si>
    <t>TXN03020</t>
  </si>
  <si>
    <t>TXN03021</t>
  </si>
  <si>
    <t>TXN03022</t>
  </si>
  <si>
    <t>TXN03023</t>
  </si>
  <si>
    <t>TXN03024</t>
  </si>
  <si>
    <t>TXN03025</t>
  </si>
  <si>
    <t>TXN03026</t>
  </si>
  <si>
    <t>TXN03027</t>
  </si>
  <si>
    <t>TXN03028</t>
  </si>
  <si>
    <t>TXN03029</t>
  </si>
  <si>
    <t>TXN03030</t>
  </si>
  <si>
    <t>TXN03031</t>
  </si>
  <si>
    <t>TXN03032</t>
  </si>
  <si>
    <t>TXN03033</t>
  </si>
  <si>
    <t>TXN03034</t>
  </si>
  <si>
    <t>TXN03035</t>
  </si>
  <si>
    <t>TXN03036</t>
  </si>
  <si>
    <t>TXN03037</t>
  </si>
  <si>
    <t>TXN03038</t>
  </si>
  <si>
    <t>TXN03039</t>
  </si>
  <si>
    <t>TXN03040</t>
  </si>
  <si>
    <t>TXN03041</t>
  </si>
  <si>
    <t>TXN03042</t>
  </si>
  <si>
    <t>TXN03043</t>
  </si>
  <si>
    <t>TXN03044</t>
  </si>
  <si>
    <t>TXN03045</t>
  </si>
  <si>
    <t>TXN03046</t>
  </si>
  <si>
    <t>TXN03047</t>
  </si>
  <si>
    <t>TXN03048</t>
  </si>
  <si>
    <t>TXN03049</t>
  </si>
  <si>
    <t>TXN03050</t>
  </si>
  <si>
    <t>TXN03051</t>
  </si>
  <si>
    <t>TXN03052</t>
  </si>
  <si>
    <t>TXN03053</t>
  </si>
  <si>
    <t>TXN03054</t>
  </si>
  <si>
    <t>TXN03055</t>
  </si>
  <si>
    <t>TXN03056</t>
  </si>
  <si>
    <t>TXN03057</t>
  </si>
  <si>
    <t>TXN03058</t>
  </si>
  <si>
    <t>TXN03059</t>
  </si>
  <si>
    <t>TXN03060</t>
  </si>
  <si>
    <t>TXN03061</t>
  </si>
  <si>
    <t>TXN03062</t>
  </si>
  <si>
    <t>TXN03063</t>
  </si>
  <si>
    <t>TXN03064</t>
  </si>
  <si>
    <t>TXN03065</t>
  </si>
  <si>
    <t>TXN03066</t>
  </si>
  <si>
    <t>TXN03067</t>
  </si>
  <si>
    <t>TXN03068</t>
  </si>
  <si>
    <t>TXN03069</t>
  </si>
  <si>
    <t>TXN03070</t>
  </si>
  <si>
    <t>TXN03071</t>
  </si>
  <si>
    <t>TXN03072</t>
  </si>
  <si>
    <t>TXN03073</t>
  </si>
  <si>
    <t>TXN03074</t>
  </si>
  <si>
    <t>TXN03075</t>
  </si>
  <si>
    <t>TXN03076</t>
  </si>
  <si>
    <t>TXN03077</t>
  </si>
  <si>
    <t>TXN03078</t>
  </si>
  <si>
    <t>TXN03079</t>
  </si>
  <si>
    <t>TXN03080</t>
  </si>
  <si>
    <t>TXN03081</t>
  </si>
  <si>
    <t>TXN03082</t>
  </si>
  <si>
    <t>TXN03083</t>
  </si>
  <si>
    <t>TXN03084</t>
  </si>
  <si>
    <t>TXN03085</t>
  </si>
  <si>
    <t>TXN03086</t>
  </si>
  <si>
    <t>TXN03087</t>
  </si>
  <si>
    <t>TXN03088</t>
  </si>
  <si>
    <t>TXN03089</t>
  </si>
  <si>
    <t>TXN03090</t>
  </si>
  <si>
    <t>TXN03091</t>
  </si>
  <si>
    <t>TXN03092</t>
  </si>
  <si>
    <t>TXN03093</t>
  </si>
  <si>
    <t>TXN03094</t>
  </si>
  <si>
    <t>TXN03095</t>
  </si>
  <si>
    <t>TXN03096</t>
  </si>
  <si>
    <t>TXN03097</t>
  </si>
  <si>
    <t>TXN03098</t>
  </si>
  <si>
    <t>TXN03099</t>
  </si>
  <si>
    <t>TXN03100</t>
  </si>
  <si>
    <t>TXN03101</t>
  </si>
  <si>
    <t>TXN03102</t>
  </si>
  <si>
    <t>TXN03103</t>
  </si>
  <si>
    <t>TXN03104</t>
  </si>
  <si>
    <t>TXN03105</t>
  </si>
  <si>
    <t>TXN03106</t>
  </si>
  <si>
    <t>TXN03107</t>
  </si>
  <si>
    <t>TXN03108</t>
  </si>
  <si>
    <t>TXN03109</t>
  </si>
  <si>
    <t>TXN03110</t>
  </si>
  <si>
    <t>TXN03111</t>
  </si>
  <si>
    <t>TXN03112</t>
  </si>
  <si>
    <t>TXN03113</t>
  </si>
  <si>
    <t>TXN03114</t>
  </si>
  <si>
    <t>TXN03115</t>
  </si>
  <si>
    <t>TXN03116</t>
  </si>
  <si>
    <t>TXN03117</t>
  </si>
  <si>
    <t>TXN03118</t>
  </si>
  <si>
    <t>TXN03119</t>
  </si>
  <si>
    <t>TXN03120</t>
  </si>
  <si>
    <t>TXN03121</t>
  </si>
  <si>
    <t>TXN03122</t>
  </si>
  <si>
    <t>TXN03123</t>
  </si>
  <si>
    <t>TXN03124</t>
  </si>
  <si>
    <t>TXN03125</t>
  </si>
  <si>
    <t>TXN03126</t>
  </si>
  <si>
    <t>TXN03127</t>
  </si>
  <si>
    <t>TXN03128</t>
  </si>
  <si>
    <t>TXN03129</t>
  </si>
  <si>
    <t>TXN03130</t>
  </si>
  <si>
    <t>TXN03131</t>
  </si>
  <si>
    <t>TXN03132</t>
  </si>
  <si>
    <t>TXN03133</t>
  </si>
  <si>
    <t>TXN03134</t>
  </si>
  <si>
    <t>TXN03135</t>
  </si>
  <si>
    <t>TXN03136</t>
  </si>
  <si>
    <t>TXN03137</t>
  </si>
  <si>
    <t>TXN03138</t>
  </si>
  <si>
    <t>TXN03139</t>
  </si>
  <si>
    <t>TXN03140</t>
  </si>
  <si>
    <t>TXN03141</t>
  </si>
  <si>
    <t>TXN03142</t>
  </si>
  <si>
    <t>TXN03143</t>
  </si>
  <si>
    <t>TXN03144</t>
  </si>
  <si>
    <t>TXN03145</t>
  </si>
  <si>
    <t>TXN03146</t>
  </si>
  <si>
    <t>TXN03147</t>
  </si>
  <si>
    <t>TXN03148</t>
  </si>
  <si>
    <t>TXN03149</t>
  </si>
  <si>
    <t>TXN03150</t>
  </si>
  <si>
    <t>TXN03151</t>
  </si>
  <si>
    <t>TXN03152</t>
  </si>
  <si>
    <t>TXN03153</t>
  </si>
  <si>
    <t>TXN03154</t>
  </si>
  <si>
    <t>TXN03155</t>
  </si>
  <si>
    <t>TXN03156</t>
  </si>
  <si>
    <t>TXN03157</t>
  </si>
  <si>
    <t>TXN03158</t>
  </si>
  <si>
    <t>TXN03159</t>
  </si>
  <si>
    <t>TXN03160</t>
  </si>
  <si>
    <t>TXN03161</t>
  </si>
  <si>
    <t>TXN03162</t>
  </si>
  <si>
    <t>TXN03163</t>
  </si>
  <si>
    <t>TXN03164</t>
  </si>
  <si>
    <t>TXN03165</t>
  </si>
  <si>
    <t>TXN03166</t>
  </si>
  <si>
    <t>TXN03167</t>
  </si>
  <si>
    <t>TXN03168</t>
  </si>
  <si>
    <t>TXN03169</t>
  </si>
  <si>
    <t>TXN03170</t>
  </si>
  <si>
    <t>TXN03171</t>
  </si>
  <si>
    <t>TXN03172</t>
  </si>
  <si>
    <t>TXN03173</t>
  </si>
  <si>
    <t>TXN03174</t>
  </si>
  <si>
    <t>TXN03175</t>
  </si>
  <si>
    <t>TXN03176</t>
  </si>
  <si>
    <t>TXN03177</t>
  </si>
  <si>
    <t>TXN03178</t>
  </si>
  <si>
    <t>TXN03179</t>
  </si>
  <si>
    <t>TXN03180</t>
  </si>
  <si>
    <t>TXN03181</t>
  </si>
  <si>
    <t>TXN03182</t>
  </si>
  <si>
    <t>TXN03183</t>
  </si>
  <si>
    <t>TXN03184</t>
  </si>
  <si>
    <t>TXN03185</t>
  </si>
  <si>
    <t>TXN03186</t>
  </si>
  <si>
    <t>TXN03187</t>
  </si>
  <si>
    <t>TXN03188</t>
  </si>
  <si>
    <t>TXN03189</t>
  </si>
  <si>
    <t>TXN03190</t>
  </si>
  <si>
    <t>TXN03191</t>
  </si>
  <si>
    <t>TXN03192</t>
  </si>
  <si>
    <t>TXN03193</t>
  </si>
  <si>
    <t>TXN03194</t>
  </si>
  <si>
    <t>TXN03195</t>
  </si>
  <si>
    <t>TXN03196</t>
  </si>
  <si>
    <t>TXN03197</t>
  </si>
  <si>
    <t>TXN03198</t>
  </si>
  <si>
    <t>TXN03199</t>
  </si>
  <si>
    <t>TXN03200</t>
  </si>
  <si>
    <t>TXN03201</t>
  </si>
  <si>
    <t>TXN03202</t>
  </si>
  <si>
    <t>TXN03203</t>
  </si>
  <si>
    <t>TXN03204</t>
  </si>
  <si>
    <t>TXN03205</t>
  </si>
  <si>
    <t>TXN03206</t>
  </si>
  <si>
    <t>TXN03207</t>
  </si>
  <si>
    <t>TXN03208</t>
  </si>
  <si>
    <t>TXN03209</t>
  </si>
  <si>
    <t>TXN03210</t>
  </si>
  <si>
    <t>TXN03211</t>
  </si>
  <si>
    <t>TXN03212</t>
  </si>
  <si>
    <t>TXN03213</t>
  </si>
  <si>
    <t>TXN03214</t>
  </si>
  <si>
    <t>TXN03215</t>
  </si>
  <si>
    <t>TXN03216</t>
  </si>
  <si>
    <t>TXN03217</t>
  </si>
  <si>
    <t>TXN03218</t>
  </si>
  <si>
    <t>TXN03219</t>
  </si>
  <si>
    <t>TXN03220</t>
  </si>
  <si>
    <t>TXN03221</t>
  </si>
  <si>
    <t>TXN03222</t>
  </si>
  <si>
    <t>TXN03223</t>
  </si>
  <si>
    <t>TXN03224</t>
  </si>
  <si>
    <t>TXN03225</t>
  </si>
  <si>
    <t>TXN03226</t>
  </si>
  <si>
    <t>TXN03227</t>
  </si>
  <si>
    <t>TXN03228</t>
  </si>
  <si>
    <t>TXN03229</t>
  </si>
  <si>
    <t>TXN03230</t>
  </si>
  <si>
    <t>TXN03231</t>
  </si>
  <si>
    <t>TXN03232</t>
  </si>
  <si>
    <t>TXN03233</t>
  </si>
  <si>
    <t>TXN03234</t>
  </si>
  <si>
    <t>TXN03235</t>
  </si>
  <si>
    <t>TXN03236</t>
  </si>
  <si>
    <t>TXN03237</t>
  </si>
  <si>
    <t>TXN03238</t>
  </si>
  <si>
    <t>TXN03239</t>
  </si>
  <si>
    <t>TXN03240</t>
  </si>
  <si>
    <t>TXN03241</t>
  </si>
  <si>
    <t>TXN03242</t>
  </si>
  <si>
    <t>TXN03243</t>
  </si>
  <si>
    <t>TXN03244</t>
  </si>
  <si>
    <t>TXN03245</t>
  </si>
  <si>
    <t>TXN03246</t>
  </si>
  <si>
    <t>TXN03247</t>
  </si>
  <si>
    <t>TXN03248</t>
  </si>
  <si>
    <t>TXN03249</t>
  </si>
  <si>
    <t>TXN03250</t>
  </si>
  <si>
    <t>TXN03251</t>
  </si>
  <si>
    <t>TXN03252</t>
  </si>
  <si>
    <t>TXN03253</t>
  </si>
  <si>
    <t>TXN03254</t>
  </si>
  <si>
    <t>TXN03255</t>
  </si>
  <si>
    <t>TXN03256</t>
  </si>
  <si>
    <t>TXN03257</t>
  </si>
  <si>
    <t>TXN03258</t>
  </si>
  <si>
    <t>TXN03259</t>
  </si>
  <si>
    <t>TXN03260</t>
  </si>
  <si>
    <t>TXN03261</t>
  </si>
  <si>
    <t>TXN03262</t>
  </si>
  <si>
    <t>TXN03263</t>
  </si>
  <si>
    <t>TXN03264</t>
  </si>
  <si>
    <t>TXN03265</t>
  </si>
  <si>
    <t>TXN03266</t>
  </si>
  <si>
    <t>TXN03267</t>
  </si>
  <si>
    <t>TXN03268</t>
  </si>
  <si>
    <t>TXN03269</t>
  </si>
  <si>
    <t>TXN03270</t>
  </si>
  <si>
    <t>TXN03271</t>
  </si>
  <si>
    <t>TXN03272</t>
  </si>
  <si>
    <t>TXN03273</t>
  </si>
  <si>
    <t>TXN03274</t>
  </si>
  <si>
    <t>TXN03275</t>
  </si>
  <si>
    <t>TXN03276</t>
  </si>
  <si>
    <t>TXN03277</t>
  </si>
  <si>
    <t>TXN03278</t>
  </si>
  <si>
    <t>TXN03279</t>
  </si>
  <si>
    <t>TXN03280</t>
  </si>
  <si>
    <t>TXN03281</t>
  </si>
  <si>
    <t>TXN03282</t>
  </si>
  <si>
    <t>TXN03283</t>
  </si>
  <si>
    <t>TXN03284</t>
  </si>
  <si>
    <t>TXN03285</t>
  </si>
  <si>
    <t>TXN03286</t>
  </si>
  <si>
    <t>TXN03287</t>
  </si>
  <si>
    <t>TXN03288</t>
  </si>
  <si>
    <t>TXN03289</t>
  </si>
  <si>
    <t>TXN03290</t>
  </si>
  <si>
    <t>TXN03291</t>
  </si>
  <si>
    <t>TXN03292</t>
  </si>
  <si>
    <t>TXN03293</t>
  </si>
  <si>
    <t>TXN03294</t>
  </si>
  <si>
    <t>TXN03295</t>
  </si>
  <si>
    <t>TXN03296</t>
  </si>
  <si>
    <t>TXN03297</t>
  </si>
  <si>
    <t>TXN03298</t>
  </si>
  <si>
    <t>TXN03299</t>
  </si>
  <si>
    <t>TXN03300</t>
  </si>
  <si>
    <t>TXN03301</t>
  </si>
  <si>
    <t>TXN03302</t>
  </si>
  <si>
    <t>TXN03303</t>
  </si>
  <si>
    <t>TXN03304</t>
  </si>
  <si>
    <t>TXN03305</t>
  </si>
  <si>
    <t>TXN03306</t>
  </si>
  <si>
    <t>TXN03307</t>
  </si>
  <si>
    <t>TXN03308</t>
  </si>
  <si>
    <t>TXN03309</t>
  </si>
  <si>
    <t>TXN03310</t>
  </si>
  <si>
    <t>TXN03311</t>
  </si>
  <si>
    <t>TXN03312</t>
  </si>
  <si>
    <t>TXN03313</t>
  </si>
  <si>
    <t>TXN03314</t>
  </si>
  <si>
    <t>TXN03315</t>
  </si>
  <si>
    <t>TXN03316</t>
  </si>
  <si>
    <t>TXN03317</t>
  </si>
  <si>
    <t>TXN03318</t>
  </si>
  <si>
    <t>TXN03319</t>
  </si>
  <si>
    <t>TXN03320</t>
  </si>
  <si>
    <t>TXN03321</t>
  </si>
  <si>
    <t>TXN03322</t>
  </si>
  <si>
    <t>TXN03323</t>
  </si>
  <si>
    <t>TXN03324</t>
  </si>
  <si>
    <t>TXN03325</t>
  </si>
  <si>
    <t>TXN03326</t>
  </si>
  <si>
    <t>TXN03327</t>
  </si>
  <si>
    <t>TXN03328</t>
  </si>
  <si>
    <t>TXN03329</t>
  </si>
  <si>
    <t>TXN03330</t>
  </si>
  <si>
    <t>TXN03331</t>
  </si>
  <si>
    <t>TXN03332</t>
  </si>
  <si>
    <t>TXN03333</t>
  </si>
  <si>
    <t>TXN03334</t>
  </si>
  <si>
    <t>TXN03335</t>
  </si>
  <si>
    <t>TXN03336</t>
  </si>
  <si>
    <t>TXN03337</t>
  </si>
  <si>
    <t>TXN03338</t>
  </si>
  <si>
    <t>TXN03339</t>
  </si>
  <si>
    <t>TXN03340</t>
  </si>
  <si>
    <t>TXN03341</t>
  </si>
  <si>
    <t>TXN03342</t>
  </si>
  <si>
    <t>TXN03343</t>
  </si>
  <si>
    <t>TXN03344</t>
  </si>
  <si>
    <t>TXN03345</t>
  </si>
  <si>
    <t>TXN03346</t>
  </si>
  <si>
    <t>TXN03347</t>
  </si>
  <si>
    <t>TXN03348</t>
  </si>
  <si>
    <t>TXN03349</t>
  </si>
  <si>
    <t>TXN03350</t>
  </si>
  <si>
    <t>TXN03351</t>
  </si>
  <si>
    <t>TXN03352</t>
  </si>
  <si>
    <t>TXN03353</t>
  </si>
  <si>
    <t>TXN03354</t>
  </si>
  <si>
    <t>TXN03355</t>
  </si>
  <si>
    <t>TXN03356</t>
  </si>
  <si>
    <t>TXN03357</t>
  </si>
  <si>
    <t>TXN03358</t>
  </si>
  <si>
    <t>TXN03359</t>
  </si>
  <si>
    <t>TXN03360</t>
  </si>
  <si>
    <t>TXN03361</t>
  </si>
  <si>
    <t>TXN03362</t>
  </si>
  <si>
    <t>TXN03363</t>
  </si>
  <si>
    <t>TXN03364</t>
  </si>
  <si>
    <t>TXN03365</t>
  </si>
  <si>
    <t>TXN03366</t>
  </si>
  <si>
    <t>TXN03367</t>
  </si>
  <si>
    <t>TXN03368</t>
  </si>
  <si>
    <t>TXN03369</t>
  </si>
  <si>
    <t>TXN03370</t>
  </si>
  <si>
    <t>TXN03371</t>
  </si>
  <si>
    <t>TXN03372</t>
  </si>
  <si>
    <t>TXN03373</t>
  </si>
  <si>
    <t>TXN03374</t>
  </si>
  <si>
    <t>TXN03375</t>
  </si>
  <si>
    <t>TXN03376</t>
  </si>
  <si>
    <t>TXN03377</t>
  </si>
  <si>
    <t>TXN03378</t>
  </si>
  <si>
    <t>TXN03379</t>
  </si>
  <si>
    <t>TXN03380</t>
  </si>
  <si>
    <t>TXN03381</t>
  </si>
  <si>
    <t>TXN03382</t>
  </si>
  <si>
    <t>TXN03383</t>
  </si>
  <si>
    <t>TXN03384</t>
  </si>
  <si>
    <t>TXN03385</t>
  </si>
  <si>
    <t>TXN03386</t>
  </si>
  <si>
    <t>TXN03387</t>
  </si>
  <si>
    <t>TXN03388</t>
  </si>
  <si>
    <t>TXN03389</t>
  </si>
  <si>
    <t>TXN03390</t>
  </si>
  <si>
    <t>TXN03391</t>
  </si>
  <si>
    <t>TXN03392</t>
  </si>
  <si>
    <t>TXN03393</t>
  </si>
  <si>
    <t>TXN03394</t>
  </si>
  <si>
    <t>TXN03395</t>
  </si>
  <si>
    <t>TXN03396</t>
  </si>
  <si>
    <t>TXN03397</t>
  </si>
  <si>
    <t>TXN03398</t>
  </si>
  <si>
    <t>TXN03399</t>
  </si>
  <si>
    <t>TXN03400</t>
  </si>
  <si>
    <t>TXN03401</t>
  </si>
  <si>
    <t>TXN03402</t>
  </si>
  <si>
    <t>TXN03403</t>
  </si>
  <si>
    <t>TXN03404</t>
  </si>
  <si>
    <t>TXN03405</t>
  </si>
  <si>
    <t>TXN03406</t>
  </si>
  <si>
    <t>TXN03407</t>
  </si>
  <si>
    <t>TXN03408</t>
  </si>
  <si>
    <t>TXN03409</t>
  </si>
  <si>
    <t>TXN03410</t>
  </si>
  <si>
    <t>TXN03411</t>
  </si>
  <si>
    <t>TXN03412</t>
  </si>
  <si>
    <t>TXN03413</t>
  </si>
  <si>
    <t>TXN03414</t>
  </si>
  <si>
    <t>TXN03415</t>
  </si>
  <si>
    <t>TXN03416</t>
  </si>
  <si>
    <t>TXN03417</t>
  </si>
  <si>
    <t>TXN03418</t>
  </si>
  <si>
    <t>TXN03419</t>
  </si>
  <si>
    <t>TXN03420</t>
  </si>
  <si>
    <t>TXN03421</t>
  </si>
  <si>
    <t>TXN03422</t>
  </si>
  <si>
    <t>TXN03423</t>
  </si>
  <si>
    <t>TXN03424</t>
  </si>
  <si>
    <t>TXN03425</t>
  </si>
  <si>
    <t>TXN03426</t>
  </si>
  <si>
    <t>TXN03427</t>
  </si>
  <si>
    <t>TXN03428</t>
  </si>
  <si>
    <t>TXN03429</t>
  </si>
  <si>
    <t>TXN03430</t>
  </si>
  <si>
    <t>TXN03431</t>
  </si>
  <si>
    <t>TXN03432</t>
  </si>
  <si>
    <t>TXN03433</t>
  </si>
  <si>
    <t>TXN03434</t>
  </si>
  <si>
    <t>TXN03435</t>
  </si>
  <si>
    <t>TXN03436</t>
  </si>
  <si>
    <t>TXN03437</t>
  </si>
  <si>
    <t>TXN03438</t>
  </si>
  <si>
    <t>TXN03439</t>
  </si>
  <si>
    <t>TXN03440</t>
  </si>
  <si>
    <t>TXN03441</t>
  </si>
  <si>
    <t>TXN03442</t>
  </si>
  <si>
    <t>TXN03443</t>
  </si>
  <si>
    <t>TXN03444</t>
  </si>
  <si>
    <t>TXN03445</t>
  </si>
  <si>
    <t>TXN03446</t>
  </si>
  <si>
    <t>TXN03447</t>
  </si>
  <si>
    <t>TXN03448</t>
  </si>
  <si>
    <t>TXN03449</t>
  </si>
  <si>
    <t>TXN03450</t>
  </si>
  <si>
    <t>TXN03451</t>
  </si>
  <si>
    <t>TXN03452</t>
  </si>
  <si>
    <t>TXN03453</t>
  </si>
  <si>
    <t>TXN03454</t>
  </si>
  <si>
    <t>TXN03455</t>
  </si>
  <si>
    <t>TXN03456</t>
  </si>
  <si>
    <t>TXN03457</t>
  </si>
  <si>
    <t>TXN03458</t>
  </si>
  <si>
    <t>TXN03459</t>
  </si>
  <si>
    <t>TXN03460</t>
  </si>
  <si>
    <t>TXN03461</t>
  </si>
  <si>
    <t>TXN03462</t>
  </si>
  <si>
    <t>TXN03463</t>
  </si>
  <si>
    <t>TXN03464</t>
  </si>
  <si>
    <t>TXN03465</t>
  </si>
  <si>
    <t>TXN03466</t>
  </si>
  <si>
    <t>TXN03467</t>
  </si>
  <si>
    <t>TXN03468</t>
  </si>
  <si>
    <t>TXN03469</t>
  </si>
  <si>
    <t>TXN03470</t>
  </si>
  <si>
    <t>TXN03471</t>
  </si>
  <si>
    <t>TXN03472</t>
  </si>
  <si>
    <t>TXN03473</t>
  </si>
  <si>
    <t>TXN03474</t>
  </si>
  <si>
    <t>TXN03475</t>
  </si>
  <si>
    <t>TXN03476</t>
  </si>
  <si>
    <t>TXN03477</t>
  </si>
  <si>
    <t>TXN03478</t>
  </si>
  <si>
    <t>TXN03479</t>
  </si>
  <si>
    <t>TXN03480</t>
  </si>
  <si>
    <t>TXN03481</t>
  </si>
  <si>
    <t>TXN03482</t>
  </si>
  <si>
    <t>TXN03483</t>
  </si>
  <si>
    <t>TXN03484</t>
  </si>
  <si>
    <t>TXN03485</t>
  </si>
  <si>
    <t>TXN03486</t>
  </si>
  <si>
    <t>TXN03487</t>
  </si>
  <si>
    <t>TXN03488</t>
  </si>
  <si>
    <t>TXN03489</t>
  </si>
  <si>
    <t>TXN03490</t>
  </si>
  <si>
    <t>TXN03491</t>
  </si>
  <si>
    <t>TXN03492</t>
  </si>
  <si>
    <t>TXN03493</t>
  </si>
  <si>
    <t>TXN03494</t>
  </si>
  <si>
    <t>TXN03495</t>
  </si>
  <si>
    <t>TXN03496</t>
  </si>
  <si>
    <t>TXN03497</t>
  </si>
  <si>
    <t>TXN03498</t>
  </si>
  <si>
    <t>TXN03499</t>
  </si>
  <si>
    <t>TXN03500</t>
  </si>
  <si>
    <t>TXN03501</t>
  </si>
  <si>
    <t>TXN03502</t>
  </si>
  <si>
    <t>TXN03503</t>
  </si>
  <si>
    <t>TXN03504</t>
  </si>
  <si>
    <t>TXN03505</t>
  </si>
  <si>
    <t>TXN03506</t>
  </si>
  <si>
    <t>TXN03507</t>
  </si>
  <si>
    <t>TXN03508</t>
  </si>
  <si>
    <t>TXN03509</t>
  </si>
  <si>
    <t>TXN03510</t>
  </si>
  <si>
    <t>TXN03511</t>
  </si>
  <si>
    <t>TXN03512</t>
  </si>
  <si>
    <t>TXN03513</t>
  </si>
  <si>
    <t>TXN03514</t>
  </si>
  <si>
    <t>TXN03515</t>
  </si>
  <si>
    <t>TXN03516</t>
  </si>
  <si>
    <t>TXN03517</t>
  </si>
  <si>
    <t>TXN03518</t>
  </si>
  <si>
    <t>TXN03519</t>
  </si>
  <si>
    <t>TXN03520</t>
  </si>
  <si>
    <t>TXN03521</t>
  </si>
  <si>
    <t>TXN03522</t>
  </si>
  <si>
    <t>TXN03523</t>
  </si>
  <si>
    <t>TXN03524</t>
  </si>
  <si>
    <t>TXN03525</t>
  </si>
  <si>
    <t>TXN03526</t>
  </si>
  <si>
    <t>TXN03527</t>
  </si>
  <si>
    <t>TXN03528</t>
  </si>
  <si>
    <t>TXN03529</t>
  </si>
  <si>
    <t>TXN03530</t>
  </si>
  <si>
    <t>TXN03531</t>
  </si>
  <si>
    <t>TXN03532</t>
  </si>
  <si>
    <t>TXN03533</t>
  </si>
  <si>
    <t>TXN03534</t>
  </si>
  <si>
    <t>TXN03535</t>
  </si>
  <si>
    <t>TXN03536</t>
  </si>
  <si>
    <t>TXN03537</t>
  </si>
  <si>
    <t>TXN03538</t>
  </si>
  <si>
    <t>TXN03539</t>
  </si>
  <si>
    <t>TXN03540</t>
  </si>
  <si>
    <t>TXN03541</t>
  </si>
  <si>
    <t>TXN03542</t>
  </si>
  <si>
    <t>TXN03543</t>
  </si>
  <si>
    <t>TXN03544</t>
  </si>
  <si>
    <t>TXN03545</t>
  </si>
  <si>
    <t>TXN03546</t>
  </si>
  <si>
    <t>TXN03547</t>
  </si>
  <si>
    <t>TXN03548</t>
  </si>
  <si>
    <t>TXN03549</t>
  </si>
  <si>
    <t>TXN03550</t>
  </si>
  <si>
    <t>TXN03551</t>
  </si>
  <si>
    <t>TXN03552</t>
  </si>
  <si>
    <t>TXN03553</t>
  </si>
  <si>
    <t>TXN03554</t>
  </si>
  <si>
    <t>TXN03555</t>
  </si>
  <si>
    <t>TXN03556</t>
  </si>
  <si>
    <t>TXN03557</t>
  </si>
  <si>
    <t>TXN03558</t>
  </si>
  <si>
    <t>TXN03559</t>
  </si>
  <si>
    <t>TXN03560</t>
  </si>
  <si>
    <t>TXN03561</t>
  </si>
  <si>
    <t>TXN03562</t>
  </si>
  <si>
    <t>TXN03563</t>
  </si>
  <si>
    <t>TXN03564</t>
  </si>
  <si>
    <t>TXN03565</t>
  </si>
  <si>
    <t>TXN03566</t>
  </si>
  <si>
    <t>TXN03567</t>
  </si>
  <si>
    <t>TXN03568</t>
  </si>
  <si>
    <t>TXN03569</t>
  </si>
  <si>
    <t>TXN03570</t>
  </si>
  <si>
    <t>TXN03571</t>
  </si>
  <si>
    <t>TXN03572</t>
  </si>
  <si>
    <t>TXN03573</t>
  </si>
  <si>
    <t>TXN03574</t>
  </si>
  <si>
    <t>TXN03575</t>
  </si>
  <si>
    <t>TXN03576</t>
  </si>
  <si>
    <t>TXN03577</t>
  </si>
  <si>
    <t>TXN03578</t>
  </si>
  <si>
    <t>TXN03579</t>
  </si>
  <si>
    <t>TXN03580</t>
  </si>
  <si>
    <t>TXN03581</t>
  </si>
  <si>
    <t>TXN03582</t>
  </si>
  <si>
    <t>TXN03583</t>
  </si>
  <si>
    <t>TXN03584</t>
  </si>
  <si>
    <t>TXN03585</t>
  </si>
  <si>
    <t>TXN03586</t>
  </si>
  <si>
    <t>TXN03587</t>
  </si>
  <si>
    <t>TXN03588</t>
  </si>
  <si>
    <t>TXN03589</t>
  </si>
  <si>
    <t>TXN03590</t>
  </si>
  <si>
    <t>TXN03591</t>
  </si>
  <si>
    <t>TXN03592</t>
  </si>
  <si>
    <t>TXN03593</t>
  </si>
  <si>
    <t>TXN03594</t>
  </si>
  <si>
    <t>TXN03595</t>
  </si>
  <si>
    <t>TXN03596</t>
  </si>
  <si>
    <t>TXN03597</t>
  </si>
  <si>
    <t>TXN03598</t>
  </si>
  <si>
    <t>TXN03599</t>
  </si>
  <si>
    <t>TXN03600</t>
  </si>
  <si>
    <t>TXN03601</t>
  </si>
  <si>
    <t>TXN03602</t>
  </si>
  <si>
    <t>TXN03603</t>
  </si>
  <si>
    <t>TXN03604</t>
  </si>
  <si>
    <t>TXN03605</t>
  </si>
  <si>
    <t>TXN03606</t>
  </si>
  <si>
    <t>TXN03607</t>
  </si>
  <si>
    <t>TXN03608</t>
  </si>
  <si>
    <t>TXN03609</t>
  </si>
  <si>
    <t>TXN03610</t>
  </si>
  <si>
    <t>TXN03611</t>
  </si>
  <si>
    <t>TXN03612</t>
  </si>
  <si>
    <t>TXN03613</t>
  </si>
  <si>
    <t>TXN03614</t>
  </si>
  <si>
    <t>TXN03615</t>
  </si>
  <si>
    <t>TXN03616</t>
  </si>
  <si>
    <t>TXN03617</t>
  </si>
  <si>
    <t>TXN03618</t>
  </si>
  <si>
    <t>TXN03619</t>
  </si>
  <si>
    <t>TXN03620</t>
  </si>
  <si>
    <t>TXN03621</t>
  </si>
  <si>
    <t>TXN03622</t>
  </si>
  <si>
    <t>TXN03623</t>
  </si>
  <si>
    <t>TXN03624</t>
  </si>
  <si>
    <t>TXN03625</t>
  </si>
  <si>
    <t>TXN03626</t>
  </si>
  <si>
    <t>TXN03627</t>
  </si>
  <si>
    <t>TXN03628</t>
  </si>
  <si>
    <t>TXN03629</t>
  </si>
  <si>
    <t>TXN03630</t>
  </si>
  <si>
    <t>TXN03631</t>
  </si>
  <si>
    <t>TXN03632</t>
  </si>
  <si>
    <t>TXN03633</t>
  </si>
  <si>
    <t>TXN03634</t>
  </si>
  <si>
    <t>TXN03635</t>
  </si>
  <si>
    <t>TXN03636</t>
  </si>
  <si>
    <t>TXN03637</t>
  </si>
  <si>
    <t>TXN03638</t>
  </si>
  <si>
    <t>TXN03639</t>
  </si>
  <si>
    <t>TXN03640</t>
  </si>
  <si>
    <t>TXN03641</t>
  </si>
  <si>
    <t>TXN03642</t>
  </si>
  <si>
    <t>TXN03643</t>
  </si>
  <si>
    <t>TXN03644</t>
  </si>
  <si>
    <t>TXN03645</t>
  </si>
  <si>
    <t>TXN03646</t>
  </si>
  <si>
    <t>TXN03647</t>
  </si>
  <si>
    <t>TXN03648</t>
  </si>
  <si>
    <t>TXN03649</t>
  </si>
  <si>
    <t>TXN03650</t>
  </si>
  <si>
    <t>TXN03651</t>
  </si>
  <si>
    <t>TXN03652</t>
  </si>
  <si>
    <t>TXN03653</t>
  </si>
  <si>
    <t>TXN03654</t>
  </si>
  <si>
    <t>TXN03655</t>
  </si>
  <si>
    <t>TXN03656</t>
  </si>
  <si>
    <t>TXN03657</t>
  </si>
  <si>
    <t>TXN03658</t>
  </si>
  <si>
    <t>TXN03659</t>
  </si>
  <si>
    <t>TXN03660</t>
  </si>
  <si>
    <t>TXN03661</t>
  </si>
  <si>
    <t>TXN03662</t>
  </si>
  <si>
    <t>TXN03663</t>
  </si>
  <si>
    <t>TXN03664</t>
  </si>
  <si>
    <t>TXN03665</t>
  </si>
  <si>
    <t>TXN03666</t>
  </si>
  <si>
    <t>TXN03667</t>
  </si>
  <si>
    <t>TXN03668</t>
  </si>
  <si>
    <t>TXN03669</t>
  </si>
  <si>
    <t>TXN03670</t>
  </si>
  <si>
    <t>TXN03671</t>
  </si>
  <si>
    <t>TXN03672</t>
  </si>
  <si>
    <t>TXN03673</t>
  </si>
  <si>
    <t>TXN03674</t>
  </si>
  <si>
    <t>TXN03675</t>
  </si>
  <si>
    <t>TXN03676</t>
  </si>
  <si>
    <t>TXN03677</t>
  </si>
  <si>
    <t>TXN03678</t>
  </si>
  <si>
    <t>TXN03679</t>
  </si>
  <si>
    <t>TXN03680</t>
  </si>
  <si>
    <t>TXN03681</t>
  </si>
  <si>
    <t>TXN03682</t>
  </si>
  <si>
    <t>TXN03683</t>
  </si>
  <si>
    <t>TXN03684</t>
  </si>
  <si>
    <t>TXN03685</t>
  </si>
  <si>
    <t>TXN03686</t>
  </si>
  <si>
    <t>TXN03687</t>
  </si>
  <si>
    <t>TXN03688</t>
  </si>
  <si>
    <t>TXN03689</t>
  </si>
  <si>
    <t>TXN03690</t>
  </si>
  <si>
    <t>TXN03691</t>
  </si>
  <si>
    <t>TXN03692</t>
  </si>
  <si>
    <t>TXN03693</t>
  </si>
  <si>
    <t>TXN03694</t>
  </si>
  <si>
    <t>TXN03695</t>
  </si>
  <si>
    <t>TXN03696</t>
  </si>
  <si>
    <t>TXN03697</t>
  </si>
  <si>
    <t>TXN03698</t>
  </si>
  <si>
    <t>TXN03699</t>
  </si>
  <si>
    <t>TXN03700</t>
  </si>
  <si>
    <t>TXN03701</t>
  </si>
  <si>
    <t>TXN03702</t>
  </si>
  <si>
    <t>TXN03703</t>
  </si>
  <si>
    <t>TXN03704</t>
  </si>
  <si>
    <t>TXN03705</t>
  </si>
  <si>
    <t>TXN03706</t>
  </si>
  <si>
    <t>TXN03707</t>
  </si>
  <si>
    <t>TXN03708</t>
  </si>
  <si>
    <t>TXN03709</t>
  </si>
  <si>
    <t>TXN03710</t>
  </si>
  <si>
    <t>TXN03711</t>
  </si>
  <si>
    <t>TXN03712</t>
  </si>
  <si>
    <t>TXN03713</t>
  </si>
  <si>
    <t>TXN03714</t>
  </si>
  <si>
    <t>TXN03715</t>
  </si>
  <si>
    <t>TXN03716</t>
  </si>
  <si>
    <t>TXN03717</t>
  </si>
  <si>
    <t>TXN03718</t>
  </si>
  <si>
    <t>TXN03719</t>
  </si>
  <si>
    <t>TXN03720</t>
  </si>
  <si>
    <t>TXN03721</t>
  </si>
  <si>
    <t>TXN03722</t>
  </si>
  <si>
    <t>TXN03723</t>
  </si>
  <si>
    <t>TXN03724</t>
  </si>
  <si>
    <t>TXN03725</t>
  </si>
  <si>
    <t>TXN03726</t>
  </si>
  <si>
    <t>TXN03727</t>
  </si>
  <si>
    <t>TXN03728</t>
  </si>
  <si>
    <t>TXN03729</t>
  </si>
  <si>
    <t>TXN03730</t>
  </si>
  <si>
    <t>TXN03731</t>
  </si>
  <si>
    <t>TXN03732</t>
  </si>
  <si>
    <t>TXN03733</t>
  </si>
  <si>
    <t>TXN03734</t>
  </si>
  <si>
    <t>TXN03735</t>
  </si>
  <si>
    <t>TXN03736</t>
  </si>
  <si>
    <t>TXN03737</t>
  </si>
  <si>
    <t>TXN03738</t>
  </si>
  <si>
    <t>TXN03739</t>
  </si>
  <si>
    <t>TXN03740</t>
  </si>
  <si>
    <t>TXN03741</t>
  </si>
  <si>
    <t>TXN03742</t>
  </si>
  <si>
    <t>TXN03743</t>
  </si>
  <si>
    <t>TXN03744</t>
  </si>
  <si>
    <t>TXN03745</t>
  </si>
  <si>
    <t>TXN03746</t>
  </si>
  <si>
    <t>TXN03747</t>
  </si>
  <si>
    <t>TXN03748</t>
  </si>
  <si>
    <t>TXN03749</t>
  </si>
  <si>
    <t>TXN03750</t>
  </si>
  <si>
    <t>TXN03751</t>
  </si>
  <si>
    <t>TXN03752</t>
  </si>
  <si>
    <t>TXN03753</t>
  </si>
  <si>
    <t>TXN03754</t>
  </si>
  <si>
    <t>TXN03755</t>
  </si>
  <si>
    <t>TXN03756</t>
  </si>
  <si>
    <t>TXN03757</t>
  </si>
  <si>
    <t>TXN03758</t>
  </si>
  <si>
    <t>TXN03759</t>
  </si>
  <si>
    <t>TXN03760</t>
  </si>
  <si>
    <t>TXN03761</t>
  </si>
  <si>
    <t>TXN03762</t>
  </si>
  <si>
    <t>TXN03763</t>
  </si>
  <si>
    <t>TXN03764</t>
  </si>
  <si>
    <t>TXN03765</t>
  </si>
  <si>
    <t>TXN03766</t>
  </si>
  <si>
    <t>TXN03767</t>
  </si>
  <si>
    <t>TXN03768</t>
  </si>
  <si>
    <t>TXN03769</t>
  </si>
  <si>
    <t>TXN03770</t>
  </si>
  <si>
    <t>TXN03771</t>
  </si>
  <si>
    <t>TXN03772</t>
  </si>
  <si>
    <t>TXN03773</t>
  </si>
  <si>
    <t>TXN03774</t>
  </si>
  <si>
    <t>TXN03775</t>
  </si>
  <si>
    <t>TXN03776</t>
  </si>
  <si>
    <t>TXN03777</t>
  </si>
  <si>
    <t>TXN03778</t>
  </si>
  <si>
    <t>TXN03779</t>
  </si>
  <si>
    <t>TXN03780</t>
  </si>
  <si>
    <t>TXN03781</t>
  </si>
  <si>
    <t>TXN03782</t>
  </si>
  <si>
    <t>TXN03783</t>
  </si>
  <si>
    <t>TXN03784</t>
  </si>
  <si>
    <t>TXN03785</t>
  </si>
  <si>
    <t>TXN03786</t>
  </si>
  <si>
    <t>TXN03787</t>
  </si>
  <si>
    <t>TXN03788</t>
  </si>
  <si>
    <t>TXN03789</t>
  </si>
  <si>
    <t>TXN03790</t>
  </si>
  <si>
    <t>TXN03791</t>
  </si>
  <si>
    <t>TXN03792</t>
  </si>
  <si>
    <t>TXN03793</t>
  </si>
  <si>
    <t>TXN03794</t>
  </si>
  <si>
    <t>TXN03795</t>
  </si>
  <si>
    <t>TXN03796</t>
  </si>
  <si>
    <t>TXN03797</t>
  </si>
  <si>
    <t>TXN03798</t>
  </si>
  <si>
    <t>TXN03799</t>
  </si>
  <si>
    <t>TXN03800</t>
  </si>
  <si>
    <t>TXN03801</t>
  </si>
  <si>
    <t>TXN03802</t>
  </si>
  <si>
    <t>TXN03803</t>
  </si>
  <si>
    <t>TXN03804</t>
  </si>
  <si>
    <t>TXN03805</t>
  </si>
  <si>
    <t>TXN03806</t>
  </si>
  <si>
    <t>TXN03807</t>
  </si>
  <si>
    <t>TXN03808</t>
  </si>
  <si>
    <t>TXN03809</t>
  </si>
  <si>
    <t>TXN03810</t>
  </si>
  <si>
    <t>TXN03811</t>
  </si>
  <si>
    <t>TXN03812</t>
  </si>
  <si>
    <t>TXN03813</t>
  </si>
  <si>
    <t>TXN03814</t>
  </si>
  <si>
    <t>TXN03815</t>
  </si>
  <si>
    <t>TXN03816</t>
  </si>
  <si>
    <t>TXN03817</t>
  </si>
  <si>
    <t>TXN03818</t>
  </si>
  <si>
    <t>TXN03819</t>
  </si>
  <si>
    <t>TXN03820</t>
  </si>
  <si>
    <t>TXN03821</t>
  </si>
  <si>
    <t>TXN03822</t>
  </si>
  <si>
    <t>TXN03823</t>
  </si>
  <si>
    <t>TXN03824</t>
  </si>
  <si>
    <t>TXN03825</t>
  </si>
  <si>
    <t>TXN03826</t>
  </si>
  <si>
    <t>TXN03827</t>
  </si>
  <si>
    <t>TXN03828</t>
  </si>
  <si>
    <t>TXN03829</t>
  </si>
  <si>
    <t>TXN03830</t>
  </si>
  <si>
    <t>TXN03831</t>
  </si>
  <si>
    <t>TXN03832</t>
  </si>
  <si>
    <t>TXN03833</t>
  </si>
  <si>
    <t>TXN03834</t>
  </si>
  <si>
    <t>TXN03835</t>
  </si>
  <si>
    <t>TXN03836</t>
  </si>
  <si>
    <t>TXN03837</t>
  </si>
  <si>
    <t>TXN03838</t>
  </si>
  <si>
    <t>TXN03839</t>
  </si>
  <si>
    <t>TXN03840</t>
  </si>
  <si>
    <t>TXN03841</t>
  </si>
  <si>
    <t>TXN03842</t>
  </si>
  <si>
    <t>TXN03843</t>
  </si>
  <si>
    <t>TXN03844</t>
  </si>
  <si>
    <t>TXN03845</t>
  </si>
  <si>
    <t>TXN03846</t>
  </si>
  <si>
    <t>TXN03847</t>
  </si>
  <si>
    <t>TXN03848</t>
  </si>
  <si>
    <t>TXN03849</t>
  </si>
  <si>
    <t>TXN03850</t>
  </si>
  <si>
    <t>TXN03851</t>
  </si>
  <si>
    <t>TXN03852</t>
  </si>
  <si>
    <t>TXN03853</t>
  </si>
  <si>
    <t>TXN03854</t>
  </si>
  <si>
    <t>TXN03855</t>
  </si>
  <si>
    <t>TXN03856</t>
  </si>
  <si>
    <t>TXN03857</t>
  </si>
  <si>
    <t>TXN03858</t>
  </si>
  <si>
    <t>TXN03859</t>
  </si>
  <si>
    <t>TXN03860</t>
  </si>
  <si>
    <t>TXN03861</t>
  </si>
  <si>
    <t>TXN03862</t>
  </si>
  <si>
    <t>TXN03863</t>
  </si>
  <si>
    <t>TXN03864</t>
  </si>
  <si>
    <t>TXN03865</t>
  </si>
  <si>
    <t>TXN03866</t>
  </si>
  <si>
    <t>TXN03867</t>
  </si>
  <si>
    <t>TXN03868</t>
  </si>
  <si>
    <t>TXN03869</t>
  </si>
  <si>
    <t>TXN03870</t>
  </si>
  <si>
    <t>TXN03871</t>
  </si>
  <si>
    <t>TXN03872</t>
  </si>
  <si>
    <t>TXN03873</t>
  </si>
  <si>
    <t>TXN03874</t>
  </si>
  <si>
    <t>TXN03875</t>
  </si>
  <si>
    <t>TXN03876</t>
  </si>
  <si>
    <t>TXN03877</t>
  </si>
  <si>
    <t>TXN03878</t>
  </si>
  <si>
    <t>TXN03879</t>
  </si>
  <si>
    <t>TXN03880</t>
  </si>
  <si>
    <t>TXN03881</t>
  </si>
  <si>
    <t>TXN03882</t>
  </si>
  <si>
    <t>TXN03883</t>
  </si>
  <si>
    <t>TXN03884</t>
  </si>
  <si>
    <t>TXN03885</t>
  </si>
  <si>
    <t>TXN03886</t>
  </si>
  <si>
    <t>TXN03887</t>
  </si>
  <si>
    <t>TXN03888</t>
  </si>
  <si>
    <t>TXN03889</t>
  </si>
  <si>
    <t>TXN03890</t>
  </si>
  <si>
    <t>TXN03891</t>
  </si>
  <si>
    <t>TXN03892</t>
  </si>
  <si>
    <t>TXN03893</t>
  </si>
  <si>
    <t>TXN03894</t>
  </si>
  <si>
    <t>TXN03895</t>
  </si>
  <si>
    <t>TXN03896</t>
  </si>
  <si>
    <t>TXN03897</t>
  </si>
  <si>
    <t>TXN03898</t>
  </si>
  <si>
    <t>TXN03899</t>
  </si>
  <si>
    <t>TXN03900</t>
  </si>
  <si>
    <t>TXN03901</t>
  </si>
  <si>
    <t>TXN03902</t>
  </si>
  <si>
    <t>TXN03903</t>
  </si>
  <si>
    <t>TXN03904</t>
  </si>
  <si>
    <t>TXN03905</t>
  </si>
  <si>
    <t>TXN03906</t>
  </si>
  <si>
    <t>TXN03907</t>
  </si>
  <si>
    <t>TXN03908</t>
  </si>
  <si>
    <t>TXN03909</t>
  </si>
  <si>
    <t>TXN03910</t>
  </si>
  <si>
    <t>TXN03911</t>
  </si>
  <si>
    <t>TXN03912</t>
  </si>
  <si>
    <t>TXN03913</t>
  </si>
  <si>
    <t>TXN03914</t>
  </si>
  <si>
    <t>TXN03915</t>
  </si>
  <si>
    <t>TXN03916</t>
  </si>
  <si>
    <t>TXN03917</t>
  </si>
  <si>
    <t>TXN03918</t>
  </si>
  <si>
    <t>TXN03919</t>
  </si>
  <si>
    <t>TXN03920</t>
  </si>
  <si>
    <t>TXN03921</t>
  </si>
  <si>
    <t>TXN03922</t>
  </si>
  <si>
    <t>TXN03923</t>
  </si>
  <si>
    <t>TXN03924</t>
  </si>
  <si>
    <t>TXN03925</t>
  </si>
  <si>
    <t>TXN03926</t>
  </si>
  <si>
    <t>TXN03927</t>
  </si>
  <si>
    <t>TXN03928</t>
  </si>
  <si>
    <t>TXN03929</t>
  </si>
  <si>
    <t>TXN03930</t>
  </si>
  <si>
    <t>TXN03931</t>
  </si>
  <si>
    <t>TXN03932</t>
  </si>
  <si>
    <t>TXN03933</t>
  </si>
  <si>
    <t>TXN03934</t>
  </si>
  <si>
    <t>TXN03935</t>
  </si>
  <si>
    <t>TXN03936</t>
  </si>
  <si>
    <t>TXN03937</t>
  </si>
  <si>
    <t>TXN03938</t>
  </si>
  <si>
    <t>TXN03939</t>
  </si>
  <si>
    <t>TXN03940</t>
  </si>
  <si>
    <t>TXN03941</t>
  </si>
  <si>
    <t>TXN03942</t>
  </si>
  <si>
    <t>TXN03943</t>
  </si>
  <si>
    <t>TXN03944</t>
  </si>
  <si>
    <t>TXN03945</t>
  </si>
  <si>
    <t>TXN03946</t>
  </si>
  <si>
    <t>TXN03947</t>
  </si>
  <si>
    <t>TXN03948</t>
  </si>
  <si>
    <t>TXN03949</t>
  </si>
  <si>
    <t>TXN03950</t>
  </si>
  <si>
    <t>TXN03951</t>
  </si>
  <si>
    <t>TXN03952</t>
  </si>
  <si>
    <t>TXN03953</t>
  </si>
  <si>
    <t>TXN03954</t>
  </si>
  <si>
    <t>TXN03955</t>
  </si>
  <si>
    <t>TXN03956</t>
  </si>
  <si>
    <t>TXN03957</t>
  </si>
  <si>
    <t>TXN03958</t>
  </si>
  <si>
    <t>TXN03959</t>
  </si>
  <si>
    <t>TXN03960</t>
  </si>
  <si>
    <t>TXN03961</t>
  </si>
  <si>
    <t>TXN03962</t>
  </si>
  <si>
    <t>TXN03963</t>
  </si>
  <si>
    <t>TXN03964</t>
  </si>
  <si>
    <t>TXN03965</t>
  </si>
  <si>
    <t>TXN03966</t>
  </si>
  <si>
    <t>TXN03967</t>
  </si>
  <si>
    <t>TXN03968</t>
  </si>
  <si>
    <t>TXN03969</t>
  </si>
  <si>
    <t>TXN03970</t>
  </si>
  <si>
    <t>TXN03971</t>
  </si>
  <si>
    <t>TXN03972</t>
  </si>
  <si>
    <t>TXN03973</t>
  </si>
  <si>
    <t>TXN03974</t>
  </si>
  <si>
    <t>TXN03975</t>
  </si>
  <si>
    <t>TXN03976</t>
  </si>
  <si>
    <t>TXN03977</t>
  </si>
  <si>
    <t>TXN03978</t>
  </si>
  <si>
    <t>TXN03979</t>
  </si>
  <si>
    <t>TXN03980</t>
  </si>
  <si>
    <t>TXN03981</t>
  </si>
  <si>
    <t>TXN03982</t>
  </si>
  <si>
    <t>TXN03983</t>
  </si>
  <si>
    <t>TXN03984</t>
  </si>
  <si>
    <t>TXN03985</t>
  </si>
  <si>
    <t>TXN03986</t>
  </si>
  <si>
    <t>TXN03987</t>
  </si>
  <si>
    <t>TXN03988</t>
  </si>
  <si>
    <t>TXN03989</t>
  </si>
  <si>
    <t>TXN03990</t>
  </si>
  <si>
    <t>TXN03991</t>
  </si>
  <si>
    <t>TXN03992</t>
  </si>
  <si>
    <t>TXN03993</t>
  </si>
  <si>
    <t>TXN03994</t>
  </si>
  <si>
    <t>TXN03995</t>
  </si>
  <si>
    <t>TXN03996</t>
  </si>
  <si>
    <t>TXN03997</t>
  </si>
  <si>
    <t>TXN03998</t>
  </si>
  <si>
    <t>TXN03999</t>
  </si>
  <si>
    <t>TXN04000</t>
  </si>
  <si>
    <t>Sum of Gross_Sale</t>
  </si>
  <si>
    <t>Product Name</t>
  </si>
  <si>
    <t>Gross Sale Amount</t>
  </si>
  <si>
    <t>Total Sales</t>
  </si>
  <si>
    <t>Sum of Total_Sales</t>
  </si>
  <si>
    <t>Sum of Units_Sold</t>
  </si>
  <si>
    <t>Average of Discount_%</t>
  </si>
  <si>
    <t>Sum of Discount_Amount</t>
  </si>
  <si>
    <t>Product  Category</t>
  </si>
  <si>
    <t>Store Location</t>
  </si>
  <si>
    <t>Sales Representative</t>
  </si>
  <si>
    <t>Customer Name</t>
  </si>
  <si>
    <t>Sum of Average Order Value</t>
  </si>
  <si>
    <t>Sales Reprentative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</si>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</sst>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K&quot;"/>
    <numFmt numFmtId="165" formatCode="&quot;₹&quot;\ #,##0.00"/>
    <numFmt numFmtId="166" formatCode="&quot;₹&quot;\ #,##0"/>
    <numFmt numFmtId="167"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0" fontId="14" fillId="33" borderId="0" xfId="0" applyFont="1" applyFill="1"/>
    <xf numFmtId="0" fontId="0" fillId="0" borderId="0" xfId="0" pivotButton="1"/>
    <xf numFmtId="0" fontId="0" fillId="0" borderId="0" xfId="0" applyAlignment="1">
      <alignment horizontal="left"/>
    </xf>
    <xf numFmtId="0" fontId="16" fillId="34" borderId="10" xfId="0" applyFont="1" applyFill="1" applyBorder="1" applyAlignment="1">
      <alignment horizontal="left"/>
    </xf>
    <xf numFmtId="0" fontId="16" fillId="34" borderId="10" xfId="0" applyFont="1" applyFill="1" applyBorder="1"/>
    <xf numFmtId="164" fontId="0" fillId="0" borderId="0" xfId="0" applyNumberFormat="1"/>
    <xf numFmtId="165" fontId="0" fillId="0" borderId="0" xfId="0" applyNumberFormat="1"/>
    <xf numFmtId="2" fontId="0" fillId="0" borderId="0" xfId="0" applyNumberFormat="1"/>
    <xf numFmtId="2" fontId="0" fillId="0" borderId="0" xfId="42" applyNumberFormat="1" applyFont="1"/>
    <xf numFmtId="0" fontId="16" fillId="0" borderId="0" xfId="0" applyFont="1"/>
    <xf numFmtId="166" fontId="0" fillId="0" borderId="0" xfId="0" applyNumberForma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1">
    <dxf>
      <numFmt numFmtId="19" formatCode="dd/mm/yyyy"/>
    </dxf>
    <dxf>
      <font>
        <b val="0"/>
        <i val="0"/>
        <strike val="0"/>
        <condense val="0"/>
        <extend val="0"/>
        <outline val="0"/>
        <shadow val="0"/>
        <u val="none"/>
        <vertAlign val="baseline"/>
        <sz val="11"/>
        <color rgb="FFFF0000"/>
        <name val="Calibri"/>
        <family val="2"/>
        <scheme val="minor"/>
      </font>
      <fill>
        <patternFill patternType="solid">
          <fgColor indexed="64"/>
          <bgColor rgb="FFFFFF00"/>
        </patternFill>
      </fill>
    </dxf>
    <dxf>
      <numFmt numFmtId="167" formatCode="0.0"/>
    </dxf>
    <dxf>
      <numFmt numFmtId="1" formatCode="0"/>
    </dxf>
    <dxf>
      <numFmt numFmtId="0" formatCode="General"/>
    </dxf>
    <dxf>
      <numFmt numFmtId="0" formatCode="General"/>
    </dxf>
    <dxf>
      <numFmt numFmtId="165" formatCode="&quot;₹&quot;\ #,##0.00"/>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0" formatCode="General"/>
    </dxf>
    <dxf>
      <numFmt numFmtId="165" formatCode="&quot;₹&quot;\ #,##0.00"/>
    </dxf>
    <dxf>
      <numFmt numFmtId="0" formatCode="General"/>
    </dxf>
    <dxf>
      <numFmt numFmtId="165" formatCode="&quot;₹&quot;\ #,##0.00"/>
    </dxf>
    <dxf>
      <numFmt numFmtId="167" formatCode="0.0"/>
    </dxf>
    <dxf>
      <numFmt numFmtId="165" formatCode="&quot;₹&quot;\ #,##0.00"/>
    </dxf>
    <dxf>
      <numFmt numFmtId="2" formatCode="0.00"/>
    </dxf>
    <dxf>
      <numFmt numFmtId="165" formatCode="&quot;₹&quot;\ #,##0.00"/>
    </dxf>
    <dxf>
      <numFmt numFmtId="167" formatCode="0.0"/>
    </dxf>
    <dxf>
      <numFmt numFmtId="165" formatCode="&quot;₹&quot;\ #,##0.00"/>
    </dxf>
    <dxf>
      <numFmt numFmtId="167" formatCode="0.0"/>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 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a:t>
            </a:r>
            <a:r>
              <a:rPr lang="en-US" baseline="0"/>
              <a:t> Sale Amount by Sales Representative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Total</c:v>
                </c:pt>
              </c:strCache>
            </c:strRef>
          </c:tx>
          <c:spPr>
            <a:solidFill>
              <a:schemeClr val="accent2"/>
            </a:solidFill>
            <a:ln>
              <a:noFill/>
            </a:ln>
            <a:effectLst/>
          </c:spPr>
          <c:invertIfNegative val="0"/>
          <c:cat>
            <c:strRef>
              <c:f>'pivot table'!$K$4:$K$11</c:f>
              <c:strCache>
                <c:ptCount val="8"/>
                <c:pt idx="0">
                  <c:v>Meena</c:v>
                </c:pt>
                <c:pt idx="1">
                  <c:v>Sonal</c:v>
                </c:pt>
                <c:pt idx="2">
                  <c:v>Deepak</c:v>
                </c:pt>
                <c:pt idx="3">
                  <c:v>Riya</c:v>
                </c:pt>
                <c:pt idx="4">
                  <c:v>Amit</c:v>
                </c:pt>
                <c:pt idx="5">
                  <c:v>Karan</c:v>
                </c:pt>
                <c:pt idx="6">
                  <c:v>Nidhi</c:v>
                </c:pt>
                <c:pt idx="7">
                  <c:v>Varun</c:v>
                </c:pt>
              </c:strCache>
            </c:strRef>
          </c:cat>
          <c:val>
            <c:numRef>
              <c:f>'pivot table'!$L$4:$L$11</c:f>
              <c:numCache>
                <c:formatCode>"₹"\ #,##0.00</c:formatCode>
                <c:ptCount val="8"/>
                <c:pt idx="0">
                  <c:v>26278783.100000005</c:v>
                </c:pt>
                <c:pt idx="1">
                  <c:v>29424554.389999993</c:v>
                </c:pt>
                <c:pt idx="2">
                  <c:v>29721966.96999998</c:v>
                </c:pt>
                <c:pt idx="3">
                  <c:v>30555066.399999972</c:v>
                </c:pt>
                <c:pt idx="4">
                  <c:v>30650703.489999972</c:v>
                </c:pt>
                <c:pt idx="5">
                  <c:v>31859219.289999988</c:v>
                </c:pt>
                <c:pt idx="6">
                  <c:v>33543802.890000015</c:v>
                </c:pt>
                <c:pt idx="7">
                  <c:v>35060533.290000021</c:v>
                </c:pt>
              </c:numCache>
            </c:numRef>
          </c:val>
          <c:extLst>
            <c:ext xmlns:c16="http://schemas.microsoft.com/office/drawing/2014/chart" uri="{C3380CC4-5D6E-409C-BE32-E72D297353CC}">
              <c16:uniqueId val="{00000000-0B75-41DB-A752-3664733E6595}"/>
            </c:ext>
          </c:extLst>
        </c:ser>
        <c:dLbls>
          <c:showLegendKey val="0"/>
          <c:showVal val="0"/>
          <c:showCatName val="0"/>
          <c:showSerName val="0"/>
          <c:showPercent val="0"/>
          <c:showBubbleSize val="0"/>
        </c:dLbls>
        <c:gapWidth val="219"/>
        <c:overlap val="-27"/>
        <c:axId val="853199072"/>
        <c:axId val="853204352"/>
      </c:barChart>
      <c:catAx>
        <c:axId val="85319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204352"/>
        <c:crosses val="autoZero"/>
        <c:auto val="1"/>
        <c:lblAlgn val="ctr"/>
        <c:lblOffset val="100"/>
        <c:noMultiLvlLbl val="0"/>
      </c:catAx>
      <c:valAx>
        <c:axId val="85320435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19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table!PivotTable16</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Avg</a:t>
            </a:r>
            <a:r>
              <a:rPr lang="en-IN" sz="1400" b="1" baseline="0"/>
              <a:t> Discount % By Sales Representative</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table'!$BB$4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table'!$BA$5:$BA$12</c:f>
              <c:strCache>
                <c:ptCount val="8"/>
                <c:pt idx="0">
                  <c:v>Amit</c:v>
                </c:pt>
                <c:pt idx="1">
                  <c:v>Deepak</c:v>
                </c:pt>
                <c:pt idx="2">
                  <c:v>Nidhi</c:v>
                </c:pt>
                <c:pt idx="3">
                  <c:v>Karan</c:v>
                </c:pt>
                <c:pt idx="4">
                  <c:v>Varun</c:v>
                </c:pt>
                <c:pt idx="5">
                  <c:v>Meena</c:v>
                </c:pt>
                <c:pt idx="6">
                  <c:v>Sonal</c:v>
                </c:pt>
                <c:pt idx="7">
                  <c:v>Riya</c:v>
                </c:pt>
              </c:strCache>
            </c:strRef>
          </c:cat>
          <c:val>
            <c:numRef>
              <c:f>'pivot table'!$BB$5:$BB$12</c:f>
              <c:numCache>
                <c:formatCode>0.0</c:formatCode>
                <c:ptCount val="8"/>
                <c:pt idx="0">
                  <c:v>9.5859213250517605</c:v>
                </c:pt>
                <c:pt idx="1">
                  <c:v>9.7263157894736842</c:v>
                </c:pt>
                <c:pt idx="2">
                  <c:v>9.7643442622950811</c:v>
                </c:pt>
                <c:pt idx="3">
                  <c:v>9.8221343873517792</c:v>
                </c:pt>
                <c:pt idx="4">
                  <c:v>9.973637961335676</c:v>
                </c:pt>
                <c:pt idx="5">
                  <c:v>10.128205128205128</c:v>
                </c:pt>
                <c:pt idx="6">
                  <c:v>10.304259634888439</c:v>
                </c:pt>
                <c:pt idx="7">
                  <c:v>10.328185328185327</c:v>
                </c:pt>
              </c:numCache>
            </c:numRef>
          </c:val>
          <c:smooth val="0"/>
          <c:extLst>
            <c:ext xmlns:c16="http://schemas.microsoft.com/office/drawing/2014/chart" uri="{C3380CC4-5D6E-409C-BE32-E72D297353CC}">
              <c16:uniqueId val="{00000000-DBAB-464A-9984-4E96BA5DD956}"/>
            </c:ext>
          </c:extLst>
        </c:ser>
        <c:dLbls>
          <c:dLblPos val="t"/>
          <c:showLegendKey val="0"/>
          <c:showVal val="1"/>
          <c:showCatName val="0"/>
          <c:showSerName val="0"/>
          <c:showPercent val="0"/>
          <c:showBubbleSize val="0"/>
        </c:dLbls>
        <c:marker val="1"/>
        <c:smooth val="0"/>
        <c:axId val="863071216"/>
        <c:axId val="863055856"/>
      </c:lineChart>
      <c:catAx>
        <c:axId val="86307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63055856"/>
        <c:crosses val="autoZero"/>
        <c:auto val="1"/>
        <c:lblAlgn val="ctr"/>
        <c:lblOffset val="100"/>
        <c:noMultiLvlLbl val="0"/>
      </c:catAx>
      <c:valAx>
        <c:axId val="86305585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6307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table!PivotTable18</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Customers by Avg Order Value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table'!$BK$4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table'!$BJ$5:$BJ$14</c:f>
              <c:strCache>
                <c:ptCount val="10"/>
                <c:pt idx="0">
                  <c:v>Arjun Mehta</c:v>
                </c:pt>
                <c:pt idx="1">
                  <c:v>Yash Jain</c:v>
                </c:pt>
                <c:pt idx="2">
                  <c:v>Ananya Das</c:v>
                </c:pt>
                <c:pt idx="3">
                  <c:v>Kavya Nair</c:v>
                </c:pt>
                <c:pt idx="4">
                  <c:v>Rohan Patel</c:v>
                </c:pt>
                <c:pt idx="5">
                  <c:v>Aarav Sharma</c:v>
                </c:pt>
                <c:pt idx="6">
                  <c:v>Sneha Kapoor</c:v>
                </c:pt>
                <c:pt idx="7">
                  <c:v>Manish Kumar</c:v>
                </c:pt>
                <c:pt idx="8">
                  <c:v>Neha Gupta</c:v>
                </c:pt>
                <c:pt idx="9">
                  <c:v>Simran Kaur</c:v>
                </c:pt>
              </c:strCache>
            </c:strRef>
          </c:cat>
          <c:val>
            <c:numRef>
              <c:f>'pivot table'!$BK$5:$BK$14</c:f>
              <c:numCache>
                <c:formatCode>"₹"\ #,##0</c:formatCode>
                <c:ptCount val="10"/>
                <c:pt idx="0">
                  <c:v>63148.262686567105</c:v>
                </c:pt>
                <c:pt idx="1">
                  <c:v>59991.523992537346</c:v>
                </c:pt>
                <c:pt idx="2">
                  <c:v>58783.488549618327</c:v>
                </c:pt>
                <c:pt idx="3">
                  <c:v>58524.629801980191</c:v>
                </c:pt>
                <c:pt idx="4">
                  <c:v>58316.642374999989</c:v>
                </c:pt>
                <c:pt idx="5">
                  <c:v>57516.420039682511</c:v>
                </c:pt>
                <c:pt idx="6">
                  <c:v>56854.456167883203</c:v>
                </c:pt>
                <c:pt idx="7">
                  <c:v>55483.622071713144</c:v>
                </c:pt>
                <c:pt idx="8">
                  <c:v>54755.266914062486</c:v>
                </c:pt>
                <c:pt idx="9">
                  <c:v>54396.765648854976</c:v>
                </c:pt>
              </c:numCache>
            </c:numRef>
          </c:val>
          <c:extLst>
            <c:ext xmlns:c16="http://schemas.microsoft.com/office/drawing/2014/chart" uri="{C3380CC4-5D6E-409C-BE32-E72D297353CC}">
              <c16:uniqueId val="{00000000-1368-4E1E-BAB1-580D10546727}"/>
            </c:ext>
          </c:extLst>
        </c:ser>
        <c:dLbls>
          <c:dLblPos val="outEnd"/>
          <c:showLegendKey val="0"/>
          <c:showVal val="1"/>
          <c:showCatName val="0"/>
          <c:showSerName val="0"/>
          <c:showPercent val="0"/>
          <c:showBubbleSize val="0"/>
        </c:dLbls>
        <c:gapWidth val="219"/>
        <c:overlap val="-27"/>
        <c:axId val="1399307344"/>
        <c:axId val="1399307824"/>
      </c:barChart>
      <c:catAx>
        <c:axId val="139930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9307824"/>
        <c:crosses val="autoZero"/>
        <c:auto val="1"/>
        <c:lblAlgn val="ctr"/>
        <c:lblOffset val="100"/>
        <c:noMultiLvlLbl val="0"/>
      </c:catAx>
      <c:valAx>
        <c:axId val="1399307824"/>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930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table!PivotTable19</c:name>
    <c:fmtId val="4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a:t>
            </a:r>
            <a:r>
              <a:rPr lang="en-IN" b="1" baseline="0"/>
              <a:t> 10 Customer by Avg Discount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table'!$BN$4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table'!$BM$5:$BM$14</c:f>
              <c:strCache>
                <c:ptCount val="10"/>
                <c:pt idx="0">
                  <c:v>Ananya Das</c:v>
                </c:pt>
                <c:pt idx="1">
                  <c:v>Priya Verma</c:v>
                </c:pt>
                <c:pt idx="2">
                  <c:v>Yash Jain</c:v>
                </c:pt>
                <c:pt idx="3">
                  <c:v>Pooja Malhotra</c:v>
                </c:pt>
                <c:pt idx="4">
                  <c:v>Arjun Mehta</c:v>
                </c:pt>
                <c:pt idx="5">
                  <c:v>Kavya Nair</c:v>
                </c:pt>
                <c:pt idx="6">
                  <c:v>Vikram Joshi</c:v>
                </c:pt>
                <c:pt idx="7">
                  <c:v>Rahul Singh</c:v>
                </c:pt>
                <c:pt idx="8">
                  <c:v>Aarav Sharma</c:v>
                </c:pt>
                <c:pt idx="9">
                  <c:v>Aditya Roy</c:v>
                </c:pt>
              </c:strCache>
            </c:strRef>
          </c:cat>
          <c:val>
            <c:numRef>
              <c:f>'pivot table'!$BN$5:$BN$14</c:f>
              <c:numCache>
                <c:formatCode>0.0</c:formatCode>
                <c:ptCount val="10"/>
                <c:pt idx="0">
                  <c:v>9.7328244274809155</c:v>
                </c:pt>
                <c:pt idx="1">
                  <c:v>9.8458904109589049</c:v>
                </c:pt>
                <c:pt idx="2">
                  <c:v>10.111940298507463</c:v>
                </c:pt>
                <c:pt idx="3">
                  <c:v>10.115384615384615</c:v>
                </c:pt>
                <c:pt idx="4">
                  <c:v>10.186567164179104</c:v>
                </c:pt>
                <c:pt idx="5">
                  <c:v>10.198019801980198</c:v>
                </c:pt>
                <c:pt idx="6">
                  <c:v>10.247148288973383</c:v>
                </c:pt>
                <c:pt idx="7">
                  <c:v>10.268817204301076</c:v>
                </c:pt>
                <c:pt idx="8">
                  <c:v>10.575396825396826</c:v>
                </c:pt>
                <c:pt idx="9">
                  <c:v>10.722222222222221</c:v>
                </c:pt>
              </c:numCache>
            </c:numRef>
          </c:val>
          <c:smooth val="0"/>
          <c:extLst>
            <c:ext xmlns:c16="http://schemas.microsoft.com/office/drawing/2014/chart" uri="{C3380CC4-5D6E-409C-BE32-E72D297353CC}">
              <c16:uniqueId val="{00000003-C208-48AD-96B6-2AF1F0CA2095}"/>
            </c:ext>
          </c:extLst>
        </c:ser>
        <c:dLbls>
          <c:dLblPos val="t"/>
          <c:showLegendKey val="0"/>
          <c:showVal val="1"/>
          <c:showCatName val="0"/>
          <c:showSerName val="0"/>
          <c:showPercent val="0"/>
          <c:showBubbleSize val="0"/>
        </c:dLbls>
        <c:marker val="1"/>
        <c:smooth val="0"/>
        <c:axId val="1336069456"/>
        <c:axId val="1336069936"/>
      </c:lineChart>
      <c:catAx>
        <c:axId val="133606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6069936"/>
        <c:crosses val="autoZero"/>
        <c:auto val="1"/>
        <c:lblAlgn val="ctr"/>
        <c:lblOffset val="100"/>
        <c:noMultiLvlLbl val="0"/>
      </c:catAx>
      <c:valAx>
        <c:axId val="133606993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606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 14</c:name>
    <c:fmtId val="3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by Sales Representative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table'!$AT$4</c:f>
              <c:strCache>
                <c:ptCount val="1"/>
                <c:pt idx="0">
                  <c:v>Total</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table'!$AS$5:$AS$12</c:f>
              <c:strCache>
                <c:ptCount val="8"/>
                <c:pt idx="0">
                  <c:v>Meena</c:v>
                </c:pt>
                <c:pt idx="1">
                  <c:v>Sonal</c:v>
                </c:pt>
                <c:pt idx="2">
                  <c:v>Deepak</c:v>
                </c:pt>
                <c:pt idx="3">
                  <c:v>Riya</c:v>
                </c:pt>
                <c:pt idx="4">
                  <c:v>Amit</c:v>
                </c:pt>
                <c:pt idx="5">
                  <c:v>Karan</c:v>
                </c:pt>
                <c:pt idx="6">
                  <c:v>Nidhi</c:v>
                </c:pt>
                <c:pt idx="7">
                  <c:v>Varun</c:v>
                </c:pt>
              </c:strCache>
            </c:strRef>
          </c:cat>
          <c:val>
            <c:numRef>
              <c:f>'pivot table'!$AT$5:$AT$12</c:f>
              <c:numCache>
                <c:formatCode>"₹"\ #,##0.00</c:formatCode>
                <c:ptCount val="8"/>
                <c:pt idx="0">
                  <c:v>23663362.089999992</c:v>
                </c:pt>
                <c:pt idx="1">
                  <c:v>26440405.800000031</c:v>
                </c:pt>
                <c:pt idx="2">
                  <c:v>26876760.579999983</c:v>
                </c:pt>
                <c:pt idx="3">
                  <c:v>27568568.340000011</c:v>
                </c:pt>
                <c:pt idx="4">
                  <c:v>27730360.969999984</c:v>
                </c:pt>
                <c:pt idx="5">
                  <c:v>28852036.790000003</c:v>
                </c:pt>
                <c:pt idx="6">
                  <c:v>30511480.289999984</c:v>
                </c:pt>
                <c:pt idx="7">
                  <c:v>31672973.010000028</c:v>
                </c:pt>
              </c:numCache>
            </c:numRef>
          </c:val>
          <c:extLst>
            <c:ext xmlns:c16="http://schemas.microsoft.com/office/drawing/2014/chart" uri="{C3380CC4-5D6E-409C-BE32-E72D297353CC}">
              <c16:uniqueId val="{00000000-B482-4D08-B7BA-F7081D3D311B}"/>
            </c:ext>
          </c:extLst>
        </c:ser>
        <c:dLbls>
          <c:showLegendKey val="0"/>
          <c:showVal val="0"/>
          <c:showCatName val="0"/>
          <c:showSerName val="0"/>
          <c:showPercent val="0"/>
          <c:showBubbleSize val="0"/>
        </c:dLbls>
        <c:gapWidth val="182"/>
        <c:axId val="1592443280"/>
        <c:axId val="1592443760"/>
      </c:barChart>
      <c:catAx>
        <c:axId val="159244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2443760"/>
        <c:crosses val="autoZero"/>
        <c:auto val="1"/>
        <c:lblAlgn val="ctr"/>
        <c:lblOffset val="100"/>
        <c:noMultiLvlLbl val="0"/>
      </c:catAx>
      <c:valAx>
        <c:axId val="1592443760"/>
        <c:scaling>
          <c:orientation val="minMax"/>
        </c:scaling>
        <c:delete val="1"/>
        <c:axPos val="b"/>
        <c:numFmt formatCode="&quot;₹&quot;\ #,##0.00" sourceLinked="1"/>
        <c:majorTickMark val="none"/>
        <c:minorTickMark val="none"/>
        <c:tickLblPos val="nextTo"/>
        <c:crossAx val="1592443280"/>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 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Gross</a:t>
            </a:r>
            <a:r>
              <a:rPr lang="en-US" sz="2000" b="1" baseline="0"/>
              <a:t> Sale Amount by Product Name</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table'!$E$4:$E$13</c:f>
              <c:strCache>
                <c:ptCount val="10"/>
                <c:pt idx="0">
                  <c:v>Smartwatch</c:v>
                </c:pt>
                <c:pt idx="1">
                  <c:v>Bookshelf</c:v>
                </c:pt>
                <c:pt idx="2">
                  <c:v>Vacuum Cleaner</c:v>
                </c:pt>
                <c:pt idx="3">
                  <c:v>Microwave</c:v>
                </c:pt>
                <c:pt idx="4">
                  <c:v>Desk</c:v>
                </c:pt>
                <c:pt idx="5">
                  <c:v>Tablet</c:v>
                </c:pt>
                <c:pt idx="6">
                  <c:v>Dining Table</c:v>
                </c:pt>
                <c:pt idx="7">
                  <c:v>Smartphone</c:v>
                </c:pt>
                <c:pt idx="8">
                  <c:v>Sofa</c:v>
                </c:pt>
                <c:pt idx="9">
                  <c:v>Laptop</c:v>
                </c:pt>
              </c:strCache>
            </c:strRef>
          </c:cat>
          <c:val>
            <c:numRef>
              <c:f>'pivot table'!$F$4:$F$13</c:f>
              <c:numCache>
                <c:formatCode>"₹"\ #,##0.00</c:formatCode>
                <c:ptCount val="10"/>
                <c:pt idx="0">
                  <c:v>6820041.2100000009</c:v>
                </c:pt>
                <c:pt idx="1">
                  <c:v>7296137.8000000026</c:v>
                </c:pt>
                <c:pt idx="2">
                  <c:v>8901708.6499999966</c:v>
                </c:pt>
                <c:pt idx="3">
                  <c:v>10187792.859999996</c:v>
                </c:pt>
                <c:pt idx="4">
                  <c:v>11196018.420000002</c:v>
                </c:pt>
                <c:pt idx="5">
                  <c:v>17401233.370000001</c:v>
                </c:pt>
                <c:pt idx="6">
                  <c:v>21961689.449999988</c:v>
                </c:pt>
                <c:pt idx="7">
                  <c:v>29299109.510000013</c:v>
                </c:pt>
                <c:pt idx="8">
                  <c:v>34563267.439999998</c:v>
                </c:pt>
                <c:pt idx="9">
                  <c:v>56875650.800000034</c:v>
                </c:pt>
              </c:numCache>
            </c:numRef>
          </c:val>
          <c:extLst>
            <c:ext xmlns:c16="http://schemas.microsoft.com/office/drawing/2014/chart" uri="{C3380CC4-5D6E-409C-BE32-E72D297353CC}">
              <c16:uniqueId val="{00000000-D724-4859-AE36-3E0888B173AA}"/>
            </c:ext>
          </c:extLst>
        </c:ser>
        <c:dLbls>
          <c:dLblPos val="outEnd"/>
          <c:showLegendKey val="0"/>
          <c:showVal val="1"/>
          <c:showCatName val="0"/>
          <c:showSerName val="0"/>
          <c:showPercent val="0"/>
          <c:showBubbleSize val="0"/>
        </c:dLbls>
        <c:gapWidth val="122"/>
        <c:axId val="168414096"/>
        <c:axId val="168414576"/>
      </c:barChart>
      <c:catAx>
        <c:axId val="16841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68414576"/>
        <c:crosses val="autoZero"/>
        <c:auto val="1"/>
        <c:lblAlgn val="ctr"/>
        <c:lblOffset val="100"/>
        <c:noMultiLvlLbl val="0"/>
      </c:catAx>
      <c:valAx>
        <c:axId val="168414576"/>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841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 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Product</a:t>
            </a:r>
            <a:r>
              <a:rPr lang="en-US" sz="2400" b="1" baseline="0"/>
              <a:t> name by Total Sales</a:t>
            </a:r>
            <a:endParaRPr lang="en-US" sz="2400" b="1"/>
          </a:p>
        </c:rich>
      </c:tx>
      <c:layout>
        <c:manualLayout>
          <c:xMode val="edge"/>
          <c:yMode val="edge"/>
          <c:x val="0.17665272842210797"/>
          <c:y val="4.47194345934253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table'!$H$4:$H$13</c:f>
              <c:strCache>
                <c:ptCount val="10"/>
                <c:pt idx="0">
                  <c:v>Smartwatch</c:v>
                </c:pt>
                <c:pt idx="1">
                  <c:v>Bookshelf</c:v>
                </c:pt>
                <c:pt idx="2">
                  <c:v>Vacuum Cleaner</c:v>
                </c:pt>
                <c:pt idx="3">
                  <c:v>Microwave</c:v>
                </c:pt>
                <c:pt idx="4">
                  <c:v>Desk</c:v>
                </c:pt>
                <c:pt idx="5">
                  <c:v>Tablet</c:v>
                </c:pt>
                <c:pt idx="6">
                  <c:v>Dining Table</c:v>
                </c:pt>
                <c:pt idx="7">
                  <c:v>Smartphone</c:v>
                </c:pt>
                <c:pt idx="8">
                  <c:v>Sofa</c:v>
                </c:pt>
                <c:pt idx="9">
                  <c:v>Laptop</c:v>
                </c:pt>
              </c:strCache>
            </c:strRef>
          </c:cat>
          <c:val>
            <c:numRef>
              <c:f>'pivot table'!$I$4:$I$13</c:f>
              <c:numCache>
                <c:formatCode>"₹"\ #,##0.00</c:formatCode>
                <c:ptCount val="10"/>
                <c:pt idx="0">
                  <c:v>6192680.0199999968</c:v>
                </c:pt>
                <c:pt idx="1">
                  <c:v>6585523.870000001</c:v>
                </c:pt>
                <c:pt idx="2">
                  <c:v>8013094.5100000007</c:v>
                </c:pt>
                <c:pt idx="3">
                  <c:v>9226734.3399999961</c:v>
                </c:pt>
                <c:pt idx="4">
                  <c:v>10121331.759999998</c:v>
                </c:pt>
                <c:pt idx="5">
                  <c:v>15789880.789999999</c:v>
                </c:pt>
                <c:pt idx="6">
                  <c:v>19648555.879999995</c:v>
                </c:pt>
                <c:pt idx="7">
                  <c:v>26203651.780000012</c:v>
                </c:pt>
                <c:pt idx="8">
                  <c:v>31079733.579999994</c:v>
                </c:pt>
                <c:pt idx="9">
                  <c:v>52092048.899999999</c:v>
                </c:pt>
              </c:numCache>
            </c:numRef>
          </c:val>
          <c:smooth val="0"/>
          <c:extLst>
            <c:ext xmlns:c16="http://schemas.microsoft.com/office/drawing/2014/chart" uri="{C3380CC4-5D6E-409C-BE32-E72D297353CC}">
              <c16:uniqueId val="{00000000-1D63-4CAE-867D-42C85DA2B4AD}"/>
            </c:ext>
          </c:extLst>
        </c:ser>
        <c:dLbls>
          <c:showLegendKey val="0"/>
          <c:showVal val="0"/>
          <c:showCatName val="0"/>
          <c:showSerName val="0"/>
          <c:showPercent val="0"/>
          <c:showBubbleSize val="0"/>
        </c:dLbls>
        <c:marker val="1"/>
        <c:smooth val="0"/>
        <c:axId val="619340864"/>
        <c:axId val="619341344"/>
      </c:lineChart>
      <c:catAx>
        <c:axId val="61934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9341344"/>
        <c:crosses val="autoZero"/>
        <c:auto val="1"/>
        <c:lblAlgn val="ctr"/>
        <c:lblOffset val="100"/>
        <c:noMultiLvlLbl val="0"/>
      </c:catAx>
      <c:valAx>
        <c:axId val="61934134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19340864"/>
        <c:crosses val="autoZero"/>
        <c:crossBetween val="between"/>
      </c:valAx>
      <c:spPr>
        <a:noFill/>
        <a:ln w="12700" cap="flat" cmpd="sng" algn="ctr">
          <a:no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 9</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a:t>
            </a:r>
            <a:r>
              <a:rPr lang="en-US" b="1" baseline="0"/>
              <a:t>  Sold  by Product Name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table'!$Y$3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table'!$X$4:$X$13</c:f>
              <c:strCache>
                <c:ptCount val="10"/>
                <c:pt idx="0">
                  <c:v>Smartphone</c:v>
                </c:pt>
                <c:pt idx="1">
                  <c:v>Shoes</c:v>
                </c:pt>
                <c:pt idx="2">
                  <c:v>Mixer</c:v>
                </c:pt>
                <c:pt idx="3">
                  <c:v>Jacket</c:v>
                </c:pt>
                <c:pt idx="4">
                  <c:v>Dumbbells</c:v>
                </c:pt>
                <c:pt idx="5">
                  <c:v>Tablet</c:v>
                </c:pt>
                <c:pt idx="6">
                  <c:v>Smartwatch</c:v>
                </c:pt>
                <c:pt idx="7">
                  <c:v>Kurta</c:v>
                </c:pt>
                <c:pt idx="8">
                  <c:v>Office Chair</c:v>
                </c:pt>
                <c:pt idx="9">
                  <c:v>Iron</c:v>
                </c:pt>
              </c:strCache>
            </c:strRef>
          </c:cat>
          <c:val>
            <c:numRef>
              <c:f>'pivot table'!$Y$4:$Y$13</c:f>
              <c:numCache>
                <c:formatCode>General</c:formatCode>
                <c:ptCount val="10"/>
                <c:pt idx="0">
                  <c:v>1115</c:v>
                </c:pt>
                <c:pt idx="1">
                  <c:v>969</c:v>
                </c:pt>
                <c:pt idx="2">
                  <c:v>950</c:v>
                </c:pt>
                <c:pt idx="3">
                  <c:v>943</c:v>
                </c:pt>
                <c:pt idx="4">
                  <c:v>930</c:v>
                </c:pt>
                <c:pt idx="5">
                  <c:v>926</c:v>
                </c:pt>
                <c:pt idx="6">
                  <c:v>925</c:v>
                </c:pt>
                <c:pt idx="7">
                  <c:v>912</c:v>
                </c:pt>
                <c:pt idx="8">
                  <c:v>895</c:v>
                </c:pt>
                <c:pt idx="9">
                  <c:v>892</c:v>
                </c:pt>
              </c:numCache>
            </c:numRef>
          </c:val>
          <c:extLst>
            <c:ext xmlns:c16="http://schemas.microsoft.com/office/drawing/2014/chart" uri="{C3380CC4-5D6E-409C-BE32-E72D297353CC}">
              <c16:uniqueId val="{00000000-D7CB-412F-B3E7-C2DD9FE6926A}"/>
            </c:ext>
          </c:extLst>
        </c:ser>
        <c:dLbls>
          <c:dLblPos val="outEnd"/>
          <c:showLegendKey val="0"/>
          <c:showVal val="1"/>
          <c:showCatName val="0"/>
          <c:showSerName val="0"/>
          <c:showPercent val="0"/>
          <c:showBubbleSize val="0"/>
        </c:dLbls>
        <c:gapWidth val="219"/>
        <c:overlap val="-27"/>
        <c:axId val="1912166880"/>
        <c:axId val="1912167840"/>
      </c:barChart>
      <c:catAx>
        <c:axId val="191216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2167840"/>
        <c:crosses val="autoZero"/>
        <c:auto val="1"/>
        <c:lblAlgn val="ctr"/>
        <c:lblOffset val="100"/>
        <c:noMultiLvlLbl val="0"/>
      </c:catAx>
      <c:valAx>
        <c:axId val="1912167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16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table!PivotTable10</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Discount % by Product Name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table'!$AB$4</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table'!$AA$5:$AA$14</c:f>
              <c:strCache>
                <c:ptCount val="10"/>
                <c:pt idx="0">
                  <c:v>Air Fryer</c:v>
                </c:pt>
                <c:pt idx="1">
                  <c:v>Sofa</c:v>
                </c:pt>
                <c:pt idx="2">
                  <c:v>Iron</c:v>
                </c:pt>
                <c:pt idx="3">
                  <c:v>Jacket</c:v>
                </c:pt>
                <c:pt idx="4">
                  <c:v>Kurta</c:v>
                </c:pt>
                <c:pt idx="5">
                  <c:v>Shoes</c:v>
                </c:pt>
                <c:pt idx="6">
                  <c:v>Vacuum Cleaner</c:v>
                </c:pt>
                <c:pt idx="7">
                  <c:v>Dining Table</c:v>
                </c:pt>
                <c:pt idx="8">
                  <c:v>Smartphone</c:v>
                </c:pt>
                <c:pt idx="9">
                  <c:v>Tennis Racket</c:v>
                </c:pt>
              </c:strCache>
            </c:strRef>
          </c:cat>
          <c:val>
            <c:numRef>
              <c:f>'pivot table'!$AB$5:$AB$14</c:f>
              <c:numCache>
                <c:formatCode>0.0</c:formatCode>
                <c:ptCount val="10"/>
                <c:pt idx="0">
                  <c:v>10.13986013986014</c:v>
                </c:pt>
                <c:pt idx="1">
                  <c:v>10.152439024390244</c:v>
                </c:pt>
                <c:pt idx="2">
                  <c:v>10.184049079754601</c:v>
                </c:pt>
                <c:pt idx="3">
                  <c:v>10.245398773006135</c:v>
                </c:pt>
                <c:pt idx="4">
                  <c:v>10.333333333333334</c:v>
                </c:pt>
                <c:pt idx="5">
                  <c:v>10.502958579881657</c:v>
                </c:pt>
                <c:pt idx="6">
                  <c:v>10.509554140127388</c:v>
                </c:pt>
                <c:pt idx="7">
                  <c:v>10.5625</c:v>
                </c:pt>
                <c:pt idx="8">
                  <c:v>10.871794871794872</c:v>
                </c:pt>
                <c:pt idx="9">
                  <c:v>10.974025974025974</c:v>
                </c:pt>
              </c:numCache>
            </c:numRef>
          </c:val>
          <c:smooth val="0"/>
          <c:extLst>
            <c:ext xmlns:c16="http://schemas.microsoft.com/office/drawing/2014/chart" uri="{C3380CC4-5D6E-409C-BE32-E72D297353CC}">
              <c16:uniqueId val="{00000000-B693-4FFE-82D9-80561A27BAD8}"/>
            </c:ext>
          </c:extLst>
        </c:ser>
        <c:dLbls>
          <c:dLblPos val="t"/>
          <c:showLegendKey val="0"/>
          <c:showVal val="1"/>
          <c:showCatName val="0"/>
          <c:showSerName val="0"/>
          <c:showPercent val="0"/>
          <c:showBubbleSize val="0"/>
        </c:dLbls>
        <c:marker val="1"/>
        <c:smooth val="0"/>
        <c:axId val="1977656048"/>
        <c:axId val="1977657488"/>
      </c:lineChart>
      <c:catAx>
        <c:axId val="197765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7657488"/>
        <c:crosses val="autoZero"/>
        <c:auto val="1"/>
        <c:lblAlgn val="ctr"/>
        <c:lblOffset val="100"/>
        <c:noMultiLvlLbl val="0"/>
      </c:catAx>
      <c:valAx>
        <c:axId val="197765748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65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table!PivotTable11</c:name>
    <c:fmtId val="2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amount By</a:t>
            </a:r>
            <a:r>
              <a:rPr lang="en-US" b="1" baseline="0"/>
              <a:t> Store Location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table'!$AF$4</c:f>
              <c:strCache>
                <c:ptCount val="1"/>
                <c:pt idx="0">
                  <c:v>Total</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table'!$AE$5:$AE$11</c:f>
              <c:strCache>
                <c:ptCount val="7"/>
                <c:pt idx="0">
                  <c:v>Chennai</c:v>
                </c:pt>
                <c:pt idx="1">
                  <c:v>Mumbai</c:v>
                </c:pt>
                <c:pt idx="2">
                  <c:v>Bangalore</c:v>
                </c:pt>
                <c:pt idx="3">
                  <c:v>Pune</c:v>
                </c:pt>
                <c:pt idx="4">
                  <c:v>Delhi</c:v>
                </c:pt>
                <c:pt idx="5">
                  <c:v>Kolkata</c:v>
                </c:pt>
                <c:pt idx="6">
                  <c:v>Hyderabad</c:v>
                </c:pt>
              </c:strCache>
            </c:strRef>
          </c:cat>
          <c:val>
            <c:numRef>
              <c:f>'pivot table'!$AF$5:$AF$11</c:f>
              <c:numCache>
                <c:formatCode>"₹"\ #,##0.00</c:formatCode>
                <c:ptCount val="7"/>
                <c:pt idx="0">
                  <c:v>29704780.660000023</c:v>
                </c:pt>
                <c:pt idx="1">
                  <c:v>30549742.719999995</c:v>
                </c:pt>
                <c:pt idx="2">
                  <c:v>30607901.53999998</c:v>
                </c:pt>
                <c:pt idx="3">
                  <c:v>30840159.759999994</c:v>
                </c:pt>
                <c:pt idx="4">
                  <c:v>31850449.210000027</c:v>
                </c:pt>
                <c:pt idx="5">
                  <c:v>32795135.730000012</c:v>
                </c:pt>
                <c:pt idx="6">
                  <c:v>36967778.25</c:v>
                </c:pt>
              </c:numCache>
            </c:numRef>
          </c:val>
          <c:extLst>
            <c:ext xmlns:c16="http://schemas.microsoft.com/office/drawing/2014/chart" uri="{C3380CC4-5D6E-409C-BE32-E72D297353CC}">
              <c16:uniqueId val="{00000000-A60B-4276-9057-E0FC253D0383}"/>
            </c:ext>
          </c:extLst>
        </c:ser>
        <c:dLbls>
          <c:showLegendKey val="0"/>
          <c:showVal val="0"/>
          <c:showCatName val="0"/>
          <c:showSerName val="0"/>
          <c:showPercent val="0"/>
          <c:showBubbleSize val="0"/>
        </c:dLbls>
        <c:gapWidth val="182"/>
        <c:axId val="1693001904"/>
        <c:axId val="1693002384"/>
      </c:barChart>
      <c:catAx>
        <c:axId val="169300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93002384"/>
        <c:crosses val="autoZero"/>
        <c:auto val="1"/>
        <c:lblAlgn val="ctr"/>
        <c:lblOffset val="100"/>
        <c:noMultiLvlLbl val="0"/>
      </c:catAx>
      <c:valAx>
        <c:axId val="1693002384"/>
        <c:scaling>
          <c:orientation val="minMax"/>
        </c:scaling>
        <c:delete val="1"/>
        <c:axPos val="b"/>
        <c:numFmt formatCode="&quot;₹&quot;\ #,##0.00" sourceLinked="1"/>
        <c:majorTickMark val="none"/>
        <c:minorTickMark val="none"/>
        <c:tickLblPos val="nextTo"/>
        <c:crossAx val="169300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table!PivotTable13</c:name>
    <c:fmtId val="3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a:t>
            </a:r>
            <a:r>
              <a:rPr lang="en-US" b="1" baseline="0"/>
              <a:t> Discount % by Store Location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table'!$AO$4</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table'!$AN$5:$AN$11</c:f>
              <c:strCache>
                <c:ptCount val="7"/>
                <c:pt idx="0">
                  <c:v>Kolkata</c:v>
                </c:pt>
                <c:pt idx="1">
                  <c:v>Delhi</c:v>
                </c:pt>
                <c:pt idx="2">
                  <c:v>Hyderabad</c:v>
                </c:pt>
                <c:pt idx="3">
                  <c:v>Chennai</c:v>
                </c:pt>
                <c:pt idx="4">
                  <c:v>Bangalore</c:v>
                </c:pt>
                <c:pt idx="5">
                  <c:v>Mumbai</c:v>
                </c:pt>
                <c:pt idx="6">
                  <c:v>Pune</c:v>
                </c:pt>
              </c:strCache>
            </c:strRef>
          </c:cat>
          <c:val>
            <c:numRef>
              <c:f>'pivot table'!$AO$5:$AO$11</c:f>
              <c:numCache>
                <c:formatCode>0.0</c:formatCode>
                <c:ptCount val="7"/>
                <c:pt idx="0">
                  <c:v>10.128644939965694</c:v>
                </c:pt>
                <c:pt idx="1">
                  <c:v>10.116504854368932</c:v>
                </c:pt>
                <c:pt idx="2">
                  <c:v>10.107084019769358</c:v>
                </c:pt>
                <c:pt idx="3">
                  <c:v>9.9333333333333336</c:v>
                </c:pt>
                <c:pt idx="4">
                  <c:v>9.8688811188811183</c:v>
                </c:pt>
                <c:pt idx="5">
                  <c:v>9.7909407665505235</c:v>
                </c:pt>
                <c:pt idx="6">
                  <c:v>9.7540983606557372</c:v>
                </c:pt>
              </c:numCache>
            </c:numRef>
          </c:val>
          <c:extLst>
            <c:ext xmlns:c16="http://schemas.microsoft.com/office/drawing/2014/chart" uri="{C3380CC4-5D6E-409C-BE32-E72D297353CC}">
              <c16:uniqueId val="{00000000-9F28-4C87-9458-50A2C393B6B6}"/>
            </c:ext>
          </c:extLst>
        </c:ser>
        <c:dLbls>
          <c:showLegendKey val="0"/>
          <c:showVal val="1"/>
          <c:showCatName val="0"/>
          <c:showSerName val="0"/>
          <c:showPercent val="0"/>
          <c:showBubbleSize val="0"/>
        </c:dLbls>
        <c:gapWidth val="150"/>
        <c:shape val="box"/>
        <c:axId val="1811936304"/>
        <c:axId val="1989015920"/>
        <c:axId val="0"/>
      </c:bar3DChart>
      <c:catAx>
        <c:axId val="1811936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9015920"/>
        <c:crosses val="autoZero"/>
        <c:auto val="1"/>
        <c:lblAlgn val="ctr"/>
        <c:lblOffset val="100"/>
        <c:noMultiLvlLbl val="0"/>
      </c:catAx>
      <c:valAx>
        <c:axId val="19890159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93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table!PivotTable15</c:name>
    <c:fmtId val="4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a:t>
            </a:r>
            <a:r>
              <a:rPr lang="en-US" b="1" baseline="0"/>
              <a:t> Sold  By sales Representative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table'!$AW$4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table'!$AV$5:$AV$12</c:f>
              <c:strCache>
                <c:ptCount val="8"/>
                <c:pt idx="0">
                  <c:v>Varun</c:v>
                </c:pt>
                <c:pt idx="1">
                  <c:v>Riya</c:v>
                </c:pt>
                <c:pt idx="2">
                  <c:v>Karan</c:v>
                </c:pt>
                <c:pt idx="3">
                  <c:v>Nidhi</c:v>
                </c:pt>
                <c:pt idx="4">
                  <c:v>Sonal</c:v>
                </c:pt>
                <c:pt idx="5">
                  <c:v>Amit</c:v>
                </c:pt>
                <c:pt idx="6">
                  <c:v>Meena</c:v>
                </c:pt>
                <c:pt idx="7">
                  <c:v>Deepak</c:v>
                </c:pt>
              </c:strCache>
            </c:strRef>
          </c:cat>
          <c:val>
            <c:numRef>
              <c:f>'pivot table'!$AW$5:$AW$12</c:f>
              <c:numCache>
                <c:formatCode>General</c:formatCode>
                <c:ptCount val="8"/>
                <c:pt idx="0">
                  <c:v>3089</c:v>
                </c:pt>
                <c:pt idx="1">
                  <c:v>2875</c:v>
                </c:pt>
                <c:pt idx="2">
                  <c:v>2806</c:v>
                </c:pt>
                <c:pt idx="3">
                  <c:v>2781</c:v>
                </c:pt>
                <c:pt idx="4">
                  <c:v>2744</c:v>
                </c:pt>
                <c:pt idx="5">
                  <c:v>2674</c:v>
                </c:pt>
                <c:pt idx="6">
                  <c:v>2557</c:v>
                </c:pt>
                <c:pt idx="7">
                  <c:v>2546</c:v>
                </c:pt>
              </c:numCache>
            </c:numRef>
          </c:val>
          <c:extLst>
            <c:ext xmlns:c16="http://schemas.microsoft.com/office/drawing/2014/chart" uri="{C3380CC4-5D6E-409C-BE32-E72D297353CC}">
              <c16:uniqueId val="{00000000-77D0-48F9-874B-457FD537F104}"/>
            </c:ext>
          </c:extLst>
        </c:ser>
        <c:dLbls>
          <c:dLblPos val="outEnd"/>
          <c:showLegendKey val="0"/>
          <c:showVal val="1"/>
          <c:showCatName val="0"/>
          <c:showSerName val="0"/>
          <c:showPercent val="0"/>
          <c:showBubbleSize val="0"/>
        </c:dLbls>
        <c:gapWidth val="219"/>
        <c:overlap val="-27"/>
        <c:axId val="1792761968"/>
        <c:axId val="1792762448"/>
      </c:barChart>
      <c:catAx>
        <c:axId val="179276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762448"/>
        <c:crosses val="autoZero"/>
        <c:auto val="1"/>
        <c:lblAlgn val="ctr"/>
        <c:lblOffset val="100"/>
        <c:noMultiLvlLbl val="0"/>
      </c:catAx>
      <c:valAx>
        <c:axId val="179276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276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table!PivotTable17</c:name>
    <c:fmtId val="5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Customers by Total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042558634192316"/>
          <c:y val="0.12316615128707895"/>
          <c:w val="0.81087002773877814"/>
          <c:h val="0.81542348970409395"/>
        </c:manualLayout>
      </c:layout>
      <c:barChart>
        <c:barDir val="bar"/>
        <c:grouping val="clustered"/>
        <c:varyColors val="0"/>
        <c:ser>
          <c:idx val="0"/>
          <c:order val="0"/>
          <c:tx>
            <c:strRef>
              <c:f>'pivot table'!$BF$3</c:f>
              <c:strCache>
                <c:ptCount val="1"/>
                <c:pt idx="0">
                  <c:v>Total</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table'!$BE$4:$BE$13</c:f>
              <c:strCache>
                <c:ptCount val="10"/>
                <c:pt idx="0">
                  <c:v>Vikram Joshi</c:v>
                </c:pt>
                <c:pt idx="1">
                  <c:v>Simran Kaur</c:v>
                </c:pt>
                <c:pt idx="2">
                  <c:v>Aarav Sharma</c:v>
                </c:pt>
                <c:pt idx="3">
                  <c:v>Rahul Singh</c:v>
                </c:pt>
                <c:pt idx="4">
                  <c:v>Priya Verma</c:v>
                </c:pt>
                <c:pt idx="5">
                  <c:v>Ananya Das</c:v>
                </c:pt>
                <c:pt idx="6">
                  <c:v>Sneha Kapoor</c:v>
                </c:pt>
                <c:pt idx="7">
                  <c:v>Yash Jain</c:v>
                </c:pt>
                <c:pt idx="8">
                  <c:v>Arjun Mehta</c:v>
                </c:pt>
                <c:pt idx="9">
                  <c:v>Kavya Nair</c:v>
                </c:pt>
              </c:strCache>
            </c:strRef>
          </c:cat>
          <c:val>
            <c:numRef>
              <c:f>'pivot table'!$BF$4:$BF$13</c:f>
              <c:numCache>
                <c:formatCode>"₹"\ #,##0.00</c:formatCode>
                <c:ptCount val="10"/>
                <c:pt idx="0">
                  <c:v>14221409.729999991</c:v>
                </c:pt>
                <c:pt idx="1">
                  <c:v>14251952.600000003</c:v>
                </c:pt>
                <c:pt idx="2">
                  <c:v>14494137.849999992</c:v>
                </c:pt>
                <c:pt idx="3">
                  <c:v>14843663.10999999</c:v>
                </c:pt>
                <c:pt idx="4">
                  <c:v>15144810.180000013</c:v>
                </c:pt>
                <c:pt idx="5">
                  <c:v>15401274.000000002</c:v>
                </c:pt>
                <c:pt idx="6">
                  <c:v>15578120.989999998</c:v>
                </c:pt>
                <c:pt idx="7">
                  <c:v>16077728.430000009</c:v>
                </c:pt>
                <c:pt idx="8">
                  <c:v>16923734.399999984</c:v>
                </c:pt>
                <c:pt idx="9">
                  <c:v>17732962.829999998</c:v>
                </c:pt>
              </c:numCache>
            </c:numRef>
          </c:val>
          <c:extLst>
            <c:ext xmlns:c16="http://schemas.microsoft.com/office/drawing/2014/chart" uri="{C3380CC4-5D6E-409C-BE32-E72D297353CC}">
              <c16:uniqueId val="{00000000-7214-4D27-A989-591AAF4C0F86}"/>
            </c:ext>
          </c:extLst>
        </c:ser>
        <c:dLbls>
          <c:dLblPos val="outEnd"/>
          <c:showLegendKey val="0"/>
          <c:showVal val="1"/>
          <c:showCatName val="0"/>
          <c:showSerName val="0"/>
          <c:showPercent val="0"/>
          <c:showBubbleSize val="0"/>
        </c:dLbls>
        <c:gapWidth val="182"/>
        <c:axId val="1792767728"/>
        <c:axId val="1792768208"/>
      </c:barChart>
      <c:catAx>
        <c:axId val="179276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2768208"/>
        <c:crosses val="autoZero"/>
        <c:auto val="1"/>
        <c:lblAlgn val="ctr"/>
        <c:lblOffset val="100"/>
        <c:noMultiLvlLbl val="0"/>
      </c:catAx>
      <c:valAx>
        <c:axId val="1792768208"/>
        <c:scaling>
          <c:orientation val="minMax"/>
        </c:scaling>
        <c:delete val="1"/>
        <c:axPos val="b"/>
        <c:numFmt formatCode="&quot;₹&quot;\ #,##0.00" sourceLinked="1"/>
        <c:majorTickMark val="none"/>
        <c:minorTickMark val="none"/>
        <c:tickLblPos val="nextTo"/>
        <c:crossAx val="179276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 8</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Amount by Product Category </a:t>
            </a:r>
          </a:p>
        </c:rich>
      </c:tx>
      <c:layout>
        <c:manualLayout>
          <c:xMode val="edge"/>
          <c:yMode val="edge"/>
          <c:x val="0.15326513324582558"/>
          <c:y val="5.94278826266562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333158355205603"/>
          <c:y val="0.20309966462525517"/>
          <c:w val="0.29559426946631673"/>
          <c:h val="0.6293157626130067"/>
        </c:manualLayout>
      </c:layout>
      <c:barChart>
        <c:barDir val="bar"/>
        <c:grouping val="clustered"/>
        <c:varyColors val="0"/>
        <c:ser>
          <c:idx val="0"/>
          <c:order val="0"/>
          <c:tx>
            <c:strRef>
              <c:f>'pivot table'!$V$3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table'!$U$4:$U$8</c:f>
              <c:strCache>
                <c:ptCount val="5"/>
                <c:pt idx="0">
                  <c:v>Clothing</c:v>
                </c:pt>
                <c:pt idx="1">
                  <c:v>Sports</c:v>
                </c:pt>
                <c:pt idx="2">
                  <c:v>Home Appliances</c:v>
                </c:pt>
                <c:pt idx="3">
                  <c:v>Furniture</c:v>
                </c:pt>
                <c:pt idx="4">
                  <c:v>Electronics</c:v>
                </c:pt>
              </c:strCache>
            </c:strRef>
          </c:cat>
          <c:val>
            <c:numRef>
              <c:f>'pivot table'!$V$4:$V$8</c:f>
              <c:numCache>
                <c:formatCode>"₹"\ #,##0.00</c:formatCode>
                <c:ptCount val="5"/>
                <c:pt idx="0">
                  <c:v>8835516.7999999989</c:v>
                </c:pt>
                <c:pt idx="1">
                  <c:v>11743709.379999992</c:v>
                </c:pt>
                <c:pt idx="2">
                  <c:v>27596912.63000001</c:v>
                </c:pt>
                <c:pt idx="3">
                  <c:v>72578170.680000037</c:v>
                </c:pt>
                <c:pt idx="4">
                  <c:v>102561638.38000016</c:v>
                </c:pt>
              </c:numCache>
            </c:numRef>
          </c:val>
          <c:extLst>
            <c:ext xmlns:c16="http://schemas.microsoft.com/office/drawing/2014/chart" uri="{C3380CC4-5D6E-409C-BE32-E72D297353CC}">
              <c16:uniqueId val="{00000000-30D6-4955-9A4E-4F75F4904DED}"/>
            </c:ext>
          </c:extLst>
        </c:ser>
        <c:dLbls>
          <c:dLblPos val="outEnd"/>
          <c:showLegendKey val="0"/>
          <c:showVal val="1"/>
          <c:showCatName val="0"/>
          <c:showSerName val="0"/>
          <c:showPercent val="0"/>
          <c:showBubbleSize val="0"/>
        </c:dLbls>
        <c:gapWidth val="182"/>
        <c:axId val="1792708208"/>
        <c:axId val="1792715888"/>
      </c:barChart>
      <c:catAx>
        <c:axId val="179270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2715888"/>
        <c:crosses val="autoZero"/>
        <c:auto val="1"/>
        <c:lblAlgn val="ctr"/>
        <c:lblOffset val="100"/>
        <c:noMultiLvlLbl val="0"/>
      </c:catAx>
      <c:valAx>
        <c:axId val="1792715888"/>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70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table!PivotTable12</c:name>
    <c:fmtId val="2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a:t>
            </a:r>
            <a:r>
              <a:rPr lang="en-US" b="1" baseline="0"/>
              <a:t> Sold by Store Location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table'!$AJ$4</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table'!$AI$5:$AI$11</c:f>
              <c:strCache>
                <c:ptCount val="7"/>
                <c:pt idx="0">
                  <c:v>Mumbai</c:v>
                </c:pt>
                <c:pt idx="1">
                  <c:v>Pune</c:v>
                </c:pt>
                <c:pt idx="2">
                  <c:v>Bangalore</c:v>
                </c:pt>
                <c:pt idx="3">
                  <c:v>Delhi</c:v>
                </c:pt>
                <c:pt idx="4">
                  <c:v>Kolkata</c:v>
                </c:pt>
                <c:pt idx="5">
                  <c:v>Chennai</c:v>
                </c:pt>
                <c:pt idx="6">
                  <c:v>Hyderabad</c:v>
                </c:pt>
              </c:strCache>
            </c:strRef>
          </c:cat>
          <c:val>
            <c:numRef>
              <c:f>'pivot table'!$AJ$5:$AJ$11</c:f>
              <c:numCache>
                <c:formatCode>General</c:formatCode>
                <c:ptCount val="7"/>
                <c:pt idx="0">
                  <c:v>3012</c:v>
                </c:pt>
                <c:pt idx="1">
                  <c:v>3035</c:v>
                </c:pt>
                <c:pt idx="2">
                  <c:v>3087</c:v>
                </c:pt>
                <c:pt idx="3">
                  <c:v>3091</c:v>
                </c:pt>
                <c:pt idx="4">
                  <c:v>3204</c:v>
                </c:pt>
                <c:pt idx="5">
                  <c:v>3212</c:v>
                </c:pt>
                <c:pt idx="6">
                  <c:v>3431</c:v>
                </c:pt>
              </c:numCache>
            </c:numRef>
          </c:val>
          <c:smooth val="0"/>
          <c:extLst>
            <c:ext xmlns:c16="http://schemas.microsoft.com/office/drawing/2014/chart" uri="{C3380CC4-5D6E-409C-BE32-E72D297353CC}">
              <c16:uniqueId val="{00000000-E164-42CD-BECB-D0B7287E2F45}"/>
            </c:ext>
          </c:extLst>
        </c:ser>
        <c:dLbls>
          <c:dLblPos val="t"/>
          <c:showLegendKey val="0"/>
          <c:showVal val="1"/>
          <c:showCatName val="0"/>
          <c:showSerName val="0"/>
          <c:showPercent val="0"/>
          <c:showBubbleSize val="0"/>
        </c:dLbls>
        <c:marker val="1"/>
        <c:smooth val="0"/>
        <c:axId val="2056940496"/>
        <c:axId val="2056924656"/>
      </c:lineChart>
      <c:catAx>
        <c:axId val="205694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24656"/>
        <c:crosses val="autoZero"/>
        <c:auto val="1"/>
        <c:lblAlgn val="ctr"/>
        <c:lblOffset val="100"/>
        <c:noMultiLvlLbl val="0"/>
      </c:catAx>
      <c:valAx>
        <c:axId val="2056924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4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 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Total</a:t>
            </a:r>
            <a:r>
              <a:rPr lang="en-US" sz="2400" b="1" baseline="0"/>
              <a:t> Sales By Product Name </a:t>
            </a:r>
            <a:endParaRPr lang="en-U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table'!$H$4:$H$13</c:f>
              <c:strCache>
                <c:ptCount val="10"/>
                <c:pt idx="0">
                  <c:v>Smartwatch</c:v>
                </c:pt>
                <c:pt idx="1">
                  <c:v>Bookshelf</c:v>
                </c:pt>
                <c:pt idx="2">
                  <c:v>Vacuum Cleaner</c:v>
                </c:pt>
                <c:pt idx="3">
                  <c:v>Microwave</c:v>
                </c:pt>
                <c:pt idx="4">
                  <c:v>Desk</c:v>
                </c:pt>
                <c:pt idx="5">
                  <c:v>Tablet</c:v>
                </c:pt>
                <c:pt idx="6">
                  <c:v>Dining Table</c:v>
                </c:pt>
                <c:pt idx="7">
                  <c:v>Smartphone</c:v>
                </c:pt>
                <c:pt idx="8">
                  <c:v>Sofa</c:v>
                </c:pt>
                <c:pt idx="9">
                  <c:v>Laptop</c:v>
                </c:pt>
              </c:strCache>
            </c:strRef>
          </c:cat>
          <c:val>
            <c:numRef>
              <c:f>'pivot table'!$I$4:$I$13</c:f>
              <c:numCache>
                <c:formatCode>"₹"\ #,##0.00</c:formatCode>
                <c:ptCount val="10"/>
                <c:pt idx="0">
                  <c:v>6192680.0199999968</c:v>
                </c:pt>
                <c:pt idx="1">
                  <c:v>6585523.870000001</c:v>
                </c:pt>
                <c:pt idx="2">
                  <c:v>8013094.5100000007</c:v>
                </c:pt>
                <c:pt idx="3">
                  <c:v>9226734.3399999961</c:v>
                </c:pt>
                <c:pt idx="4">
                  <c:v>10121331.759999998</c:v>
                </c:pt>
                <c:pt idx="5">
                  <c:v>15789880.789999999</c:v>
                </c:pt>
                <c:pt idx="6">
                  <c:v>19648555.879999995</c:v>
                </c:pt>
                <c:pt idx="7">
                  <c:v>26203651.780000012</c:v>
                </c:pt>
                <c:pt idx="8">
                  <c:v>31079733.579999994</c:v>
                </c:pt>
                <c:pt idx="9">
                  <c:v>52092048.899999999</c:v>
                </c:pt>
              </c:numCache>
            </c:numRef>
          </c:val>
          <c:smooth val="0"/>
          <c:extLst>
            <c:ext xmlns:c16="http://schemas.microsoft.com/office/drawing/2014/chart" uri="{C3380CC4-5D6E-409C-BE32-E72D297353CC}">
              <c16:uniqueId val="{00000000-6D7D-41BD-9B77-2C915928EB41}"/>
            </c:ext>
          </c:extLst>
        </c:ser>
        <c:dLbls>
          <c:dLblPos val="t"/>
          <c:showLegendKey val="0"/>
          <c:showVal val="1"/>
          <c:showCatName val="0"/>
          <c:showSerName val="0"/>
          <c:showPercent val="0"/>
          <c:showBubbleSize val="0"/>
        </c:dLbls>
        <c:marker val="1"/>
        <c:smooth val="0"/>
        <c:axId val="619340864"/>
        <c:axId val="619341344"/>
      </c:lineChart>
      <c:catAx>
        <c:axId val="61934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9341344"/>
        <c:crosses val="autoZero"/>
        <c:auto val="1"/>
        <c:lblAlgn val="ctr"/>
        <c:lblOffset val="100"/>
        <c:noMultiLvlLbl val="0"/>
      </c:catAx>
      <c:valAx>
        <c:axId val="61934134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19340864"/>
        <c:crosses val="autoZero"/>
        <c:crossBetween val="between"/>
      </c:valAx>
      <c:spPr>
        <a:noFill/>
        <a:ln w="12700" cap="flat" cmpd="sng" algn="ctr">
          <a:no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 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Gross</a:t>
            </a:r>
            <a:r>
              <a:rPr lang="en-US" sz="2000" b="1" baseline="0"/>
              <a:t> Sale Amount by Product Name</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table'!$E$4:$E$13</c:f>
              <c:strCache>
                <c:ptCount val="10"/>
                <c:pt idx="0">
                  <c:v>Smartwatch</c:v>
                </c:pt>
                <c:pt idx="1">
                  <c:v>Bookshelf</c:v>
                </c:pt>
                <c:pt idx="2">
                  <c:v>Vacuum Cleaner</c:v>
                </c:pt>
                <c:pt idx="3">
                  <c:v>Microwave</c:v>
                </c:pt>
                <c:pt idx="4">
                  <c:v>Desk</c:v>
                </c:pt>
                <c:pt idx="5">
                  <c:v>Tablet</c:v>
                </c:pt>
                <c:pt idx="6">
                  <c:v>Dining Table</c:v>
                </c:pt>
                <c:pt idx="7">
                  <c:v>Smartphone</c:v>
                </c:pt>
                <c:pt idx="8">
                  <c:v>Sofa</c:v>
                </c:pt>
                <c:pt idx="9">
                  <c:v>Laptop</c:v>
                </c:pt>
              </c:strCache>
            </c:strRef>
          </c:cat>
          <c:val>
            <c:numRef>
              <c:f>'pivot table'!$F$4:$F$13</c:f>
              <c:numCache>
                <c:formatCode>"₹"\ #,##0.00</c:formatCode>
                <c:ptCount val="10"/>
                <c:pt idx="0">
                  <c:v>6820041.2100000009</c:v>
                </c:pt>
                <c:pt idx="1">
                  <c:v>7296137.8000000026</c:v>
                </c:pt>
                <c:pt idx="2">
                  <c:v>8901708.6499999966</c:v>
                </c:pt>
                <c:pt idx="3">
                  <c:v>10187792.859999996</c:v>
                </c:pt>
                <c:pt idx="4">
                  <c:v>11196018.420000002</c:v>
                </c:pt>
                <c:pt idx="5">
                  <c:v>17401233.370000001</c:v>
                </c:pt>
                <c:pt idx="6">
                  <c:v>21961689.449999988</c:v>
                </c:pt>
                <c:pt idx="7">
                  <c:v>29299109.510000013</c:v>
                </c:pt>
                <c:pt idx="8">
                  <c:v>34563267.439999998</c:v>
                </c:pt>
                <c:pt idx="9">
                  <c:v>56875650.800000034</c:v>
                </c:pt>
              </c:numCache>
            </c:numRef>
          </c:val>
          <c:extLst>
            <c:ext xmlns:c16="http://schemas.microsoft.com/office/drawing/2014/chart" uri="{C3380CC4-5D6E-409C-BE32-E72D297353CC}">
              <c16:uniqueId val="{00000000-E4F6-450D-98B9-1CA5EE6D35DA}"/>
            </c:ext>
          </c:extLst>
        </c:ser>
        <c:dLbls>
          <c:dLblPos val="outEnd"/>
          <c:showLegendKey val="0"/>
          <c:showVal val="1"/>
          <c:showCatName val="0"/>
          <c:showSerName val="0"/>
          <c:showPercent val="0"/>
          <c:showBubbleSize val="0"/>
        </c:dLbls>
        <c:gapWidth val="122"/>
        <c:axId val="168414096"/>
        <c:axId val="168414576"/>
      </c:barChart>
      <c:catAx>
        <c:axId val="16841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68414576"/>
        <c:crosses val="autoZero"/>
        <c:auto val="1"/>
        <c:lblAlgn val="ctr"/>
        <c:lblOffset val="100"/>
        <c:noMultiLvlLbl val="0"/>
      </c:catAx>
      <c:valAx>
        <c:axId val="168414576"/>
        <c:scaling>
          <c:orientation val="minMax"/>
        </c:scaling>
        <c:delete val="1"/>
        <c:axPos val="b"/>
        <c:numFmt formatCode="&quot;₹&quot;\ #,##0.00" sourceLinked="1"/>
        <c:majorTickMark val="none"/>
        <c:minorTickMark val="none"/>
        <c:tickLblPos val="nextTo"/>
        <c:crossAx val="16841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 7</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Gross</a:t>
            </a:r>
            <a:r>
              <a:rPr lang="en-US" b="1" baseline="0"/>
              <a:t> Sale Amount by Sales Representative</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table'!$K$4:$K$11</c:f>
              <c:strCache>
                <c:ptCount val="8"/>
                <c:pt idx="0">
                  <c:v>Meena</c:v>
                </c:pt>
                <c:pt idx="1">
                  <c:v>Sonal</c:v>
                </c:pt>
                <c:pt idx="2">
                  <c:v>Deepak</c:v>
                </c:pt>
                <c:pt idx="3">
                  <c:v>Riya</c:v>
                </c:pt>
                <c:pt idx="4">
                  <c:v>Amit</c:v>
                </c:pt>
                <c:pt idx="5">
                  <c:v>Karan</c:v>
                </c:pt>
                <c:pt idx="6">
                  <c:v>Nidhi</c:v>
                </c:pt>
                <c:pt idx="7">
                  <c:v>Varun</c:v>
                </c:pt>
              </c:strCache>
            </c:strRef>
          </c:cat>
          <c:val>
            <c:numRef>
              <c:f>'pivot table'!$L$4:$L$11</c:f>
              <c:numCache>
                <c:formatCode>"₹"\ #,##0.00</c:formatCode>
                <c:ptCount val="8"/>
                <c:pt idx="0">
                  <c:v>26278783.100000005</c:v>
                </c:pt>
                <c:pt idx="1">
                  <c:v>29424554.389999993</c:v>
                </c:pt>
                <c:pt idx="2">
                  <c:v>29721966.96999998</c:v>
                </c:pt>
                <c:pt idx="3">
                  <c:v>30555066.399999972</c:v>
                </c:pt>
                <c:pt idx="4">
                  <c:v>30650703.489999972</c:v>
                </c:pt>
                <c:pt idx="5">
                  <c:v>31859219.289999988</c:v>
                </c:pt>
                <c:pt idx="6">
                  <c:v>33543802.890000015</c:v>
                </c:pt>
                <c:pt idx="7">
                  <c:v>35060533.290000021</c:v>
                </c:pt>
              </c:numCache>
            </c:numRef>
          </c:val>
          <c:extLst>
            <c:ext xmlns:c16="http://schemas.microsoft.com/office/drawing/2014/chart" uri="{C3380CC4-5D6E-409C-BE32-E72D297353CC}">
              <c16:uniqueId val="{00000000-3A30-4D11-A08F-1223BE743A47}"/>
            </c:ext>
          </c:extLst>
        </c:ser>
        <c:dLbls>
          <c:dLblPos val="outEnd"/>
          <c:showLegendKey val="0"/>
          <c:showVal val="1"/>
          <c:showCatName val="0"/>
          <c:showSerName val="0"/>
          <c:showPercent val="0"/>
          <c:showBubbleSize val="0"/>
        </c:dLbls>
        <c:gapWidth val="219"/>
        <c:overlap val="-27"/>
        <c:axId val="853199072"/>
        <c:axId val="853204352"/>
      </c:barChart>
      <c:catAx>
        <c:axId val="85319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3204352"/>
        <c:crosses val="autoZero"/>
        <c:auto val="1"/>
        <c:lblAlgn val="ctr"/>
        <c:lblOffset val="100"/>
        <c:noMultiLvlLbl val="0"/>
      </c:catAx>
      <c:valAx>
        <c:axId val="85320435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319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 8</c:name>
    <c:fmtId val="2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Total Sales Amount by Product Category </a:t>
            </a:r>
          </a:p>
        </c:rich>
      </c:tx>
      <c:layout>
        <c:manualLayout>
          <c:xMode val="edge"/>
          <c:yMode val="edge"/>
          <c:x val="0.12283929275817505"/>
          <c:y val="4.1561469628039534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94156269216274"/>
          <c:y val="0.18061002904662576"/>
          <c:w val="0.71672154811646516"/>
          <c:h val="0.71722997931174481"/>
        </c:manualLayout>
      </c:layout>
      <c:barChart>
        <c:barDir val="bar"/>
        <c:grouping val="clustered"/>
        <c:varyColors val="0"/>
        <c:ser>
          <c:idx val="0"/>
          <c:order val="0"/>
          <c:tx>
            <c:strRef>
              <c:f>'pivot table'!$V$3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table'!$U$4:$U$8</c:f>
              <c:strCache>
                <c:ptCount val="5"/>
                <c:pt idx="0">
                  <c:v>Clothing</c:v>
                </c:pt>
                <c:pt idx="1">
                  <c:v>Sports</c:v>
                </c:pt>
                <c:pt idx="2">
                  <c:v>Home Appliances</c:v>
                </c:pt>
                <c:pt idx="3">
                  <c:v>Furniture</c:v>
                </c:pt>
                <c:pt idx="4">
                  <c:v>Electronics</c:v>
                </c:pt>
              </c:strCache>
            </c:strRef>
          </c:cat>
          <c:val>
            <c:numRef>
              <c:f>'pivot table'!$V$4:$V$8</c:f>
              <c:numCache>
                <c:formatCode>"₹"\ #,##0.00</c:formatCode>
                <c:ptCount val="5"/>
                <c:pt idx="0">
                  <c:v>8835516.7999999989</c:v>
                </c:pt>
                <c:pt idx="1">
                  <c:v>11743709.379999992</c:v>
                </c:pt>
                <c:pt idx="2">
                  <c:v>27596912.63000001</c:v>
                </c:pt>
                <c:pt idx="3">
                  <c:v>72578170.680000037</c:v>
                </c:pt>
                <c:pt idx="4">
                  <c:v>102561638.38000016</c:v>
                </c:pt>
              </c:numCache>
            </c:numRef>
          </c:val>
          <c:extLst>
            <c:ext xmlns:c16="http://schemas.microsoft.com/office/drawing/2014/chart" uri="{C3380CC4-5D6E-409C-BE32-E72D297353CC}">
              <c16:uniqueId val="{00000000-B7A8-4D3A-985B-A3CCBEF00D05}"/>
            </c:ext>
          </c:extLst>
        </c:ser>
        <c:dLbls>
          <c:dLblPos val="outEnd"/>
          <c:showLegendKey val="0"/>
          <c:showVal val="1"/>
          <c:showCatName val="0"/>
          <c:showSerName val="0"/>
          <c:showPercent val="0"/>
          <c:showBubbleSize val="0"/>
        </c:dLbls>
        <c:gapWidth val="182"/>
        <c:axId val="1792708208"/>
        <c:axId val="1792715888"/>
      </c:barChart>
      <c:catAx>
        <c:axId val="179270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2715888"/>
        <c:crosses val="autoZero"/>
        <c:auto val="1"/>
        <c:lblAlgn val="ctr"/>
        <c:lblOffset val="100"/>
        <c:noMultiLvlLbl val="0"/>
      </c:catAx>
      <c:valAx>
        <c:axId val="1792715888"/>
        <c:scaling>
          <c:orientation val="minMax"/>
        </c:scaling>
        <c:delete val="1"/>
        <c:axPos val="b"/>
        <c:numFmt formatCode="&quot;₹&quot;\ #,##0.00" sourceLinked="1"/>
        <c:majorTickMark val="none"/>
        <c:minorTickMark val="none"/>
        <c:tickLblPos val="nextTo"/>
        <c:crossAx val="179270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 9</c:name>
    <c:fmtId val="24"/>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Qty</a:t>
            </a:r>
            <a:r>
              <a:rPr lang="en-US" sz="2000" b="1" baseline="0"/>
              <a:t>  Sold  by Product Name </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table'!$Y$3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table'!$X$4:$X$13</c:f>
              <c:strCache>
                <c:ptCount val="10"/>
                <c:pt idx="0">
                  <c:v>Smartphone</c:v>
                </c:pt>
                <c:pt idx="1">
                  <c:v>Shoes</c:v>
                </c:pt>
                <c:pt idx="2">
                  <c:v>Mixer</c:v>
                </c:pt>
                <c:pt idx="3">
                  <c:v>Jacket</c:v>
                </c:pt>
                <c:pt idx="4">
                  <c:v>Dumbbells</c:v>
                </c:pt>
                <c:pt idx="5">
                  <c:v>Tablet</c:v>
                </c:pt>
                <c:pt idx="6">
                  <c:v>Smartwatch</c:v>
                </c:pt>
                <c:pt idx="7">
                  <c:v>Kurta</c:v>
                </c:pt>
                <c:pt idx="8">
                  <c:v>Office Chair</c:v>
                </c:pt>
                <c:pt idx="9">
                  <c:v>Iron</c:v>
                </c:pt>
              </c:strCache>
            </c:strRef>
          </c:cat>
          <c:val>
            <c:numRef>
              <c:f>'pivot table'!$Y$4:$Y$13</c:f>
              <c:numCache>
                <c:formatCode>General</c:formatCode>
                <c:ptCount val="10"/>
                <c:pt idx="0">
                  <c:v>1115</c:v>
                </c:pt>
                <c:pt idx="1">
                  <c:v>969</c:v>
                </c:pt>
                <c:pt idx="2">
                  <c:v>950</c:v>
                </c:pt>
                <c:pt idx="3">
                  <c:v>943</c:v>
                </c:pt>
                <c:pt idx="4">
                  <c:v>930</c:v>
                </c:pt>
                <c:pt idx="5">
                  <c:v>926</c:v>
                </c:pt>
                <c:pt idx="6">
                  <c:v>925</c:v>
                </c:pt>
                <c:pt idx="7">
                  <c:v>912</c:v>
                </c:pt>
                <c:pt idx="8">
                  <c:v>895</c:v>
                </c:pt>
                <c:pt idx="9">
                  <c:v>892</c:v>
                </c:pt>
              </c:numCache>
            </c:numRef>
          </c:val>
          <c:extLst>
            <c:ext xmlns:c16="http://schemas.microsoft.com/office/drawing/2014/chart" uri="{C3380CC4-5D6E-409C-BE32-E72D297353CC}">
              <c16:uniqueId val="{00000000-43A4-4F93-8874-6906CF12830E}"/>
            </c:ext>
          </c:extLst>
        </c:ser>
        <c:dLbls>
          <c:dLblPos val="outEnd"/>
          <c:showLegendKey val="0"/>
          <c:showVal val="1"/>
          <c:showCatName val="0"/>
          <c:showSerName val="0"/>
          <c:showPercent val="0"/>
          <c:showBubbleSize val="0"/>
        </c:dLbls>
        <c:gapWidth val="219"/>
        <c:overlap val="-27"/>
        <c:axId val="1912166880"/>
        <c:axId val="1912167840"/>
      </c:barChart>
      <c:catAx>
        <c:axId val="191216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2167840"/>
        <c:crosses val="autoZero"/>
        <c:auto val="1"/>
        <c:lblAlgn val="ctr"/>
        <c:lblOffset val="100"/>
        <c:noMultiLvlLbl val="0"/>
      </c:catAx>
      <c:valAx>
        <c:axId val="1912167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1216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table!PivotTable10</c:name>
    <c:fmtId val="2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Average</a:t>
            </a:r>
            <a:r>
              <a:rPr lang="en-US" sz="1800" b="1" baseline="0"/>
              <a:t> Discount % by Product Name</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table'!$AB$4</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table'!$AA$5:$AA$14</c:f>
              <c:strCache>
                <c:ptCount val="10"/>
                <c:pt idx="0">
                  <c:v>Air Fryer</c:v>
                </c:pt>
                <c:pt idx="1">
                  <c:v>Sofa</c:v>
                </c:pt>
                <c:pt idx="2">
                  <c:v>Iron</c:v>
                </c:pt>
                <c:pt idx="3">
                  <c:v>Jacket</c:v>
                </c:pt>
                <c:pt idx="4">
                  <c:v>Kurta</c:v>
                </c:pt>
                <c:pt idx="5">
                  <c:v>Shoes</c:v>
                </c:pt>
                <c:pt idx="6">
                  <c:v>Vacuum Cleaner</c:v>
                </c:pt>
                <c:pt idx="7">
                  <c:v>Dining Table</c:v>
                </c:pt>
                <c:pt idx="8">
                  <c:v>Smartphone</c:v>
                </c:pt>
                <c:pt idx="9">
                  <c:v>Tennis Racket</c:v>
                </c:pt>
              </c:strCache>
            </c:strRef>
          </c:cat>
          <c:val>
            <c:numRef>
              <c:f>'pivot table'!$AB$5:$AB$14</c:f>
              <c:numCache>
                <c:formatCode>0.0</c:formatCode>
                <c:ptCount val="10"/>
                <c:pt idx="0">
                  <c:v>10.13986013986014</c:v>
                </c:pt>
                <c:pt idx="1">
                  <c:v>10.152439024390244</c:v>
                </c:pt>
                <c:pt idx="2">
                  <c:v>10.184049079754601</c:v>
                </c:pt>
                <c:pt idx="3">
                  <c:v>10.245398773006135</c:v>
                </c:pt>
                <c:pt idx="4">
                  <c:v>10.333333333333334</c:v>
                </c:pt>
                <c:pt idx="5">
                  <c:v>10.502958579881657</c:v>
                </c:pt>
                <c:pt idx="6">
                  <c:v>10.509554140127388</c:v>
                </c:pt>
                <c:pt idx="7">
                  <c:v>10.5625</c:v>
                </c:pt>
                <c:pt idx="8">
                  <c:v>10.871794871794872</c:v>
                </c:pt>
                <c:pt idx="9">
                  <c:v>10.974025974025974</c:v>
                </c:pt>
              </c:numCache>
            </c:numRef>
          </c:val>
          <c:smooth val="0"/>
          <c:extLst>
            <c:ext xmlns:c16="http://schemas.microsoft.com/office/drawing/2014/chart" uri="{C3380CC4-5D6E-409C-BE32-E72D297353CC}">
              <c16:uniqueId val="{00000000-8D51-483E-B28A-B9BFF9EF4324}"/>
            </c:ext>
          </c:extLst>
        </c:ser>
        <c:dLbls>
          <c:dLblPos val="t"/>
          <c:showLegendKey val="0"/>
          <c:showVal val="1"/>
          <c:showCatName val="0"/>
          <c:showSerName val="0"/>
          <c:showPercent val="0"/>
          <c:showBubbleSize val="0"/>
        </c:dLbls>
        <c:marker val="1"/>
        <c:smooth val="0"/>
        <c:axId val="1977656048"/>
        <c:axId val="1977657488"/>
      </c:lineChart>
      <c:catAx>
        <c:axId val="197765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77657488"/>
        <c:crosses val="autoZero"/>
        <c:auto val="1"/>
        <c:lblAlgn val="ctr"/>
        <c:lblOffset val="100"/>
        <c:noMultiLvlLbl val="0"/>
      </c:catAx>
      <c:valAx>
        <c:axId val="197765748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7765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table!PivotTable11</c:name>
    <c:fmtId val="2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Total Sales amount By</a:t>
            </a:r>
            <a:r>
              <a:rPr lang="en-US" sz="1800" b="1" baseline="0"/>
              <a:t> Store Location </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table'!$AF$4</c:f>
              <c:strCache>
                <c:ptCount val="1"/>
                <c:pt idx="0">
                  <c:v>Total</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table'!$AE$5:$AE$11</c:f>
              <c:strCache>
                <c:ptCount val="7"/>
                <c:pt idx="0">
                  <c:v>Chennai</c:v>
                </c:pt>
                <c:pt idx="1">
                  <c:v>Mumbai</c:v>
                </c:pt>
                <c:pt idx="2">
                  <c:v>Bangalore</c:v>
                </c:pt>
                <c:pt idx="3">
                  <c:v>Pune</c:v>
                </c:pt>
                <c:pt idx="4">
                  <c:v>Delhi</c:v>
                </c:pt>
                <c:pt idx="5">
                  <c:v>Kolkata</c:v>
                </c:pt>
                <c:pt idx="6">
                  <c:v>Hyderabad</c:v>
                </c:pt>
              </c:strCache>
            </c:strRef>
          </c:cat>
          <c:val>
            <c:numRef>
              <c:f>'pivot table'!$AF$5:$AF$11</c:f>
              <c:numCache>
                <c:formatCode>"₹"\ #,##0.00</c:formatCode>
                <c:ptCount val="7"/>
                <c:pt idx="0">
                  <c:v>29704780.660000023</c:v>
                </c:pt>
                <c:pt idx="1">
                  <c:v>30549742.719999995</c:v>
                </c:pt>
                <c:pt idx="2">
                  <c:v>30607901.53999998</c:v>
                </c:pt>
                <c:pt idx="3">
                  <c:v>30840159.759999994</c:v>
                </c:pt>
                <c:pt idx="4">
                  <c:v>31850449.210000027</c:v>
                </c:pt>
                <c:pt idx="5">
                  <c:v>32795135.730000012</c:v>
                </c:pt>
                <c:pt idx="6">
                  <c:v>36967778.25</c:v>
                </c:pt>
              </c:numCache>
            </c:numRef>
          </c:val>
          <c:extLst>
            <c:ext xmlns:c16="http://schemas.microsoft.com/office/drawing/2014/chart" uri="{C3380CC4-5D6E-409C-BE32-E72D297353CC}">
              <c16:uniqueId val="{00000000-1715-4732-92E2-B71B87201D21}"/>
            </c:ext>
          </c:extLst>
        </c:ser>
        <c:dLbls>
          <c:showLegendKey val="0"/>
          <c:showVal val="0"/>
          <c:showCatName val="0"/>
          <c:showSerName val="0"/>
          <c:showPercent val="0"/>
          <c:showBubbleSize val="0"/>
        </c:dLbls>
        <c:gapWidth val="182"/>
        <c:axId val="1693001904"/>
        <c:axId val="1693002384"/>
      </c:barChart>
      <c:catAx>
        <c:axId val="169300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693002384"/>
        <c:crosses val="autoZero"/>
        <c:auto val="1"/>
        <c:lblAlgn val="ctr"/>
        <c:lblOffset val="100"/>
        <c:noMultiLvlLbl val="0"/>
      </c:catAx>
      <c:valAx>
        <c:axId val="1693002384"/>
        <c:scaling>
          <c:orientation val="minMax"/>
        </c:scaling>
        <c:delete val="1"/>
        <c:axPos val="b"/>
        <c:numFmt formatCode="&quot;₹&quot;\ #,##0.00" sourceLinked="1"/>
        <c:majorTickMark val="none"/>
        <c:minorTickMark val="none"/>
        <c:tickLblPos val="nextTo"/>
        <c:crossAx val="169300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table!PivotTable12</c:name>
    <c:fmtId val="3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a:t>
            </a:r>
            <a:r>
              <a:rPr lang="en-US" b="1" baseline="0"/>
              <a:t> Sold by Store Location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19877258719592"/>
          <c:y val="0.19812594236611172"/>
          <c:w val="0.82087189465459665"/>
          <c:h val="0.7162112175110712"/>
        </c:manualLayout>
      </c:layout>
      <c:lineChart>
        <c:grouping val="standard"/>
        <c:varyColors val="0"/>
        <c:ser>
          <c:idx val="0"/>
          <c:order val="0"/>
          <c:tx>
            <c:strRef>
              <c:f>'pivot table'!$AJ$4</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table'!$AI$5:$AI$11</c:f>
              <c:strCache>
                <c:ptCount val="7"/>
                <c:pt idx="0">
                  <c:v>Mumbai</c:v>
                </c:pt>
                <c:pt idx="1">
                  <c:v>Pune</c:v>
                </c:pt>
                <c:pt idx="2">
                  <c:v>Bangalore</c:v>
                </c:pt>
                <c:pt idx="3">
                  <c:v>Delhi</c:v>
                </c:pt>
                <c:pt idx="4">
                  <c:v>Kolkata</c:v>
                </c:pt>
                <c:pt idx="5">
                  <c:v>Chennai</c:v>
                </c:pt>
                <c:pt idx="6">
                  <c:v>Hyderabad</c:v>
                </c:pt>
              </c:strCache>
            </c:strRef>
          </c:cat>
          <c:val>
            <c:numRef>
              <c:f>'pivot table'!$AJ$5:$AJ$11</c:f>
              <c:numCache>
                <c:formatCode>General</c:formatCode>
                <c:ptCount val="7"/>
                <c:pt idx="0">
                  <c:v>3012</c:v>
                </c:pt>
                <c:pt idx="1">
                  <c:v>3035</c:v>
                </c:pt>
                <c:pt idx="2">
                  <c:v>3087</c:v>
                </c:pt>
                <c:pt idx="3">
                  <c:v>3091</c:v>
                </c:pt>
                <c:pt idx="4">
                  <c:v>3204</c:v>
                </c:pt>
                <c:pt idx="5">
                  <c:v>3212</c:v>
                </c:pt>
                <c:pt idx="6">
                  <c:v>3431</c:v>
                </c:pt>
              </c:numCache>
            </c:numRef>
          </c:val>
          <c:smooth val="0"/>
          <c:extLst>
            <c:ext xmlns:c16="http://schemas.microsoft.com/office/drawing/2014/chart" uri="{C3380CC4-5D6E-409C-BE32-E72D297353CC}">
              <c16:uniqueId val="{00000000-2196-411E-9E4C-4207D2500571}"/>
            </c:ext>
          </c:extLst>
        </c:ser>
        <c:dLbls>
          <c:dLblPos val="t"/>
          <c:showLegendKey val="0"/>
          <c:showVal val="1"/>
          <c:showCatName val="0"/>
          <c:showSerName val="0"/>
          <c:showPercent val="0"/>
          <c:showBubbleSize val="0"/>
        </c:dLbls>
        <c:marker val="1"/>
        <c:smooth val="0"/>
        <c:axId val="2056940496"/>
        <c:axId val="2056924656"/>
      </c:lineChart>
      <c:catAx>
        <c:axId val="205694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56924656"/>
        <c:crosses val="autoZero"/>
        <c:auto val="1"/>
        <c:lblAlgn val="ctr"/>
        <c:lblOffset val="100"/>
        <c:noMultiLvlLbl val="0"/>
      </c:catAx>
      <c:valAx>
        <c:axId val="2056924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5694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table!PivotTable13</c:name>
    <c:fmtId val="3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a:t>
            </a:r>
            <a:r>
              <a:rPr lang="en-US" b="1" baseline="0"/>
              <a:t> Discount % by Store Location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table'!$AO$4</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table'!$AN$5:$AN$11</c:f>
              <c:strCache>
                <c:ptCount val="7"/>
                <c:pt idx="0">
                  <c:v>Kolkata</c:v>
                </c:pt>
                <c:pt idx="1">
                  <c:v>Delhi</c:v>
                </c:pt>
                <c:pt idx="2">
                  <c:v>Hyderabad</c:v>
                </c:pt>
                <c:pt idx="3">
                  <c:v>Chennai</c:v>
                </c:pt>
                <c:pt idx="4">
                  <c:v>Bangalore</c:v>
                </c:pt>
                <c:pt idx="5">
                  <c:v>Mumbai</c:v>
                </c:pt>
                <c:pt idx="6">
                  <c:v>Pune</c:v>
                </c:pt>
              </c:strCache>
            </c:strRef>
          </c:cat>
          <c:val>
            <c:numRef>
              <c:f>'pivot table'!$AO$5:$AO$11</c:f>
              <c:numCache>
                <c:formatCode>0.0</c:formatCode>
                <c:ptCount val="7"/>
                <c:pt idx="0">
                  <c:v>10.128644939965694</c:v>
                </c:pt>
                <c:pt idx="1">
                  <c:v>10.116504854368932</c:v>
                </c:pt>
                <c:pt idx="2">
                  <c:v>10.107084019769358</c:v>
                </c:pt>
                <c:pt idx="3">
                  <c:v>9.9333333333333336</c:v>
                </c:pt>
                <c:pt idx="4">
                  <c:v>9.8688811188811183</c:v>
                </c:pt>
                <c:pt idx="5">
                  <c:v>9.7909407665505235</c:v>
                </c:pt>
                <c:pt idx="6">
                  <c:v>9.7540983606557372</c:v>
                </c:pt>
              </c:numCache>
            </c:numRef>
          </c:val>
          <c:extLst>
            <c:ext xmlns:c16="http://schemas.microsoft.com/office/drawing/2014/chart" uri="{C3380CC4-5D6E-409C-BE32-E72D297353CC}">
              <c16:uniqueId val="{00000000-8009-49B3-B01D-DF09751C2221}"/>
            </c:ext>
          </c:extLst>
        </c:ser>
        <c:dLbls>
          <c:showLegendKey val="0"/>
          <c:showVal val="1"/>
          <c:showCatName val="0"/>
          <c:showSerName val="0"/>
          <c:showPercent val="0"/>
          <c:showBubbleSize val="0"/>
        </c:dLbls>
        <c:gapWidth val="150"/>
        <c:shape val="box"/>
        <c:axId val="1811936304"/>
        <c:axId val="1989015920"/>
        <c:axId val="0"/>
      </c:bar3DChart>
      <c:catAx>
        <c:axId val="1811936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9015920"/>
        <c:crosses val="autoZero"/>
        <c:auto val="1"/>
        <c:lblAlgn val="ctr"/>
        <c:lblOffset val="100"/>
        <c:noMultiLvlLbl val="0"/>
      </c:catAx>
      <c:valAx>
        <c:axId val="19890159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93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 14</c:name>
    <c:fmtId val="38"/>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Sales by Sales Representative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table'!$AT$4</c:f>
              <c:strCache>
                <c:ptCount val="1"/>
                <c:pt idx="0">
                  <c:v>Total</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table'!$AS$5:$AS$12</c:f>
              <c:strCache>
                <c:ptCount val="8"/>
                <c:pt idx="0">
                  <c:v>Meena</c:v>
                </c:pt>
                <c:pt idx="1">
                  <c:v>Sonal</c:v>
                </c:pt>
                <c:pt idx="2">
                  <c:v>Deepak</c:v>
                </c:pt>
                <c:pt idx="3">
                  <c:v>Riya</c:v>
                </c:pt>
                <c:pt idx="4">
                  <c:v>Amit</c:v>
                </c:pt>
                <c:pt idx="5">
                  <c:v>Karan</c:v>
                </c:pt>
                <c:pt idx="6">
                  <c:v>Nidhi</c:v>
                </c:pt>
                <c:pt idx="7">
                  <c:v>Varun</c:v>
                </c:pt>
              </c:strCache>
            </c:strRef>
          </c:cat>
          <c:val>
            <c:numRef>
              <c:f>'pivot table'!$AT$5:$AT$12</c:f>
              <c:numCache>
                <c:formatCode>"₹"\ #,##0.00</c:formatCode>
                <c:ptCount val="8"/>
                <c:pt idx="0">
                  <c:v>23663362.089999992</c:v>
                </c:pt>
                <c:pt idx="1">
                  <c:v>26440405.800000031</c:v>
                </c:pt>
                <c:pt idx="2">
                  <c:v>26876760.579999983</c:v>
                </c:pt>
                <c:pt idx="3">
                  <c:v>27568568.340000011</c:v>
                </c:pt>
                <c:pt idx="4">
                  <c:v>27730360.969999984</c:v>
                </c:pt>
                <c:pt idx="5">
                  <c:v>28852036.790000003</c:v>
                </c:pt>
                <c:pt idx="6">
                  <c:v>30511480.289999984</c:v>
                </c:pt>
                <c:pt idx="7">
                  <c:v>31672973.010000028</c:v>
                </c:pt>
              </c:numCache>
            </c:numRef>
          </c:val>
          <c:extLst>
            <c:ext xmlns:c16="http://schemas.microsoft.com/office/drawing/2014/chart" uri="{C3380CC4-5D6E-409C-BE32-E72D297353CC}">
              <c16:uniqueId val="{00000000-AF5C-4D10-A79B-DED7EDA1C0F5}"/>
            </c:ext>
          </c:extLst>
        </c:ser>
        <c:dLbls>
          <c:showLegendKey val="0"/>
          <c:showVal val="0"/>
          <c:showCatName val="0"/>
          <c:showSerName val="0"/>
          <c:showPercent val="0"/>
          <c:showBubbleSize val="0"/>
        </c:dLbls>
        <c:gapWidth val="182"/>
        <c:axId val="1592443280"/>
        <c:axId val="1592443760"/>
      </c:barChart>
      <c:catAx>
        <c:axId val="159244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92443760"/>
        <c:crosses val="autoZero"/>
        <c:auto val="1"/>
        <c:lblAlgn val="ctr"/>
        <c:lblOffset val="100"/>
        <c:noMultiLvlLbl val="0"/>
      </c:catAx>
      <c:valAx>
        <c:axId val="1592443760"/>
        <c:scaling>
          <c:orientation val="minMax"/>
        </c:scaling>
        <c:delete val="1"/>
        <c:axPos val="b"/>
        <c:numFmt formatCode="&quot;₹&quot;\ #,##0.00" sourceLinked="1"/>
        <c:majorTickMark val="none"/>
        <c:minorTickMark val="none"/>
        <c:tickLblPos val="nextTo"/>
        <c:crossAx val="1592443280"/>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table!PivotTable15</c:name>
    <c:fmtId val="4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a:t>
            </a:r>
            <a:r>
              <a:rPr lang="en-US" b="1" baseline="0"/>
              <a:t> Sold  By Sales Representative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table'!$AW$4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table'!$AV$5:$AV$12</c:f>
              <c:strCache>
                <c:ptCount val="8"/>
                <c:pt idx="0">
                  <c:v>Varun</c:v>
                </c:pt>
                <c:pt idx="1">
                  <c:v>Riya</c:v>
                </c:pt>
                <c:pt idx="2">
                  <c:v>Karan</c:v>
                </c:pt>
                <c:pt idx="3">
                  <c:v>Nidhi</c:v>
                </c:pt>
                <c:pt idx="4">
                  <c:v>Sonal</c:v>
                </c:pt>
                <c:pt idx="5">
                  <c:v>Amit</c:v>
                </c:pt>
                <c:pt idx="6">
                  <c:v>Meena</c:v>
                </c:pt>
                <c:pt idx="7">
                  <c:v>Deepak</c:v>
                </c:pt>
              </c:strCache>
            </c:strRef>
          </c:cat>
          <c:val>
            <c:numRef>
              <c:f>'pivot table'!$AW$5:$AW$12</c:f>
              <c:numCache>
                <c:formatCode>General</c:formatCode>
                <c:ptCount val="8"/>
                <c:pt idx="0">
                  <c:v>3089</c:v>
                </c:pt>
                <c:pt idx="1">
                  <c:v>2875</c:v>
                </c:pt>
                <c:pt idx="2">
                  <c:v>2806</c:v>
                </c:pt>
                <c:pt idx="3">
                  <c:v>2781</c:v>
                </c:pt>
                <c:pt idx="4">
                  <c:v>2744</c:v>
                </c:pt>
                <c:pt idx="5">
                  <c:v>2674</c:v>
                </c:pt>
                <c:pt idx="6">
                  <c:v>2557</c:v>
                </c:pt>
                <c:pt idx="7">
                  <c:v>2546</c:v>
                </c:pt>
              </c:numCache>
            </c:numRef>
          </c:val>
          <c:extLst>
            <c:ext xmlns:c16="http://schemas.microsoft.com/office/drawing/2014/chart" uri="{C3380CC4-5D6E-409C-BE32-E72D297353CC}">
              <c16:uniqueId val="{00000000-8A4A-4586-997F-7E75E17F5C35}"/>
            </c:ext>
          </c:extLst>
        </c:ser>
        <c:dLbls>
          <c:dLblPos val="outEnd"/>
          <c:showLegendKey val="0"/>
          <c:showVal val="1"/>
          <c:showCatName val="0"/>
          <c:showSerName val="0"/>
          <c:showPercent val="0"/>
          <c:showBubbleSize val="0"/>
        </c:dLbls>
        <c:gapWidth val="219"/>
        <c:overlap val="-27"/>
        <c:axId val="1792761968"/>
        <c:axId val="1792762448"/>
      </c:barChart>
      <c:catAx>
        <c:axId val="179276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762448"/>
        <c:crosses val="autoZero"/>
        <c:auto val="1"/>
        <c:lblAlgn val="ctr"/>
        <c:lblOffset val="100"/>
        <c:noMultiLvlLbl val="0"/>
      </c:catAx>
      <c:valAx>
        <c:axId val="179276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276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table!PivotTable16</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Avg</a:t>
            </a:r>
            <a:r>
              <a:rPr lang="en-IN" sz="1400" b="1" baseline="0"/>
              <a:t> Discount % By Sales Representative</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8363321045026"/>
          <c:y val="0.22633798741686748"/>
          <c:w val="0.86021636678954971"/>
          <c:h val="0.66108120323300756"/>
        </c:manualLayout>
      </c:layout>
      <c:lineChart>
        <c:grouping val="standard"/>
        <c:varyColors val="0"/>
        <c:ser>
          <c:idx val="0"/>
          <c:order val="0"/>
          <c:tx>
            <c:strRef>
              <c:f>'pivot table'!$BB$4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table'!$BA$5:$BA$12</c:f>
              <c:strCache>
                <c:ptCount val="8"/>
                <c:pt idx="0">
                  <c:v>Amit</c:v>
                </c:pt>
                <c:pt idx="1">
                  <c:v>Deepak</c:v>
                </c:pt>
                <c:pt idx="2">
                  <c:v>Nidhi</c:v>
                </c:pt>
                <c:pt idx="3">
                  <c:v>Karan</c:v>
                </c:pt>
                <c:pt idx="4">
                  <c:v>Varun</c:v>
                </c:pt>
                <c:pt idx="5">
                  <c:v>Meena</c:v>
                </c:pt>
                <c:pt idx="6">
                  <c:v>Sonal</c:v>
                </c:pt>
                <c:pt idx="7">
                  <c:v>Riya</c:v>
                </c:pt>
              </c:strCache>
            </c:strRef>
          </c:cat>
          <c:val>
            <c:numRef>
              <c:f>'pivot table'!$BB$5:$BB$12</c:f>
              <c:numCache>
                <c:formatCode>0.0</c:formatCode>
                <c:ptCount val="8"/>
                <c:pt idx="0">
                  <c:v>9.5859213250517605</c:v>
                </c:pt>
                <c:pt idx="1">
                  <c:v>9.7263157894736842</c:v>
                </c:pt>
                <c:pt idx="2">
                  <c:v>9.7643442622950811</c:v>
                </c:pt>
                <c:pt idx="3">
                  <c:v>9.8221343873517792</c:v>
                </c:pt>
                <c:pt idx="4">
                  <c:v>9.973637961335676</c:v>
                </c:pt>
                <c:pt idx="5">
                  <c:v>10.128205128205128</c:v>
                </c:pt>
                <c:pt idx="6">
                  <c:v>10.304259634888439</c:v>
                </c:pt>
                <c:pt idx="7">
                  <c:v>10.328185328185327</c:v>
                </c:pt>
              </c:numCache>
            </c:numRef>
          </c:val>
          <c:smooth val="0"/>
          <c:extLst>
            <c:ext xmlns:c16="http://schemas.microsoft.com/office/drawing/2014/chart" uri="{C3380CC4-5D6E-409C-BE32-E72D297353CC}">
              <c16:uniqueId val="{00000000-E462-41D8-A26E-275DC956F395}"/>
            </c:ext>
          </c:extLst>
        </c:ser>
        <c:dLbls>
          <c:dLblPos val="t"/>
          <c:showLegendKey val="0"/>
          <c:showVal val="1"/>
          <c:showCatName val="0"/>
          <c:showSerName val="0"/>
          <c:showPercent val="0"/>
          <c:showBubbleSize val="0"/>
        </c:dLbls>
        <c:marker val="1"/>
        <c:smooth val="0"/>
        <c:axId val="863071216"/>
        <c:axId val="863055856"/>
      </c:lineChart>
      <c:catAx>
        <c:axId val="86307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63055856"/>
        <c:crosses val="autoZero"/>
        <c:auto val="1"/>
        <c:lblAlgn val="ctr"/>
        <c:lblOffset val="100"/>
        <c:noMultiLvlLbl val="0"/>
      </c:catAx>
      <c:valAx>
        <c:axId val="86305585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6307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table!PivotTable17</c:name>
    <c:fmtId val="55"/>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Top</a:t>
            </a:r>
            <a:r>
              <a:rPr lang="en-US" sz="2000" b="1" baseline="0"/>
              <a:t>  10 Customers by Total Sales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042558634192316"/>
          <c:y val="0.12316615128707895"/>
          <c:w val="0.81087002773877814"/>
          <c:h val="0.81542348970409395"/>
        </c:manualLayout>
      </c:layout>
      <c:barChart>
        <c:barDir val="bar"/>
        <c:grouping val="clustered"/>
        <c:varyColors val="0"/>
        <c:ser>
          <c:idx val="0"/>
          <c:order val="0"/>
          <c:tx>
            <c:strRef>
              <c:f>'pivot table'!$BF$3</c:f>
              <c:strCache>
                <c:ptCount val="1"/>
                <c:pt idx="0">
                  <c:v>Total</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table'!$BE$4:$BE$13</c:f>
              <c:strCache>
                <c:ptCount val="10"/>
                <c:pt idx="0">
                  <c:v>Vikram Joshi</c:v>
                </c:pt>
                <c:pt idx="1">
                  <c:v>Simran Kaur</c:v>
                </c:pt>
                <c:pt idx="2">
                  <c:v>Aarav Sharma</c:v>
                </c:pt>
                <c:pt idx="3">
                  <c:v>Rahul Singh</c:v>
                </c:pt>
                <c:pt idx="4">
                  <c:v>Priya Verma</c:v>
                </c:pt>
                <c:pt idx="5">
                  <c:v>Ananya Das</c:v>
                </c:pt>
                <c:pt idx="6">
                  <c:v>Sneha Kapoor</c:v>
                </c:pt>
                <c:pt idx="7">
                  <c:v>Yash Jain</c:v>
                </c:pt>
                <c:pt idx="8">
                  <c:v>Arjun Mehta</c:v>
                </c:pt>
                <c:pt idx="9">
                  <c:v>Kavya Nair</c:v>
                </c:pt>
              </c:strCache>
            </c:strRef>
          </c:cat>
          <c:val>
            <c:numRef>
              <c:f>'pivot table'!$BF$4:$BF$13</c:f>
              <c:numCache>
                <c:formatCode>"₹"\ #,##0.00</c:formatCode>
                <c:ptCount val="10"/>
                <c:pt idx="0">
                  <c:v>14221409.729999991</c:v>
                </c:pt>
                <c:pt idx="1">
                  <c:v>14251952.600000003</c:v>
                </c:pt>
                <c:pt idx="2">
                  <c:v>14494137.849999992</c:v>
                </c:pt>
                <c:pt idx="3">
                  <c:v>14843663.10999999</c:v>
                </c:pt>
                <c:pt idx="4">
                  <c:v>15144810.180000013</c:v>
                </c:pt>
                <c:pt idx="5">
                  <c:v>15401274.000000002</c:v>
                </c:pt>
                <c:pt idx="6">
                  <c:v>15578120.989999998</c:v>
                </c:pt>
                <c:pt idx="7">
                  <c:v>16077728.430000009</c:v>
                </c:pt>
                <c:pt idx="8">
                  <c:v>16923734.399999984</c:v>
                </c:pt>
                <c:pt idx="9">
                  <c:v>17732962.829999998</c:v>
                </c:pt>
              </c:numCache>
            </c:numRef>
          </c:val>
          <c:extLst>
            <c:ext xmlns:c16="http://schemas.microsoft.com/office/drawing/2014/chart" uri="{C3380CC4-5D6E-409C-BE32-E72D297353CC}">
              <c16:uniqueId val="{00000000-AD61-4A10-AADC-9AC3F0B64560}"/>
            </c:ext>
          </c:extLst>
        </c:ser>
        <c:dLbls>
          <c:dLblPos val="outEnd"/>
          <c:showLegendKey val="0"/>
          <c:showVal val="1"/>
          <c:showCatName val="0"/>
          <c:showSerName val="0"/>
          <c:showPercent val="0"/>
          <c:showBubbleSize val="0"/>
        </c:dLbls>
        <c:gapWidth val="182"/>
        <c:axId val="1792767728"/>
        <c:axId val="1792768208"/>
      </c:barChart>
      <c:catAx>
        <c:axId val="179276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2768208"/>
        <c:crosses val="autoZero"/>
        <c:auto val="1"/>
        <c:lblAlgn val="ctr"/>
        <c:lblOffset val="100"/>
        <c:noMultiLvlLbl val="0"/>
      </c:catAx>
      <c:valAx>
        <c:axId val="1792768208"/>
        <c:scaling>
          <c:orientation val="minMax"/>
        </c:scaling>
        <c:delete val="1"/>
        <c:axPos val="b"/>
        <c:numFmt formatCode="&quot;₹&quot;\ #,##0.00" sourceLinked="1"/>
        <c:majorTickMark val="none"/>
        <c:minorTickMark val="none"/>
        <c:tickLblPos val="nextTo"/>
        <c:crossAx val="179276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table!PivotTable18</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Customers by Avg Order Value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50572317030316"/>
          <c:y val="0.18052560640073056"/>
          <c:w val="0.84861662182514019"/>
          <c:h val="0.69430608263253724"/>
        </c:manualLayout>
      </c:layout>
      <c:barChart>
        <c:barDir val="col"/>
        <c:grouping val="clustered"/>
        <c:varyColors val="0"/>
        <c:ser>
          <c:idx val="0"/>
          <c:order val="0"/>
          <c:tx>
            <c:strRef>
              <c:f>'pivot table'!$BK$4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table'!$BJ$5:$BJ$14</c:f>
              <c:strCache>
                <c:ptCount val="10"/>
                <c:pt idx="0">
                  <c:v>Arjun Mehta</c:v>
                </c:pt>
                <c:pt idx="1">
                  <c:v>Yash Jain</c:v>
                </c:pt>
                <c:pt idx="2">
                  <c:v>Ananya Das</c:v>
                </c:pt>
                <c:pt idx="3">
                  <c:v>Kavya Nair</c:v>
                </c:pt>
                <c:pt idx="4">
                  <c:v>Rohan Patel</c:v>
                </c:pt>
                <c:pt idx="5">
                  <c:v>Aarav Sharma</c:v>
                </c:pt>
                <c:pt idx="6">
                  <c:v>Sneha Kapoor</c:v>
                </c:pt>
                <c:pt idx="7">
                  <c:v>Manish Kumar</c:v>
                </c:pt>
                <c:pt idx="8">
                  <c:v>Neha Gupta</c:v>
                </c:pt>
                <c:pt idx="9">
                  <c:v>Simran Kaur</c:v>
                </c:pt>
              </c:strCache>
            </c:strRef>
          </c:cat>
          <c:val>
            <c:numRef>
              <c:f>'pivot table'!$BK$5:$BK$14</c:f>
              <c:numCache>
                <c:formatCode>"₹"\ #,##0</c:formatCode>
                <c:ptCount val="10"/>
                <c:pt idx="0">
                  <c:v>63148.262686567105</c:v>
                </c:pt>
                <c:pt idx="1">
                  <c:v>59991.523992537346</c:v>
                </c:pt>
                <c:pt idx="2">
                  <c:v>58783.488549618327</c:v>
                </c:pt>
                <c:pt idx="3">
                  <c:v>58524.629801980191</c:v>
                </c:pt>
                <c:pt idx="4">
                  <c:v>58316.642374999989</c:v>
                </c:pt>
                <c:pt idx="5">
                  <c:v>57516.420039682511</c:v>
                </c:pt>
                <c:pt idx="6">
                  <c:v>56854.456167883203</c:v>
                </c:pt>
                <c:pt idx="7">
                  <c:v>55483.622071713144</c:v>
                </c:pt>
                <c:pt idx="8">
                  <c:v>54755.266914062486</c:v>
                </c:pt>
                <c:pt idx="9">
                  <c:v>54396.765648854976</c:v>
                </c:pt>
              </c:numCache>
            </c:numRef>
          </c:val>
          <c:extLst>
            <c:ext xmlns:c16="http://schemas.microsoft.com/office/drawing/2014/chart" uri="{C3380CC4-5D6E-409C-BE32-E72D297353CC}">
              <c16:uniqueId val="{00000000-86A8-4A02-B023-A5F9DF9134A3}"/>
            </c:ext>
          </c:extLst>
        </c:ser>
        <c:dLbls>
          <c:dLblPos val="outEnd"/>
          <c:showLegendKey val="0"/>
          <c:showVal val="1"/>
          <c:showCatName val="0"/>
          <c:showSerName val="0"/>
          <c:showPercent val="0"/>
          <c:showBubbleSize val="0"/>
        </c:dLbls>
        <c:gapWidth val="219"/>
        <c:overlap val="-27"/>
        <c:axId val="1399307344"/>
        <c:axId val="1399307824"/>
      </c:barChart>
      <c:catAx>
        <c:axId val="139930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9307824"/>
        <c:crosses val="autoZero"/>
        <c:auto val="1"/>
        <c:lblAlgn val="ctr"/>
        <c:lblOffset val="100"/>
        <c:noMultiLvlLbl val="0"/>
      </c:catAx>
      <c:valAx>
        <c:axId val="1399307824"/>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930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 and dashboard.xlsx]pivot table!PivotTable19</c:name>
    <c:fmtId val="5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a:t>
            </a:r>
            <a:r>
              <a:rPr lang="en-IN" b="1" baseline="0"/>
              <a:t> 10 Customer by Avg Discount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032175528788788E-2"/>
          <c:y val="0.19714285714285715"/>
          <c:w val="0.91761179808965221"/>
          <c:h val="0.66616717992218188"/>
        </c:manualLayout>
      </c:layout>
      <c:lineChart>
        <c:grouping val="standard"/>
        <c:varyColors val="0"/>
        <c:ser>
          <c:idx val="0"/>
          <c:order val="0"/>
          <c:tx>
            <c:strRef>
              <c:f>'pivot table'!$BN$4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table'!$BM$5:$BM$14</c:f>
              <c:strCache>
                <c:ptCount val="10"/>
                <c:pt idx="0">
                  <c:v>Ananya Das</c:v>
                </c:pt>
                <c:pt idx="1">
                  <c:v>Priya Verma</c:v>
                </c:pt>
                <c:pt idx="2">
                  <c:v>Yash Jain</c:v>
                </c:pt>
                <c:pt idx="3">
                  <c:v>Pooja Malhotra</c:v>
                </c:pt>
                <c:pt idx="4">
                  <c:v>Arjun Mehta</c:v>
                </c:pt>
                <c:pt idx="5">
                  <c:v>Kavya Nair</c:v>
                </c:pt>
                <c:pt idx="6">
                  <c:v>Vikram Joshi</c:v>
                </c:pt>
                <c:pt idx="7">
                  <c:v>Rahul Singh</c:v>
                </c:pt>
                <c:pt idx="8">
                  <c:v>Aarav Sharma</c:v>
                </c:pt>
                <c:pt idx="9">
                  <c:v>Aditya Roy</c:v>
                </c:pt>
              </c:strCache>
            </c:strRef>
          </c:cat>
          <c:val>
            <c:numRef>
              <c:f>'pivot table'!$BN$5:$BN$14</c:f>
              <c:numCache>
                <c:formatCode>0.0</c:formatCode>
                <c:ptCount val="10"/>
                <c:pt idx="0">
                  <c:v>9.7328244274809155</c:v>
                </c:pt>
                <c:pt idx="1">
                  <c:v>9.8458904109589049</c:v>
                </c:pt>
                <c:pt idx="2">
                  <c:v>10.111940298507463</c:v>
                </c:pt>
                <c:pt idx="3">
                  <c:v>10.115384615384615</c:v>
                </c:pt>
                <c:pt idx="4">
                  <c:v>10.186567164179104</c:v>
                </c:pt>
                <c:pt idx="5">
                  <c:v>10.198019801980198</c:v>
                </c:pt>
                <c:pt idx="6">
                  <c:v>10.247148288973383</c:v>
                </c:pt>
                <c:pt idx="7">
                  <c:v>10.268817204301076</c:v>
                </c:pt>
                <c:pt idx="8">
                  <c:v>10.575396825396826</c:v>
                </c:pt>
                <c:pt idx="9">
                  <c:v>10.722222222222221</c:v>
                </c:pt>
              </c:numCache>
            </c:numRef>
          </c:val>
          <c:smooth val="0"/>
          <c:extLst>
            <c:ext xmlns:c16="http://schemas.microsoft.com/office/drawing/2014/chart" uri="{C3380CC4-5D6E-409C-BE32-E72D297353CC}">
              <c16:uniqueId val="{00000000-9121-450A-946D-4DF4D51B5E4B}"/>
            </c:ext>
          </c:extLst>
        </c:ser>
        <c:dLbls>
          <c:dLblPos val="t"/>
          <c:showLegendKey val="0"/>
          <c:showVal val="1"/>
          <c:showCatName val="0"/>
          <c:showSerName val="0"/>
          <c:showPercent val="0"/>
          <c:showBubbleSize val="0"/>
        </c:dLbls>
        <c:marker val="1"/>
        <c:smooth val="0"/>
        <c:axId val="1336069456"/>
        <c:axId val="1336069936"/>
      </c:lineChart>
      <c:catAx>
        <c:axId val="133606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6069936"/>
        <c:crosses val="autoZero"/>
        <c:auto val="1"/>
        <c:lblAlgn val="ctr"/>
        <c:lblOffset val="100"/>
        <c:noMultiLvlLbl val="0"/>
      </c:catAx>
      <c:valAx>
        <c:axId val="133606993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606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hyperlink" Target="#'Sales Team Performance'!A1"/><Relationship Id="rId7" Type="http://schemas.openxmlformats.org/officeDocument/2006/relationships/chart" Target="../charts/chart17.xml"/><Relationship Id="rId2" Type="http://schemas.openxmlformats.org/officeDocument/2006/relationships/hyperlink" Target="#'Store Analysis'!A1"/><Relationship Id="rId1" Type="http://schemas.openxmlformats.org/officeDocument/2006/relationships/hyperlink" Target="#'Product Performance'!A1"/><Relationship Id="rId6" Type="http://schemas.openxmlformats.org/officeDocument/2006/relationships/chart" Target="../charts/chart16.xml"/><Relationship Id="rId5" Type="http://schemas.openxmlformats.org/officeDocument/2006/relationships/hyperlink" Target="#Overview!A1"/><Relationship Id="rId4" Type="http://schemas.openxmlformats.org/officeDocument/2006/relationships/hyperlink" Target="#'Customer Analysis'!A1"/></Relationships>
</file>

<file path=xl/drawings/_rels/drawing3.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hyperlink" Target="#'Sales Team Performance'!A1"/><Relationship Id="rId7" Type="http://schemas.openxmlformats.org/officeDocument/2006/relationships/chart" Target="../charts/chart20.xml"/><Relationship Id="rId2" Type="http://schemas.openxmlformats.org/officeDocument/2006/relationships/hyperlink" Target="#'Store Analysis'!A1"/><Relationship Id="rId1" Type="http://schemas.openxmlformats.org/officeDocument/2006/relationships/hyperlink" Target="#'Product Performance'!A1"/><Relationship Id="rId6" Type="http://schemas.openxmlformats.org/officeDocument/2006/relationships/chart" Target="../charts/chart19.xml"/><Relationship Id="rId5" Type="http://schemas.openxmlformats.org/officeDocument/2006/relationships/hyperlink" Target="#Overview!A1"/><Relationship Id="rId4" Type="http://schemas.openxmlformats.org/officeDocument/2006/relationships/hyperlink" Target="#'Customer Analysis'!A1"/></Relationships>
</file>

<file path=xl/drawings/_rels/drawing4.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hyperlink" Target="#'Sales Team Performance'!A1"/><Relationship Id="rId7" Type="http://schemas.openxmlformats.org/officeDocument/2006/relationships/chart" Target="../charts/chart23.xml"/><Relationship Id="rId2" Type="http://schemas.openxmlformats.org/officeDocument/2006/relationships/hyperlink" Target="#'Store Analysis'!A1"/><Relationship Id="rId1" Type="http://schemas.openxmlformats.org/officeDocument/2006/relationships/hyperlink" Target="#'Product Performance'!A1"/><Relationship Id="rId6" Type="http://schemas.openxmlformats.org/officeDocument/2006/relationships/chart" Target="../charts/chart22.xml"/><Relationship Id="rId5" Type="http://schemas.openxmlformats.org/officeDocument/2006/relationships/hyperlink" Target="#Overview!A1"/><Relationship Id="rId4" Type="http://schemas.openxmlformats.org/officeDocument/2006/relationships/hyperlink" Target="#'Customer Analysis'!A1"/></Relationships>
</file>

<file path=xl/drawings/_rels/drawing5.xml.rels><?xml version="1.0" encoding="UTF-8" standalone="yes"?>
<Relationships xmlns="http://schemas.openxmlformats.org/package/2006/relationships"><Relationship Id="rId8" Type="http://schemas.openxmlformats.org/officeDocument/2006/relationships/chart" Target="../charts/chart27.xml"/><Relationship Id="rId3" Type="http://schemas.openxmlformats.org/officeDocument/2006/relationships/hyperlink" Target="#'Sales Team Performance'!A1"/><Relationship Id="rId7" Type="http://schemas.openxmlformats.org/officeDocument/2006/relationships/chart" Target="../charts/chart26.xml"/><Relationship Id="rId2" Type="http://schemas.openxmlformats.org/officeDocument/2006/relationships/hyperlink" Target="#'Store Analysis'!A1"/><Relationship Id="rId1" Type="http://schemas.openxmlformats.org/officeDocument/2006/relationships/hyperlink" Target="#'Product Performance'!A1"/><Relationship Id="rId6" Type="http://schemas.openxmlformats.org/officeDocument/2006/relationships/chart" Target="../charts/chart25.xml"/><Relationship Id="rId5" Type="http://schemas.openxmlformats.org/officeDocument/2006/relationships/hyperlink" Target="#Overview!A1"/><Relationship Id="rId4" Type="http://schemas.openxmlformats.org/officeDocument/2006/relationships/hyperlink" Target="#'Customer Analysis'!A1"/></Relationships>
</file>

<file path=xl/drawings/_rels/drawing6.xml.rels><?xml version="1.0" encoding="UTF-8" standalone="yes"?>
<Relationships xmlns="http://schemas.openxmlformats.org/package/2006/relationships"><Relationship Id="rId8" Type="http://schemas.openxmlformats.org/officeDocument/2006/relationships/chart" Target="../charts/chart30.xml"/><Relationship Id="rId3" Type="http://schemas.openxmlformats.org/officeDocument/2006/relationships/hyperlink" Target="#'Customer Analysis'!A1"/><Relationship Id="rId7" Type="http://schemas.openxmlformats.org/officeDocument/2006/relationships/chart" Target="../charts/chart29.xml"/><Relationship Id="rId2" Type="http://schemas.openxmlformats.org/officeDocument/2006/relationships/hyperlink" Target="#'Sales Team Performance'!A1"/><Relationship Id="rId1" Type="http://schemas.openxmlformats.org/officeDocument/2006/relationships/hyperlink" Target="#Overview!A1"/><Relationship Id="rId6" Type="http://schemas.openxmlformats.org/officeDocument/2006/relationships/chart" Target="../charts/chart28.xml"/><Relationship Id="rId5" Type="http://schemas.openxmlformats.org/officeDocument/2006/relationships/hyperlink" Target="#'Store Analysis'!A1"/><Relationship Id="rId4" Type="http://schemas.openxmlformats.org/officeDocument/2006/relationships/hyperlink" Target="#'Product Performance'!A1"/></Relationships>
</file>

<file path=xl/drawings/drawing1.xml><?xml version="1.0" encoding="utf-8"?>
<xdr:wsDr xmlns:xdr="http://schemas.openxmlformats.org/drawingml/2006/spreadsheetDrawing" xmlns:a="http://schemas.openxmlformats.org/drawingml/2006/main">
  <xdr:twoCellAnchor editAs="oneCell">
    <xdr:from>
      <xdr:col>15</xdr:col>
      <xdr:colOff>647700</xdr:colOff>
      <xdr:row>0</xdr:row>
      <xdr:rowOff>175260</xdr:rowOff>
    </xdr:from>
    <xdr:to>
      <xdr:col>17</xdr:col>
      <xdr:colOff>342900</xdr:colOff>
      <xdr:row>14</xdr:row>
      <xdr:rowOff>81915</xdr:rowOff>
    </xdr:to>
    <mc:AlternateContent xmlns:mc="http://schemas.openxmlformats.org/markup-compatibility/2006" xmlns:a14="http://schemas.microsoft.com/office/drawing/2010/main">
      <mc:Choice Requires="a14">
        <xdr:graphicFrame macro="">
          <xdr:nvGraphicFramePr>
            <xdr:cNvPr id="5" name="Store_Location">
              <a:extLst>
                <a:ext uri="{FF2B5EF4-FFF2-40B4-BE49-F238E27FC236}">
                  <a16:creationId xmlns:a16="http://schemas.microsoft.com/office/drawing/2014/main" id="{03437C2C-4385-D702-12B6-F5C74AE38D09}"/>
                </a:ext>
              </a:extLst>
            </xdr:cNvPr>
            <xdr:cNvGraphicFramePr/>
          </xdr:nvGraphicFramePr>
          <xdr:xfrm>
            <a:off x="0" y="0"/>
            <a:ext cx="0" cy="0"/>
          </xdr:xfrm>
          <a:graphic>
            <a:graphicData uri="http://schemas.microsoft.com/office/drawing/2010/slicer">
              <sle:slicer xmlns:sle="http://schemas.microsoft.com/office/drawing/2010/slicer" name="Store_Location"/>
            </a:graphicData>
          </a:graphic>
        </xdr:graphicFrame>
      </mc:Choice>
      <mc:Fallback xmlns="">
        <xdr:sp macro="" textlink="">
          <xdr:nvSpPr>
            <xdr:cNvPr id="0" name=""/>
            <xdr:cNvSpPr>
              <a:spLocks noTextEdit="1"/>
            </xdr:cNvSpPr>
          </xdr:nvSpPr>
          <xdr:spPr>
            <a:xfrm>
              <a:off x="13963162" y="175260"/>
              <a:ext cx="1824892" cy="2505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563880</xdr:colOff>
      <xdr:row>0</xdr:row>
      <xdr:rowOff>175260</xdr:rowOff>
    </xdr:from>
    <xdr:to>
      <xdr:col>15</xdr:col>
      <xdr:colOff>259082</xdr:colOff>
      <xdr:row>14</xdr:row>
      <xdr:rowOff>81915</xdr:rowOff>
    </xdr:to>
    <mc:AlternateContent xmlns:mc="http://schemas.openxmlformats.org/markup-compatibility/2006" xmlns:a14="http://schemas.microsoft.com/office/drawing/2010/main">
      <mc:Choice Requires="a14">
        <xdr:graphicFrame macro="">
          <xdr:nvGraphicFramePr>
            <xdr:cNvPr id="6" name="Product_Category">
              <a:extLst>
                <a:ext uri="{FF2B5EF4-FFF2-40B4-BE49-F238E27FC236}">
                  <a16:creationId xmlns:a16="http://schemas.microsoft.com/office/drawing/2014/main" id="{8440C407-6099-6516-1095-40C777C9575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1749649" y="175260"/>
              <a:ext cx="1824893" cy="2505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662940</xdr:colOff>
      <xdr:row>15</xdr:row>
      <xdr:rowOff>22860</xdr:rowOff>
    </xdr:from>
    <xdr:to>
      <xdr:col>15</xdr:col>
      <xdr:colOff>358142</xdr:colOff>
      <xdr:row>28</xdr:row>
      <xdr:rowOff>112395</xdr:rowOff>
    </xdr:to>
    <mc:AlternateContent xmlns:mc="http://schemas.openxmlformats.org/markup-compatibility/2006" xmlns:a14="http://schemas.microsoft.com/office/drawing/2010/main">
      <mc:Choice Requires="a14">
        <xdr:graphicFrame macro="">
          <xdr:nvGraphicFramePr>
            <xdr:cNvPr id="7" name="Sales_Representative">
              <a:extLst>
                <a:ext uri="{FF2B5EF4-FFF2-40B4-BE49-F238E27FC236}">
                  <a16:creationId xmlns:a16="http://schemas.microsoft.com/office/drawing/2014/main" id="{F9C58FC2-6231-07F1-0142-4B8CF3264A4C}"/>
                </a:ext>
              </a:extLst>
            </xdr:cNvPr>
            <xdr:cNvGraphicFramePr/>
          </xdr:nvGraphicFramePr>
          <xdr:xfrm>
            <a:off x="0" y="0"/>
            <a:ext cx="0" cy="0"/>
          </xdr:xfrm>
          <a:graphic>
            <a:graphicData uri="http://schemas.microsoft.com/office/drawing/2010/slicer">
              <sle:slicer xmlns:sle="http://schemas.microsoft.com/office/drawing/2010/slicer" name="Sales_Representative"/>
            </a:graphicData>
          </a:graphic>
        </xdr:graphicFrame>
      </mc:Choice>
      <mc:Fallback xmlns="">
        <xdr:sp macro="" textlink="">
          <xdr:nvSpPr>
            <xdr:cNvPr id="0" name=""/>
            <xdr:cNvSpPr>
              <a:spLocks noTextEdit="1"/>
            </xdr:cNvSpPr>
          </xdr:nvSpPr>
          <xdr:spPr>
            <a:xfrm>
              <a:off x="11848709" y="2807091"/>
              <a:ext cx="1824893" cy="250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723900</xdr:colOff>
      <xdr:row>15</xdr:row>
      <xdr:rowOff>38100</xdr:rowOff>
    </xdr:from>
    <xdr:to>
      <xdr:col>17</xdr:col>
      <xdr:colOff>419100</xdr:colOff>
      <xdr:row>31</xdr:row>
      <xdr:rowOff>45720</xdr:rowOff>
    </xdr:to>
    <mc:AlternateContent xmlns:mc="http://schemas.openxmlformats.org/markup-compatibility/2006" xmlns:a14="http://schemas.microsoft.com/office/drawing/2010/main">
      <mc:Choice Requires="a14">
        <xdr:graphicFrame macro="">
          <xdr:nvGraphicFramePr>
            <xdr:cNvPr id="8" name="Product_Name">
              <a:extLst>
                <a:ext uri="{FF2B5EF4-FFF2-40B4-BE49-F238E27FC236}">
                  <a16:creationId xmlns:a16="http://schemas.microsoft.com/office/drawing/2014/main" id="{F8EC1529-8B86-7422-A82E-64C676DFFD9E}"/>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4039362" y="2822331"/>
              <a:ext cx="1824892" cy="2977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45903</xdr:colOff>
      <xdr:row>0</xdr:row>
      <xdr:rowOff>25981</xdr:rowOff>
    </xdr:from>
    <xdr:to>
      <xdr:col>13</xdr:col>
      <xdr:colOff>472623</xdr:colOff>
      <xdr:row>43</xdr:row>
      <xdr:rowOff>73742</xdr:rowOff>
    </xdr:to>
    <xdr:sp macro="" textlink="">
      <xdr:nvSpPr>
        <xdr:cNvPr id="9" name="Rectangle 8">
          <a:extLst>
            <a:ext uri="{FF2B5EF4-FFF2-40B4-BE49-F238E27FC236}">
              <a16:creationId xmlns:a16="http://schemas.microsoft.com/office/drawing/2014/main" id="{2343D4C7-EBE8-514F-6E2C-23A4403A7E18}"/>
            </a:ext>
          </a:extLst>
        </xdr:cNvPr>
        <xdr:cNvSpPr/>
      </xdr:nvSpPr>
      <xdr:spPr>
        <a:xfrm>
          <a:off x="15986451" y="25981"/>
          <a:ext cx="426720" cy="7975019"/>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a:solidFill>
                <a:srgbClr val="FF0000"/>
              </a:solidFill>
            </a:rPr>
            <a:t>Slicers</a:t>
          </a:r>
        </a:p>
      </xdr:txBody>
    </xdr:sp>
    <xdr:clientData/>
  </xdr:twoCellAnchor>
  <xdr:twoCellAnchor>
    <xdr:from>
      <xdr:col>9</xdr:col>
      <xdr:colOff>400373</xdr:colOff>
      <xdr:row>13</xdr:row>
      <xdr:rowOff>89514</xdr:rowOff>
    </xdr:from>
    <xdr:to>
      <xdr:col>12</xdr:col>
      <xdr:colOff>912395</xdr:colOff>
      <xdr:row>25</xdr:row>
      <xdr:rowOff>12914</xdr:rowOff>
    </xdr:to>
    <xdr:graphicFrame macro="">
      <xdr:nvGraphicFramePr>
        <xdr:cNvPr id="4" name="Chart 3">
          <a:extLst>
            <a:ext uri="{FF2B5EF4-FFF2-40B4-BE49-F238E27FC236}">
              <a16:creationId xmlns:a16="http://schemas.microsoft.com/office/drawing/2014/main" id="{E05A72D9-4A2F-E001-2B24-5FBD981CC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36724</xdr:colOff>
      <xdr:row>0</xdr:row>
      <xdr:rowOff>0</xdr:rowOff>
    </xdr:from>
    <xdr:to>
      <xdr:col>0</xdr:col>
      <xdr:colOff>550844</xdr:colOff>
      <xdr:row>42</xdr:row>
      <xdr:rowOff>0</xdr:rowOff>
    </xdr:to>
    <xdr:sp macro="" textlink="">
      <xdr:nvSpPr>
        <xdr:cNvPr id="10" name="Rectangle 9">
          <a:extLst>
            <a:ext uri="{FF2B5EF4-FFF2-40B4-BE49-F238E27FC236}">
              <a16:creationId xmlns:a16="http://schemas.microsoft.com/office/drawing/2014/main" id="{84C04ED9-D0F6-4EEE-6631-71F2251CE4BE}"/>
            </a:ext>
          </a:extLst>
        </xdr:cNvPr>
        <xdr:cNvSpPr/>
      </xdr:nvSpPr>
      <xdr:spPr>
        <a:xfrm>
          <a:off x="36724" y="0"/>
          <a:ext cx="514120" cy="774290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nchorCtr="1"/>
        <a:lstStyle/>
        <a:p>
          <a:pPr algn="l"/>
          <a:r>
            <a:rPr lang="en-IN" sz="2400" b="1">
              <a:solidFill>
                <a:srgbClr val="FF0000"/>
              </a:solidFill>
              <a:latin typeface="+mn-lt"/>
              <a:ea typeface="+mn-ea"/>
              <a:cs typeface="+mn-cs"/>
            </a:rPr>
            <a:t>overiew</a:t>
          </a:r>
        </a:p>
      </xdr:txBody>
    </xdr:sp>
    <xdr:clientData/>
  </xdr:twoCellAnchor>
  <xdr:twoCellAnchor>
    <xdr:from>
      <xdr:col>19</xdr:col>
      <xdr:colOff>501266</xdr:colOff>
      <xdr:row>0</xdr:row>
      <xdr:rowOff>9181</xdr:rowOff>
    </xdr:from>
    <xdr:to>
      <xdr:col>19</xdr:col>
      <xdr:colOff>927986</xdr:colOff>
      <xdr:row>45</xdr:row>
      <xdr:rowOff>122903</xdr:rowOff>
    </xdr:to>
    <xdr:sp macro="" textlink="">
      <xdr:nvSpPr>
        <xdr:cNvPr id="17" name="Rectangle 16">
          <a:extLst>
            <a:ext uri="{FF2B5EF4-FFF2-40B4-BE49-F238E27FC236}">
              <a16:creationId xmlns:a16="http://schemas.microsoft.com/office/drawing/2014/main" id="{B8BCFC33-E3A4-4AA4-8B42-8561F555C9AA}"/>
            </a:ext>
          </a:extLst>
        </xdr:cNvPr>
        <xdr:cNvSpPr/>
      </xdr:nvSpPr>
      <xdr:spPr>
        <a:xfrm>
          <a:off x="23348976" y="9181"/>
          <a:ext cx="426720" cy="840969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a:solidFill>
                <a:srgbClr val="FF0000"/>
              </a:solidFill>
            </a:rPr>
            <a:t>Product</a:t>
          </a:r>
          <a:r>
            <a:rPr lang="en-IN" sz="2400" b="1" baseline="0">
              <a:solidFill>
                <a:srgbClr val="FF0000"/>
              </a:solidFill>
            </a:rPr>
            <a:t> performance</a:t>
          </a:r>
          <a:endParaRPr lang="en-IN" sz="2400" b="1">
            <a:solidFill>
              <a:srgbClr val="FF0000"/>
            </a:solidFill>
          </a:endParaRPr>
        </a:p>
      </xdr:txBody>
    </xdr:sp>
    <xdr:clientData/>
  </xdr:twoCellAnchor>
  <xdr:twoCellAnchor>
    <xdr:from>
      <xdr:col>28</xdr:col>
      <xdr:colOff>984173</xdr:colOff>
      <xdr:row>0</xdr:row>
      <xdr:rowOff>0</xdr:rowOff>
    </xdr:from>
    <xdr:to>
      <xdr:col>29</xdr:col>
      <xdr:colOff>345930</xdr:colOff>
      <xdr:row>43</xdr:row>
      <xdr:rowOff>135194</xdr:rowOff>
    </xdr:to>
    <xdr:sp macro="" textlink="">
      <xdr:nvSpPr>
        <xdr:cNvPr id="21" name="Rectangle 20">
          <a:extLst>
            <a:ext uri="{FF2B5EF4-FFF2-40B4-BE49-F238E27FC236}">
              <a16:creationId xmlns:a16="http://schemas.microsoft.com/office/drawing/2014/main" id="{5799994B-7394-4C1D-BC44-32ECC902C9EF}"/>
            </a:ext>
          </a:extLst>
        </xdr:cNvPr>
        <xdr:cNvSpPr/>
      </xdr:nvSpPr>
      <xdr:spPr>
        <a:xfrm>
          <a:off x="36749012" y="0"/>
          <a:ext cx="431015" cy="8062452"/>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a:solidFill>
                <a:srgbClr val="FF0000"/>
              </a:solidFill>
            </a:rPr>
            <a:t>STORE</a:t>
          </a:r>
          <a:r>
            <a:rPr lang="en-IN" sz="2400" b="1" baseline="0">
              <a:solidFill>
                <a:srgbClr val="FF0000"/>
              </a:solidFill>
            </a:rPr>
            <a:t> ANALYSIS</a:t>
          </a:r>
          <a:endParaRPr lang="en-IN" sz="2400" b="1">
            <a:solidFill>
              <a:srgbClr val="FF0000"/>
            </a:solidFill>
          </a:endParaRPr>
        </a:p>
      </xdr:txBody>
    </xdr:sp>
    <xdr:clientData/>
  </xdr:twoCellAnchor>
  <xdr:twoCellAnchor>
    <xdr:from>
      <xdr:col>42</xdr:col>
      <xdr:colOff>752820</xdr:colOff>
      <xdr:row>0</xdr:row>
      <xdr:rowOff>55084</xdr:rowOff>
    </xdr:from>
    <xdr:to>
      <xdr:col>43</xdr:col>
      <xdr:colOff>114576</xdr:colOff>
      <xdr:row>39</xdr:row>
      <xdr:rowOff>122903</xdr:rowOff>
    </xdr:to>
    <xdr:sp macro="" textlink="">
      <xdr:nvSpPr>
        <xdr:cNvPr id="25" name="Rectangle 24">
          <a:extLst>
            <a:ext uri="{FF2B5EF4-FFF2-40B4-BE49-F238E27FC236}">
              <a16:creationId xmlns:a16="http://schemas.microsoft.com/office/drawing/2014/main" id="{B24D7526-AEC6-4085-9892-00D021C5018B}"/>
            </a:ext>
          </a:extLst>
        </xdr:cNvPr>
        <xdr:cNvSpPr/>
      </xdr:nvSpPr>
      <xdr:spPr>
        <a:xfrm>
          <a:off x="54473820" y="55084"/>
          <a:ext cx="431014" cy="7257658"/>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a:solidFill>
                <a:srgbClr val="FF0000"/>
              </a:solidFill>
            </a:rPr>
            <a:t>SALES</a:t>
          </a:r>
          <a:r>
            <a:rPr lang="en-IN" sz="2400" b="1" baseline="0">
              <a:solidFill>
                <a:srgbClr val="FF0000"/>
              </a:solidFill>
            </a:rPr>
            <a:t> TEAM PERFORMANCE</a:t>
          </a:r>
          <a:endParaRPr lang="en-IN" sz="2400" b="1">
            <a:solidFill>
              <a:srgbClr val="FF0000"/>
            </a:solidFill>
          </a:endParaRPr>
        </a:p>
      </xdr:txBody>
    </xdr:sp>
    <xdr:clientData/>
  </xdr:twoCellAnchor>
  <xdr:twoCellAnchor>
    <xdr:from>
      <xdr:col>51</xdr:col>
      <xdr:colOff>591207</xdr:colOff>
      <xdr:row>13</xdr:row>
      <xdr:rowOff>121745</xdr:rowOff>
    </xdr:from>
    <xdr:to>
      <xdr:col>54</xdr:col>
      <xdr:colOff>656897</xdr:colOff>
      <xdr:row>27</xdr:row>
      <xdr:rowOff>0</xdr:rowOff>
    </xdr:to>
    <xdr:graphicFrame macro="">
      <xdr:nvGraphicFramePr>
        <xdr:cNvPr id="29" name="Chart 12">
          <a:extLst>
            <a:ext uri="{FF2B5EF4-FFF2-40B4-BE49-F238E27FC236}">
              <a16:creationId xmlns:a16="http://schemas.microsoft.com/office/drawing/2014/main" id="{08BCD13F-EAA2-A982-0090-E130455F0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54</xdr:col>
      <xdr:colOff>823310</xdr:colOff>
      <xdr:row>0</xdr:row>
      <xdr:rowOff>17517</xdr:rowOff>
    </xdr:from>
    <xdr:to>
      <xdr:col>55</xdr:col>
      <xdr:colOff>185065</xdr:colOff>
      <xdr:row>38</xdr:row>
      <xdr:rowOff>49161</xdr:rowOff>
    </xdr:to>
    <xdr:sp macro="" textlink="">
      <xdr:nvSpPr>
        <xdr:cNvPr id="30" name="Rectangle 29">
          <a:extLst>
            <a:ext uri="{FF2B5EF4-FFF2-40B4-BE49-F238E27FC236}">
              <a16:creationId xmlns:a16="http://schemas.microsoft.com/office/drawing/2014/main" id="{5AA5ADB8-B010-414E-A86B-D0FE71863B57}"/>
            </a:ext>
          </a:extLst>
        </xdr:cNvPr>
        <xdr:cNvSpPr/>
      </xdr:nvSpPr>
      <xdr:spPr>
        <a:xfrm>
          <a:off x="71763052" y="17517"/>
          <a:ext cx="431013" cy="7037128"/>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a:solidFill>
                <a:srgbClr val="FF0000"/>
              </a:solidFill>
            </a:rPr>
            <a:t>CUSTOMER</a:t>
          </a:r>
          <a:r>
            <a:rPr lang="en-IN" sz="2400" b="1" baseline="0">
              <a:solidFill>
                <a:srgbClr val="FF0000"/>
              </a:solidFill>
            </a:rPr>
            <a:t> ANALYSIS</a:t>
          </a:r>
          <a:endParaRPr lang="en-IN" sz="2400" b="1">
            <a:solidFill>
              <a:srgbClr val="FF0000"/>
            </a:solidFill>
          </a:endParaRPr>
        </a:p>
      </xdr:txBody>
    </xdr:sp>
    <xdr:clientData/>
  </xdr:twoCellAnchor>
  <xdr:twoCellAnchor>
    <xdr:from>
      <xdr:col>61</xdr:col>
      <xdr:colOff>0</xdr:colOff>
      <xdr:row>18</xdr:row>
      <xdr:rowOff>0</xdr:rowOff>
    </xdr:from>
    <xdr:to>
      <xdr:col>63</xdr:col>
      <xdr:colOff>955729</xdr:colOff>
      <xdr:row>34</xdr:row>
      <xdr:rowOff>116237</xdr:rowOff>
    </xdr:to>
    <xdr:graphicFrame macro="">
      <xdr:nvGraphicFramePr>
        <xdr:cNvPr id="16" name="Chart 14">
          <a:extLst>
            <a:ext uri="{FF2B5EF4-FFF2-40B4-BE49-F238E27FC236}">
              <a16:creationId xmlns:a16="http://schemas.microsoft.com/office/drawing/2014/main" id="{E4EAAEB5-D51B-4405-ABD5-C4A9692AD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64</xdr:col>
      <xdr:colOff>588898</xdr:colOff>
      <xdr:row>17</xdr:row>
      <xdr:rowOff>58404</xdr:rowOff>
    </xdr:from>
    <xdr:to>
      <xdr:col>68</xdr:col>
      <xdr:colOff>365930</xdr:colOff>
      <xdr:row>32</xdr:row>
      <xdr:rowOff>102854</xdr:rowOff>
    </xdr:to>
    <xdr:graphicFrame macro="">
      <xdr:nvGraphicFramePr>
        <xdr:cNvPr id="27" name="Chart 15">
          <a:extLst>
            <a:ext uri="{FF2B5EF4-FFF2-40B4-BE49-F238E27FC236}">
              <a16:creationId xmlns:a16="http://schemas.microsoft.com/office/drawing/2014/main" id="{289FBF1B-3BD9-21CD-288A-154DB02F5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959696</xdr:colOff>
      <xdr:row>1</xdr:row>
      <xdr:rowOff>55033</xdr:rowOff>
    </xdr:from>
    <xdr:to>
      <xdr:col>19</xdr:col>
      <xdr:colOff>153246</xdr:colOff>
      <xdr:row>15</xdr:row>
      <xdr:rowOff>3175</xdr:rowOff>
    </xdr:to>
    <mc:AlternateContent xmlns:mc="http://schemas.openxmlformats.org/markup-compatibility/2006" xmlns:a14="http://schemas.microsoft.com/office/drawing/2010/main">
      <mc:Choice Requires="a14">
        <xdr:graphicFrame macro="">
          <xdr:nvGraphicFramePr>
            <xdr:cNvPr id="32" name="Month 1">
              <a:extLst>
                <a:ext uri="{FF2B5EF4-FFF2-40B4-BE49-F238E27FC236}">
                  <a16:creationId xmlns:a16="http://schemas.microsoft.com/office/drawing/2014/main" id="{48A38816-DE6C-3B5A-089D-0AAB23548A9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1177277" y="239388"/>
              <a:ext cx="1823679" cy="2529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43</xdr:col>
      <xdr:colOff>424016</xdr:colOff>
      <xdr:row>14</xdr:row>
      <xdr:rowOff>41787</xdr:rowOff>
    </xdr:from>
    <xdr:to>
      <xdr:col>46</xdr:col>
      <xdr:colOff>645242</xdr:colOff>
      <xdr:row>29</xdr:row>
      <xdr:rowOff>19665</xdr:rowOff>
    </xdr:to>
    <xdr:graphicFrame macro="">
      <xdr:nvGraphicFramePr>
        <xdr:cNvPr id="33" name="Chart 10">
          <a:extLst>
            <a:ext uri="{FF2B5EF4-FFF2-40B4-BE49-F238E27FC236}">
              <a16:creationId xmlns:a16="http://schemas.microsoft.com/office/drawing/2014/main" id="{1BB3873A-E196-4D81-53E6-5C195440D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284136</xdr:colOff>
      <xdr:row>16</xdr:row>
      <xdr:rowOff>115613</xdr:rowOff>
    </xdr:from>
    <xdr:to>
      <xdr:col>5</xdr:col>
      <xdr:colOff>1330272</xdr:colOff>
      <xdr:row>40</xdr:row>
      <xdr:rowOff>116238</xdr:rowOff>
    </xdr:to>
    <xdr:graphicFrame macro="">
      <xdr:nvGraphicFramePr>
        <xdr:cNvPr id="2" name="Chart 1">
          <a:extLst>
            <a:ext uri="{FF2B5EF4-FFF2-40B4-BE49-F238E27FC236}">
              <a16:creationId xmlns:a16="http://schemas.microsoft.com/office/drawing/2014/main" id="{9D18AE76-6067-4EE3-B64A-C1842E1DC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1552745</xdr:colOff>
      <xdr:row>27</xdr:row>
      <xdr:rowOff>48228</xdr:rowOff>
    </xdr:from>
    <xdr:to>
      <xdr:col>10</xdr:col>
      <xdr:colOff>1273216</xdr:colOff>
      <xdr:row>40</xdr:row>
      <xdr:rowOff>116237</xdr:rowOff>
    </xdr:to>
    <xdr:graphicFrame macro="">
      <xdr:nvGraphicFramePr>
        <xdr:cNvPr id="11" name="Chart 2">
          <a:extLst>
            <a:ext uri="{FF2B5EF4-FFF2-40B4-BE49-F238E27FC236}">
              <a16:creationId xmlns:a16="http://schemas.microsoft.com/office/drawing/2014/main" id="{BFDAC41D-D197-45CA-922F-720D519BB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19372</xdr:colOff>
      <xdr:row>17</xdr:row>
      <xdr:rowOff>71965</xdr:rowOff>
    </xdr:from>
    <xdr:to>
      <xdr:col>25</xdr:col>
      <xdr:colOff>393915</xdr:colOff>
      <xdr:row>32</xdr:row>
      <xdr:rowOff>102963</xdr:rowOff>
    </xdr:to>
    <xdr:graphicFrame macro="">
      <xdr:nvGraphicFramePr>
        <xdr:cNvPr id="3" name="Chart 5">
          <a:extLst>
            <a:ext uri="{FF2B5EF4-FFF2-40B4-BE49-F238E27FC236}">
              <a16:creationId xmlns:a16="http://schemas.microsoft.com/office/drawing/2014/main" id="{55424F36-0196-3665-C140-634C44CDA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626390</xdr:colOff>
      <xdr:row>19</xdr:row>
      <xdr:rowOff>152400</xdr:rowOff>
    </xdr:from>
    <xdr:to>
      <xdr:col>28</xdr:col>
      <xdr:colOff>652220</xdr:colOff>
      <xdr:row>35</xdr:row>
      <xdr:rowOff>2583</xdr:rowOff>
    </xdr:to>
    <xdr:graphicFrame macro="">
      <xdr:nvGraphicFramePr>
        <xdr:cNvPr id="12" name="Chart 6">
          <a:extLst>
            <a:ext uri="{FF2B5EF4-FFF2-40B4-BE49-F238E27FC236}">
              <a16:creationId xmlns:a16="http://schemas.microsoft.com/office/drawing/2014/main" id="{5C3233CC-B4B5-A915-2AE3-0EC0792CB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458490</xdr:colOff>
      <xdr:row>15</xdr:row>
      <xdr:rowOff>10333</xdr:rowOff>
    </xdr:from>
    <xdr:to>
      <xdr:col>33</xdr:col>
      <xdr:colOff>400372</xdr:colOff>
      <xdr:row>30</xdr:row>
      <xdr:rowOff>41329</xdr:rowOff>
    </xdr:to>
    <xdr:graphicFrame macro="">
      <xdr:nvGraphicFramePr>
        <xdr:cNvPr id="13" name="Chart 7">
          <a:extLst>
            <a:ext uri="{FF2B5EF4-FFF2-40B4-BE49-F238E27FC236}">
              <a16:creationId xmlns:a16="http://schemas.microsoft.com/office/drawing/2014/main" id="{740790DA-46C1-3C02-970A-84ADCFBFC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38</xdr:col>
      <xdr:colOff>988016</xdr:colOff>
      <xdr:row>15</xdr:row>
      <xdr:rowOff>100740</xdr:rowOff>
    </xdr:from>
    <xdr:to>
      <xdr:col>42</xdr:col>
      <xdr:colOff>83949</xdr:colOff>
      <xdr:row>30</xdr:row>
      <xdr:rowOff>131736</xdr:rowOff>
    </xdr:to>
    <xdr:graphicFrame macro="">
      <xdr:nvGraphicFramePr>
        <xdr:cNvPr id="14" name="Chart 9">
          <a:extLst>
            <a:ext uri="{FF2B5EF4-FFF2-40B4-BE49-F238E27FC236}">
              <a16:creationId xmlns:a16="http://schemas.microsoft.com/office/drawing/2014/main" id="{C5971264-0995-7C16-87BA-189CDE5FA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46</xdr:col>
      <xdr:colOff>923440</xdr:colOff>
      <xdr:row>16</xdr:row>
      <xdr:rowOff>10332</xdr:rowOff>
    </xdr:from>
    <xdr:to>
      <xdr:col>49</xdr:col>
      <xdr:colOff>729711</xdr:colOff>
      <xdr:row>31</xdr:row>
      <xdr:rowOff>41329</xdr:rowOff>
    </xdr:to>
    <xdr:graphicFrame macro="">
      <xdr:nvGraphicFramePr>
        <xdr:cNvPr id="15" name="Chart 11">
          <a:extLst>
            <a:ext uri="{FF2B5EF4-FFF2-40B4-BE49-F238E27FC236}">
              <a16:creationId xmlns:a16="http://schemas.microsoft.com/office/drawing/2014/main" id="{903CCED2-61F2-67D6-342B-A815ECACC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55</xdr:col>
      <xdr:colOff>936353</xdr:colOff>
      <xdr:row>16</xdr:row>
      <xdr:rowOff>116237</xdr:rowOff>
    </xdr:from>
    <xdr:to>
      <xdr:col>60</xdr:col>
      <xdr:colOff>245389</xdr:colOff>
      <xdr:row>35</xdr:row>
      <xdr:rowOff>116237</xdr:rowOff>
    </xdr:to>
    <xdr:graphicFrame macro="">
      <xdr:nvGraphicFramePr>
        <xdr:cNvPr id="26" name="Chart 13">
          <a:extLst>
            <a:ext uri="{FF2B5EF4-FFF2-40B4-BE49-F238E27FC236}">
              <a16:creationId xmlns:a16="http://schemas.microsoft.com/office/drawing/2014/main" id="{65A57A2A-44FE-35FC-3DA9-F662306A0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148526</xdr:colOff>
      <xdr:row>12</xdr:row>
      <xdr:rowOff>165315</xdr:rowOff>
    </xdr:from>
    <xdr:to>
      <xdr:col>21</xdr:col>
      <xdr:colOff>1485254</xdr:colOff>
      <xdr:row>30</xdr:row>
      <xdr:rowOff>116237</xdr:rowOff>
    </xdr:to>
    <xdr:graphicFrame macro="">
      <xdr:nvGraphicFramePr>
        <xdr:cNvPr id="34" name="Chart 4">
          <a:extLst>
            <a:ext uri="{FF2B5EF4-FFF2-40B4-BE49-F238E27FC236}">
              <a16:creationId xmlns:a16="http://schemas.microsoft.com/office/drawing/2014/main" id="{3E67FA29-E62F-5A61-521F-3E9F60A33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33</xdr:col>
      <xdr:colOff>1013847</xdr:colOff>
      <xdr:row>15</xdr:row>
      <xdr:rowOff>10333</xdr:rowOff>
    </xdr:from>
    <xdr:to>
      <xdr:col>37</xdr:col>
      <xdr:colOff>303508</xdr:colOff>
      <xdr:row>30</xdr:row>
      <xdr:rowOff>41329</xdr:rowOff>
    </xdr:to>
    <xdr:graphicFrame macro="">
      <xdr:nvGraphicFramePr>
        <xdr:cNvPr id="35" name="Chart 8">
          <a:extLst>
            <a:ext uri="{FF2B5EF4-FFF2-40B4-BE49-F238E27FC236}">
              <a16:creationId xmlns:a16="http://schemas.microsoft.com/office/drawing/2014/main" id="{BB07AC5D-10CC-BB3C-A91C-91F485D04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464433</xdr:colOff>
      <xdr:row>0</xdr:row>
      <xdr:rowOff>0</xdr:rowOff>
    </xdr:from>
    <xdr:to>
      <xdr:col>27</xdr:col>
      <xdr:colOff>212660</xdr:colOff>
      <xdr:row>46</xdr:row>
      <xdr:rowOff>112426</xdr:rowOff>
    </xdr:to>
    <xdr:sp macro="" textlink="">
      <xdr:nvSpPr>
        <xdr:cNvPr id="2" name="Rectangle 1">
          <a:extLst>
            <a:ext uri="{FF2B5EF4-FFF2-40B4-BE49-F238E27FC236}">
              <a16:creationId xmlns:a16="http://schemas.microsoft.com/office/drawing/2014/main" id="{D60E96A1-8C52-4BF3-BDEA-BDB53E5F37B9}"/>
            </a:ext>
          </a:extLst>
        </xdr:cNvPr>
        <xdr:cNvSpPr/>
      </xdr:nvSpPr>
      <xdr:spPr>
        <a:xfrm>
          <a:off x="464433" y="0"/>
          <a:ext cx="16274883" cy="873177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465666</xdr:colOff>
      <xdr:row>0</xdr:row>
      <xdr:rowOff>42333</xdr:rowOff>
    </xdr:from>
    <xdr:to>
      <xdr:col>27</xdr:col>
      <xdr:colOff>197555</xdr:colOff>
      <xdr:row>4</xdr:row>
      <xdr:rowOff>129153</xdr:rowOff>
    </xdr:to>
    <xdr:sp macro="" textlink="">
      <xdr:nvSpPr>
        <xdr:cNvPr id="3" name="Rectangle 2">
          <a:extLst>
            <a:ext uri="{FF2B5EF4-FFF2-40B4-BE49-F238E27FC236}">
              <a16:creationId xmlns:a16="http://schemas.microsoft.com/office/drawing/2014/main" id="{43F519CA-0746-4DBB-9ACF-69BE0995592C}"/>
            </a:ext>
          </a:extLst>
        </xdr:cNvPr>
        <xdr:cNvSpPr/>
      </xdr:nvSpPr>
      <xdr:spPr>
        <a:xfrm>
          <a:off x="465666" y="42333"/>
          <a:ext cx="16114889" cy="820598"/>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SALES</a:t>
          </a:r>
          <a:r>
            <a:rPr lang="en-IN" sz="2800" b="1" baseline="0">
              <a:solidFill>
                <a:schemeClr val="bg1"/>
              </a:solidFill>
            </a:rPr>
            <a:t> ANALYSIS DASHBOARD</a:t>
          </a:r>
          <a:endParaRPr lang="en-IN" sz="2800" b="1">
            <a:solidFill>
              <a:schemeClr val="bg1"/>
            </a:solidFill>
          </a:endParaRPr>
        </a:p>
      </xdr:txBody>
    </xdr:sp>
    <xdr:clientData/>
  </xdr:twoCellAnchor>
  <xdr:twoCellAnchor editAs="oneCell">
    <xdr:from>
      <xdr:col>0</xdr:col>
      <xdr:colOff>477864</xdr:colOff>
      <xdr:row>20</xdr:row>
      <xdr:rowOff>63500</xdr:rowOff>
    </xdr:from>
    <xdr:to>
      <xdr:col>4</xdr:col>
      <xdr:colOff>271220</xdr:colOff>
      <xdr:row>31</xdr:row>
      <xdr:rowOff>127000</xdr:rowOff>
    </xdr:to>
    <mc:AlternateContent xmlns:mc="http://schemas.openxmlformats.org/markup-compatibility/2006" xmlns:a14="http://schemas.microsoft.com/office/drawing/2010/main">
      <mc:Choice Requires="a14">
        <xdr:graphicFrame macro="">
          <xdr:nvGraphicFramePr>
            <xdr:cNvPr id="5" name="Product_Category 2">
              <a:extLst>
                <a:ext uri="{FF2B5EF4-FFF2-40B4-BE49-F238E27FC236}">
                  <a16:creationId xmlns:a16="http://schemas.microsoft.com/office/drawing/2014/main" id="{EB8902BC-4A42-4952-A189-D188E7C2C5A0}"/>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335280" y="3873500"/>
              <a:ext cx="2519680" cy="215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477865</xdr:colOff>
      <xdr:row>31</xdr:row>
      <xdr:rowOff>111125</xdr:rowOff>
    </xdr:from>
    <xdr:to>
      <xdr:col>4</xdr:col>
      <xdr:colOff>258305</xdr:colOff>
      <xdr:row>44</xdr:row>
      <xdr:rowOff>174624</xdr:rowOff>
    </xdr:to>
    <mc:AlternateContent xmlns:mc="http://schemas.openxmlformats.org/markup-compatibility/2006" xmlns:a14="http://schemas.microsoft.com/office/drawing/2010/main">
      <mc:Choice Requires="a14">
        <xdr:graphicFrame macro="">
          <xdr:nvGraphicFramePr>
            <xdr:cNvPr id="6" name="Store_Location 2">
              <a:extLst>
                <a:ext uri="{FF2B5EF4-FFF2-40B4-BE49-F238E27FC236}">
                  <a16:creationId xmlns:a16="http://schemas.microsoft.com/office/drawing/2014/main" id="{E04F9373-E6B9-40CD-BAC8-168080B3935E}"/>
                </a:ext>
              </a:extLst>
            </xdr:cNvPr>
            <xdr:cNvGraphicFramePr/>
          </xdr:nvGraphicFramePr>
          <xdr:xfrm>
            <a:off x="0" y="0"/>
            <a:ext cx="0" cy="0"/>
          </xdr:xfrm>
          <a:graphic>
            <a:graphicData uri="http://schemas.microsoft.com/office/drawing/2010/slicer">
              <sle:slicer xmlns:sle="http://schemas.microsoft.com/office/drawing/2010/slicer" name="Store_Location 2"/>
            </a:graphicData>
          </a:graphic>
        </xdr:graphicFrame>
      </mc:Choice>
      <mc:Fallback xmlns="">
        <xdr:sp macro="" textlink="">
          <xdr:nvSpPr>
            <xdr:cNvPr id="0" name=""/>
            <xdr:cNvSpPr>
              <a:spLocks noTextEdit="1"/>
            </xdr:cNvSpPr>
          </xdr:nvSpPr>
          <xdr:spPr>
            <a:xfrm>
              <a:off x="322873" y="6016625"/>
              <a:ext cx="2519680" cy="253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584588</xdr:colOff>
      <xdr:row>12</xdr:row>
      <xdr:rowOff>44888</xdr:rowOff>
    </xdr:from>
    <xdr:to>
      <xdr:col>9</xdr:col>
      <xdr:colOff>175516</xdr:colOff>
      <xdr:row>19</xdr:row>
      <xdr:rowOff>0</xdr:rowOff>
    </xdr:to>
    <xdr:sp macro="" textlink="'pivot table'!C4">
      <xdr:nvSpPr>
        <xdr:cNvPr id="8" name="Rectangle 7">
          <a:extLst>
            <a:ext uri="{FF2B5EF4-FFF2-40B4-BE49-F238E27FC236}">
              <a16:creationId xmlns:a16="http://schemas.microsoft.com/office/drawing/2014/main" id="{192BF92B-F39C-4A10-B3A5-9F308F1DFC8B}"/>
            </a:ext>
          </a:extLst>
        </xdr:cNvPr>
        <xdr:cNvSpPr/>
      </xdr:nvSpPr>
      <xdr:spPr>
        <a:xfrm>
          <a:off x="3012656" y="2214651"/>
          <a:ext cx="2626013" cy="122080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331490</xdr:colOff>
      <xdr:row>8</xdr:row>
      <xdr:rowOff>1882</xdr:rowOff>
    </xdr:from>
    <xdr:to>
      <xdr:col>9</xdr:col>
      <xdr:colOff>172740</xdr:colOff>
      <xdr:row>11</xdr:row>
      <xdr:rowOff>166820</xdr:rowOff>
    </xdr:to>
    <xdr:sp macro="" textlink="">
      <xdr:nvSpPr>
        <xdr:cNvPr id="12" name="Rectangle: Top Corners Snipped 11">
          <a:hlinkClick xmlns:r="http://schemas.openxmlformats.org/officeDocument/2006/relationships" r:id="rId1"/>
          <a:extLst>
            <a:ext uri="{FF2B5EF4-FFF2-40B4-BE49-F238E27FC236}">
              <a16:creationId xmlns:a16="http://schemas.microsoft.com/office/drawing/2014/main" id="{EA914591-A206-4B45-81A6-F0E53780A962}"/>
            </a:ext>
          </a:extLst>
        </xdr:cNvPr>
        <xdr:cNvSpPr/>
      </xdr:nvSpPr>
      <xdr:spPr>
        <a:xfrm>
          <a:off x="2759558" y="1448390"/>
          <a:ext cx="2876335" cy="707379"/>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lt1"/>
              </a:solidFill>
              <a:effectLst/>
              <a:latin typeface="+mn-lt"/>
              <a:ea typeface="+mn-ea"/>
              <a:cs typeface="+mn-cs"/>
            </a:rPr>
            <a:t>Product Performance</a:t>
          </a:r>
          <a:endParaRPr lang="en-IN" sz="4400">
            <a:effectLst/>
          </a:endParaRPr>
        </a:p>
        <a:p>
          <a:pPr marL="0" indent="0" algn="ctr"/>
          <a:endParaRPr lang="en-IN" sz="2800" b="1">
            <a:solidFill>
              <a:schemeClr val="accent1"/>
            </a:solidFill>
            <a:latin typeface="+mn-lt"/>
            <a:ea typeface="+mn-ea"/>
            <a:cs typeface="+mn-cs"/>
          </a:endParaRPr>
        </a:p>
      </xdr:txBody>
    </xdr:sp>
    <xdr:clientData/>
  </xdr:twoCellAnchor>
  <xdr:twoCellAnchor>
    <xdr:from>
      <xdr:col>9</xdr:col>
      <xdr:colOff>231775</xdr:colOff>
      <xdr:row>7</xdr:row>
      <xdr:rowOff>143520</xdr:rowOff>
    </xdr:from>
    <xdr:to>
      <xdr:col>14</xdr:col>
      <xdr:colOff>73025</xdr:colOff>
      <xdr:row>12</xdr:row>
      <xdr:rowOff>806</xdr:rowOff>
    </xdr:to>
    <xdr:sp macro="" textlink="">
      <xdr:nvSpPr>
        <xdr:cNvPr id="13" name="Rectangle: Top Corners Snipped 12">
          <a:hlinkClick xmlns:r="http://schemas.openxmlformats.org/officeDocument/2006/relationships" r:id="rId2"/>
          <a:extLst>
            <a:ext uri="{FF2B5EF4-FFF2-40B4-BE49-F238E27FC236}">
              <a16:creationId xmlns:a16="http://schemas.microsoft.com/office/drawing/2014/main" id="{F2E6DD44-4F8C-479A-ABDB-2B2C7E2C6EEC}"/>
            </a:ext>
          </a:extLst>
        </xdr:cNvPr>
        <xdr:cNvSpPr/>
      </xdr:nvSpPr>
      <xdr:spPr>
        <a:xfrm>
          <a:off x="5694928" y="1409215"/>
          <a:ext cx="2876334" cy="761354"/>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Store Analysis</a:t>
          </a:r>
          <a:endParaRPr lang="en-IN" sz="4000">
            <a:effectLst/>
          </a:endParaRPr>
        </a:p>
        <a:p>
          <a:pPr marL="0" indent="0" algn="ctr"/>
          <a:endParaRPr lang="en-IN" sz="2000" b="1">
            <a:solidFill>
              <a:schemeClr val="accent1"/>
            </a:solidFill>
            <a:latin typeface="+mn-lt"/>
            <a:ea typeface="+mn-ea"/>
            <a:cs typeface="+mn-cs"/>
          </a:endParaRPr>
        </a:p>
      </xdr:txBody>
    </xdr:sp>
    <xdr:clientData/>
  </xdr:twoCellAnchor>
  <xdr:twoCellAnchor>
    <xdr:from>
      <xdr:col>14</xdr:col>
      <xdr:colOff>216545</xdr:colOff>
      <xdr:row>7</xdr:row>
      <xdr:rowOff>143090</xdr:rowOff>
    </xdr:from>
    <xdr:to>
      <xdr:col>19</xdr:col>
      <xdr:colOff>57795</xdr:colOff>
      <xdr:row>11</xdr:row>
      <xdr:rowOff>127215</xdr:rowOff>
    </xdr:to>
    <xdr:sp macro="" textlink="">
      <xdr:nvSpPr>
        <xdr:cNvPr id="14" name="Rectangle: Top Corners Snipped 13">
          <a:hlinkClick xmlns:r="http://schemas.openxmlformats.org/officeDocument/2006/relationships" r:id="rId3"/>
          <a:extLst>
            <a:ext uri="{FF2B5EF4-FFF2-40B4-BE49-F238E27FC236}">
              <a16:creationId xmlns:a16="http://schemas.microsoft.com/office/drawing/2014/main" id="{C464F960-82A5-4B5D-A474-291D3277BB4F}"/>
            </a:ext>
          </a:extLst>
        </xdr:cNvPr>
        <xdr:cNvSpPr/>
      </xdr:nvSpPr>
      <xdr:spPr>
        <a:xfrm>
          <a:off x="8714782" y="1408785"/>
          <a:ext cx="2876335" cy="707379"/>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chemeClr val="bg1"/>
              </a:solidFill>
              <a:latin typeface="+mn-lt"/>
              <a:ea typeface="+mn-ea"/>
              <a:cs typeface="+mn-cs"/>
            </a:rPr>
            <a:t>Sales Team Performance</a:t>
          </a:r>
        </a:p>
      </xdr:txBody>
    </xdr:sp>
    <xdr:clientData/>
  </xdr:twoCellAnchor>
  <xdr:twoCellAnchor>
    <xdr:from>
      <xdr:col>19</xdr:col>
      <xdr:colOff>203200</xdr:colOff>
      <xdr:row>7</xdr:row>
      <xdr:rowOff>92075</xdr:rowOff>
    </xdr:from>
    <xdr:to>
      <xdr:col>24</xdr:col>
      <xdr:colOff>44450</xdr:colOff>
      <xdr:row>11</xdr:row>
      <xdr:rowOff>76200</xdr:rowOff>
    </xdr:to>
    <xdr:sp macro="" textlink="">
      <xdr:nvSpPr>
        <xdr:cNvPr id="15" name="Rectangle: Top Corners Snipped 14">
          <a:hlinkClick xmlns:r="http://schemas.openxmlformats.org/officeDocument/2006/relationships" r:id="rId4"/>
          <a:extLst>
            <a:ext uri="{FF2B5EF4-FFF2-40B4-BE49-F238E27FC236}">
              <a16:creationId xmlns:a16="http://schemas.microsoft.com/office/drawing/2014/main" id="{D2C0FF80-5967-4D32-95B2-AA23C24C11D3}"/>
            </a:ext>
          </a:extLst>
        </xdr:cNvPr>
        <xdr:cNvSpPr/>
      </xdr:nvSpPr>
      <xdr:spPr>
        <a:xfrm>
          <a:off x="11785600" y="1372235"/>
          <a:ext cx="2889250" cy="715645"/>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solidFill>
                <a:schemeClr val="bg1"/>
              </a:solidFill>
              <a:latin typeface="+mn-lt"/>
              <a:ea typeface="+mn-ea"/>
              <a:cs typeface="+mn-cs"/>
            </a:rPr>
            <a:t>Customer</a:t>
          </a:r>
          <a:r>
            <a:rPr lang="en-IN" sz="2400" b="1" baseline="0">
              <a:solidFill>
                <a:schemeClr val="bg1"/>
              </a:solidFill>
              <a:latin typeface="+mn-lt"/>
              <a:ea typeface="+mn-ea"/>
              <a:cs typeface="+mn-cs"/>
            </a:rPr>
            <a:t> Analysis</a:t>
          </a:r>
          <a:endParaRPr lang="en-IN" sz="2400" b="1">
            <a:solidFill>
              <a:schemeClr val="bg1"/>
            </a:solidFill>
            <a:latin typeface="+mn-lt"/>
            <a:ea typeface="+mn-ea"/>
            <a:cs typeface="+mn-cs"/>
          </a:endParaRPr>
        </a:p>
      </xdr:txBody>
    </xdr:sp>
    <xdr:clientData/>
  </xdr:twoCellAnchor>
  <xdr:twoCellAnchor>
    <xdr:from>
      <xdr:col>0</xdr:col>
      <xdr:colOff>444500</xdr:colOff>
      <xdr:row>7</xdr:row>
      <xdr:rowOff>133350</xdr:rowOff>
    </xdr:from>
    <xdr:to>
      <xdr:col>4</xdr:col>
      <xdr:colOff>190500</xdr:colOff>
      <xdr:row>11</xdr:row>
      <xdr:rowOff>117475</xdr:rowOff>
    </xdr:to>
    <xdr:sp macro="" textlink="">
      <xdr:nvSpPr>
        <xdr:cNvPr id="16" name="Rectangle: Top Corners Snipped 15">
          <a:hlinkClick xmlns:r="http://schemas.openxmlformats.org/officeDocument/2006/relationships" r:id="rId5"/>
          <a:extLst>
            <a:ext uri="{FF2B5EF4-FFF2-40B4-BE49-F238E27FC236}">
              <a16:creationId xmlns:a16="http://schemas.microsoft.com/office/drawing/2014/main" id="{82756922-4CCA-47B9-8CD7-7B8B03C7A162}"/>
            </a:ext>
          </a:extLst>
        </xdr:cNvPr>
        <xdr:cNvSpPr/>
      </xdr:nvSpPr>
      <xdr:spPr>
        <a:xfrm>
          <a:off x="444500" y="1413510"/>
          <a:ext cx="2184400" cy="715645"/>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Overview</a:t>
          </a:r>
          <a:endParaRPr lang="en-IN">
            <a:effectLst/>
          </a:endParaRPr>
        </a:p>
        <a:p>
          <a:pPr algn="l"/>
          <a:endParaRPr lang="en-IN" sz="1100"/>
        </a:p>
      </xdr:txBody>
    </xdr:sp>
    <xdr:clientData/>
  </xdr:twoCellAnchor>
  <xdr:twoCellAnchor editAs="oneCell">
    <xdr:from>
      <xdr:col>23</xdr:col>
      <xdr:colOff>582610</xdr:colOff>
      <xdr:row>19</xdr:row>
      <xdr:rowOff>128542</xdr:rowOff>
    </xdr:from>
    <xdr:to>
      <xdr:col>27</xdr:col>
      <xdr:colOff>98542</xdr:colOff>
      <xdr:row>44</xdr:row>
      <xdr:rowOff>176167</xdr:rowOff>
    </xdr:to>
    <mc:AlternateContent xmlns:mc="http://schemas.openxmlformats.org/markup-compatibility/2006" xmlns:a14="http://schemas.microsoft.com/office/drawing/2010/main">
      <mc:Choice Requires="a14">
        <xdr:graphicFrame macro="">
          <xdr:nvGraphicFramePr>
            <xdr:cNvPr id="17" name="Product_Name 2">
              <a:extLst>
                <a:ext uri="{FF2B5EF4-FFF2-40B4-BE49-F238E27FC236}">
                  <a16:creationId xmlns:a16="http://schemas.microsoft.com/office/drawing/2014/main" id="{76DD1643-3751-4832-BEB7-6F7D5DE05351}"/>
                </a:ext>
              </a:extLst>
            </xdr:cNvPr>
            <xdr:cNvGraphicFramePr/>
          </xdr:nvGraphicFramePr>
          <xdr:xfrm>
            <a:off x="0" y="0"/>
            <a:ext cx="0" cy="0"/>
          </xdr:xfrm>
          <a:graphic>
            <a:graphicData uri="http://schemas.microsoft.com/office/drawing/2010/slicer">
              <sle:slicer xmlns:sle="http://schemas.microsoft.com/office/drawing/2010/slicer" name="Product_Name 2"/>
            </a:graphicData>
          </a:graphic>
        </xdr:graphicFrame>
      </mc:Choice>
      <mc:Fallback xmlns="">
        <xdr:sp macro="" textlink="">
          <xdr:nvSpPr>
            <xdr:cNvPr id="0" name=""/>
            <xdr:cNvSpPr>
              <a:spLocks noTextEdit="1"/>
            </xdr:cNvSpPr>
          </xdr:nvSpPr>
          <xdr:spPr>
            <a:xfrm>
              <a:off x="14544000" y="3564000"/>
              <a:ext cx="1944000" cy="4567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426204</xdr:colOff>
      <xdr:row>19</xdr:row>
      <xdr:rowOff>53444</xdr:rowOff>
    </xdr:from>
    <xdr:to>
      <xdr:col>23</xdr:col>
      <xdr:colOff>486549</xdr:colOff>
      <xdr:row>31</xdr:row>
      <xdr:rowOff>92858</xdr:rowOff>
    </xdr:to>
    <xdr:graphicFrame macro="">
      <xdr:nvGraphicFramePr>
        <xdr:cNvPr id="19" name="Chart 18">
          <a:extLst>
            <a:ext uri="{FF2B5EF4-FFF2-40B4-BE49-F238E27FC236}">
              <a16:creationId xmlns:a16="http://schemas.microsoft.com/office/drawing/2014/main" id="{5030A737-A46F-4BA0-9045-05F615DCF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455525</xdr:colOff>
      <xdr:row>12</xdr:row>
      <xdr:rowOff>90406</xdr:rowOff>
    </xdr:from>
    <xdr:to>
      <xdr:col>14</xdr:col>
      <xdr:colOff>46452</xdr:colOff>
      <xdr:row>18</xdr:row>
      <xdr:rowOff>116237</xdr:rowOff>
    </xdr:to>
    <xdr:sp macro="" textlink="">
      <xdr:nvSpPr>
        <xdr:cNvPr id="21" name="Rectangle 20">
          <a:extLst>
            <a:ext uri="{FF2B5EF4-FFF2-40B4-BE49-F238E27FC236}">
              <a16:creationId xmlns:a16="http://schemas.microsoft.com/office/drawing/2014/main" id="{AC450F37-9F57-44F4-B008-476D77B4EEB9}"/>
            </a:ext>
          </a:extLst>
        </xdr:cNvPr>
        <xdr:cNvSpPr/>
      </xdr:nvSpPr>
      <xdr:spPr>
        <a:xfrm>
          <a:off x="5918678" y="2260169"/>
          <a:ext cx="2626011" cy="111071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215791</xdr:colOff>
      <xdr:row>12</xdr:row>
      <xdr:rowOff>51661</xdr:rowOff>
    </xdr:from>
    <xdr:to>
      <xdr:col>18</xdr:col>
      <xdr:colOff>413736</xdr:colOff>
      <xdr:row>18</xdr:row>
      <xdr:rowOff>51661</xdr:rowOff>
    </xdr:to>
    <xdr:sp macro="" textlink="">
      <xdr:nvSpPr>
        <xdr:cNvPr id="22" name="Rectangle 21">
          <a:extLst>
            <a:ext uri="{FF2B5EF4-FFF2-40B4-BE49-F238E27FC236}">
              <a16:creationId xmlns:a16="http://schemas.microsoft.com/office/drawing/2014/main" id="{77E74740-A27B-42F0-9389-50F5F95A2626}"/>
            </a:ext>
          </a:extLst>
        </xdr:cNvPr>
        <xdr:cNvSpPr/>
      </xdr:nvSpPr>
      <xdr:spPr>
        <a:xfrm>
          <a:off x="8714028" y="2221424"/>
          <a:ext cx="2626013" cy="108488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66018</xdr:colOff>
      <xdr:row>11</xdr:row>
      <xdr:rowOff>179421</xdr:rowOff>
    </xdr:from>
    <xdr:to>
      <xdr:col>23</xdr:col>
      <xdr:colOff>263963</xdr:colOff>
      <xdr:row>18</xdr:row>
      <xdr:rowOff>179421</xdr:rowOff>
    </xdr:to>
    <xdr:sp macro="" textlink="">
      <xdr:nvSpPr>
        <xdr:cNvPr id="23" name="Rectangle 22">
          <a:extLst>
            <a:ext uri="{FF2B5EF4-FFF2-40B4-BE49-F238E27FC236}">
              <a16:creationId xmlns:a16="http://schemas.microsoft.com/office/drawing/2014/main" id="{98465B2E-BC9D-4D7E-8474-56D86462C63D}"/>
            </a:ext>
          </a:extLst>
        </xdr:cNvPr>
        <xdr:cNvSpPr/>
      </xdr:nvSpPr>
      <xdr:spPr>
        <a:xfrm>
          <a:off x="11548570" y="2202662"/>
          <a:ext cx="2615324" cy="128751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433552</xdr:colOff>
      <xdr:row>14</xdr:row>
      <xdr:rowOff>144518</xdr:rowOff>
    </xdr:from>
    <xdr:ext cx="1826172" cy="748861"/>
    <xdr:sp macro="" textlink="">
      <xdr:nvSpPr>
        <xdr:cNvPr id="24" name="TextBox 23">
          <a:extLst>
            <a:ext uri="{FF2B5EF4-FFF2-40B4-BE49-F238E27FC236}">
              <a16:creationId xmlns:a16="http://schemas.microsoft.com/office/drawing/2014/main" id="{295C47C4-E7BF-C435-EB3F-0A0BF1F7AD52}"/>
            </a:ext>
          </a:extLst>
        </xdr:cNvPr>
        <xdr:cNvSpPr txBox="1"/>
      </xdr:nvSpPr>
      <xdr:spPr>
        <a:xfrm>
          <a:off x="3455276" y="2719552"/>
          <a:ext cx="1826172" cy="7488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a:solidFill>
                <a:schemeClr val="accent2"/>
              </a:solidFill>
            </a:rPr>
            <a:t>Gross Sale Amount</a:t>
          </a:r>
        </a:p>
      </xdr:txBody>
    </xdr:sp>
    <xdr:clientData/>
  </xdr:oneCellAnchor>
  <xdr:oneCellAnchor>
    <xdr:from>
      <xdr:col>5</xdr:col>
      <xdr:colOff>433550</xdr:colOff>
      <xdr:row>12</xdr:row>
      <xdr:rowOff>170793</xdr:rowOff>
    </xdr:from>
    <xdr:ext cx="1970692" cy="374141"/>
    <xdr:sp macro="" textlink="'pivot table'!C4">
      <xdr:nvSpPr>
        <xdr:cNvPr id="25" name="TextBox 24">
          <a:extLst>
            <a:ext uri="{FF2B5EF4-FFF2-40B4-BE49-F238E27FC236}">
              <a16:creationId xmlns:a16="http://schemas.microsoft.com/office/drawing/2014/main" id="{0ADA1253-4F6C-3346-D6A5-2AAA5819E9B1}"/>
            </a:ext>
          </a:extLst>
        </xdr:cNvPr>
        <xdr:cNvSpPr txBox="1"/>
      </xdr:nvSpPr>
      <xdr:spPr>
        <a:xfrm>
          <a:off x="3455274" y="2377965"/>
          <a:ext cx="197069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89654A14-EB17-40BF-805C-8317174F99FA}" type="TxLink">
            <a:rPr lang="en-US" sz="1800" b="1" i="0" u="none" strike="noStrike">
              <a:solidFill>
                <a:schemeClr val="accent1"/>
              </a:solidFill>
              <a:latin typeface="Calibri"/>
              <a:ea typeface="Calibri"/>
              <a:cs typeface="Calibri"/>
            </a:rPr>
            <a:pPr marL="0" indent="0" algn="ctr"/>
            <a:t>₹ 24,70,94,629.82</a:t>
          </a:fld>
          <a:endParaRPr lang="en-IN" sz="1800" b="1" i="0" u="none" strike="noStrike">
            <a:solidFill>
              <a:schemeClr val="accent1"/>
            </a:solidFill>
            <a:latin typeface="Calibri"/>
            <a:ea typeface="Calibri"/>
            <a:cs typeface="Calibri"/>
          </a:endParaRPr>
        </a:p>
      </xdr:txBody>
    </xdr:sp>
    <xdr:clientData/>
  </xdr:oneCellAnchor>
  <xdr:oneCellAnchor>
    <xdr:from>
      <xdr:col>10</xdr:col>
      <xdr:colOff>126124</xdr:colOff>
      <xdr:row>14</xdr:row>
      <xdr:rowOff>86711</xdr:rowOff>
    </xdr:from>
    <xdr:ext cx="1826172" cy="748861"/>
    <xdr:sp macro="" textlink="">
      <xdr:nvSpPr>
        <xdr:cNvPr id="27" name="TextBox 26">
          <a:extLst>
            <a:ext uri="{FF2B5EF4-FFF2-40B4-BE49-F238E27FC236}">
              <a16:creationId xmlns:a16="http://schemas.microsoft.com/office/drawing/2014/main" id="{DBADB10F-90FF-453B-BC47-1CBA2D4A8016}"/>
            </a:ext>
          </a:extLst>
        </xdr:cNvPr>
        <xdr:cNvSpPr txBox="1"/>
      </xdr:nvSpPr>
      <xdr:spPr>
        <a:xfrm>
          <a:off x="6169572" y="2661745"/>
          <a:ext cx="1826172" cy="7488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a:solidFill>
                <a:schemeClr val="accent2"/>
              </a:solidFill>
            </a:rPr>
            <a:t>Total Sales Amount</a:t>
          </a:r>
        </a:p>
      </xdr:txBody>
    </xdr:sp>
    <xdr:clientData/>
  </xdr:oneCellAnchor>
  <xdr:oneCellAnchor>
    <xdr:from>
      <xdr:col>10</xdr:col>
      <xdr:colOff>178673</xdr:colOff>
      <xdr:row>12</xdr:row>
      <xdr:rowOff>112986</xdr:rowOff>
    </xdr:from>
    <xdr:ext cx="1936533" cy="374141"/>
    <xdr:sp macro="" textlink="'pivot table'!C8">
      <xdr:nvSpPr>
        <xdr:cNvPr id="28" name="TextBox 27">
          <a:extLst>
            <a:ext uri="{FF2B5EF4-FFF2-40B4-BE49-F238E27FC236}">
              <a16:creationId xmlns:a16="http://schemas.microsoft.com/office/drawing/2014/main" id="{948CBBC2-2067-4824-8308-FBE0A695D482}"/>
            </a:ext>
          </a:extLst>
        </xdr:cNvPr>
        <xdr:cNvSpPr txBox="1"/>
      </xdr:nvSpPr>
      <xdr:spPr>
        <a:xfrm>
          <a:off x="6222121" y="2320158"/>
          <a:ext cx="193653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69E00760-80AC-4D84-A3FC-1CEEFA26893A}" type="TxLink">
            <a:rPr lang="en-US" sz="1800" b="1" i="0" u="none" strike="noStrike">
              <a:solidFill>
                <a:schemeClr val="accent1"/>
              </a:solidFill>
              <a:latin typeface="Calibri"/>
              <a:ea typeface="Calibri"/>
              <a:cs typeface="Calibri"/>
            </a:rPr>
            <a:pPr marL="0" indent="0" algn="ctr"/>
            <a:t>₹ 22,33,15,947.87</a:t>
          </a:fld>
          <a:endParaRPr lang="en-IN" sz="1800" b="1" i="0" u="none" strike="noStrike">
            <a:solidFill>
              <a:schemeClr val="accent1"/>
            </a:solidFill>
            <a:latin typeface="Calibri"/>
            <a:ea typeface="Calibri"/>
            <a:cs typeface="Calibri"/>
          </a:endParaRPr>
        </a:p>
      </xdr:txBody>
    </xdr:sp>
    <xdr:clientData/>
  </xdr:oneCellAnchor>
  <xdr:oneCellAnchor>
    <xdr:from>
      <xdr:col>15</xdr:col>
      <xdr:colOff>28903</xdr:colOff>
      <xdr:row>14</xdr:row>
      <xdr:rowOff>107732</xdr:rowOff>
    </xdr:from>
    <xdr:ext cx="1826172" cy="748861"/>
    <xdr:sp macro="" textlink="">
      <xdr:nvSpPr>
        <xdr:cNvPr id="29" name="TextBox 28">
          <a:extLst>
            <a:ext uri="{FF2B5EF4-FFF2-40B4-BE49-F238E27FC236}">
              <a16:creationId xmlns:a16="http://schemas.microsoft.com/office/drawing/2014/main" id="{AD5F481D-2133-4A92-86D4-AA80A4E9DC54}"/>
            </a:ext>
          </a:extLst>
        </xdr:cNvPr>
        <xdr:cNvSpPr txBox="1"/>
      </xdr:nvSpPr>
      <xdr:spPr>
        <a:xfrm>
          <a:off x="9094075" y="2682766"/>
          <a:ext cx="1826172" cy="7488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solidFill>
                <a:schemeClr val="accent2"/>
              </a:solidFill>
            </a:rPr>
            <a:t>Average</a:t>
          </a:r>
          <a:r>
            <a:rPr lang="en-IN" sz="2000" b="1" baseline="0">
              <a:solidFill>
                <a:schemeClr val="accent2"/>
              </a:solidFill>
            </a:rPr>
            <a:t> Discount Price</a:t>
          </a:r>
        </a:p>
        <a:p>
          <a:pPr algn="ctr"/>
          <a:endParaRPr lang="en-IN" sz="2000" b="1">
            <a:solidFill>
              <a:schemeClr val="accent2"/>
            </a:solidFill>
          </a:endParaRPr>
        </a:p>
      </xdr:txBody>
    </xdr:sp>
    <xdr:clientData/>
  </xdr:oneCellAnchor>
  <xdr:oneCellAnchor>
    <xdr:from>
      <xdr:col>14</xdr:col>
      <xdr:colOff>541279</xdr:colOff>
      <xdr:row>12</xdr:row>
      <xdr:rowOff>120869</xdr:rowOff>
    </xdr:from>
    <xdr:ext cx="1936533" cy="374141"/>
    <xdr:sp macro="" textlink="'pivot table'!C12">
      <xdr:nvSpPr>
        <xdr:cNvPr id="30" name="TextBox 29">
          <a:extLst>
            <a:ext uri="{FF2B5EF4-FFF2-40B4-BE49-F238E27FC236}">
              <a16:creationId xmlns:a16="http://schemas.microsoft.com/office/drawing/2014/main" id="{89A0744D-2795-4FAB-83B6-CB3C05BDAC86}"/>
            </a:ext>
          </a:extLst>
        </xdr:cNvPr>
        <xdr:cNvSpPr txBox="1"/>
      </xdr:nvSpPr>
      <xdr:spPr>
        <a:xfrm>
          <a:off x="9002107" y="2328041"/>
          <a:ext cx="193653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02F129DA-555D-4CBC-9C5F-C1522869DD92}" type="TxLink">
            <a:rPr lang="en-US" sz="1800" b="1" i="0" u="none" strike="noStrike">
              <a:solidFill>
                <a:schemeClr val="accent1"/>
              </a:solidFill>
              <a:latin typeface="Calibri"/>
              <a:ea typeface="Calibri"/>
              <a:cs typeface="Calibri"/>
            </a:rPr>
            <a:pPr marL="0" indent="0" algn="ctr"/>
            <a:t>9.96</a:t>
          </a:fld>
          <a:endParaRPr lang="en-IN" sz="1800" b="1" i="0" u="none" strike="noStrike">
            <a:solidFill>
              <a:schemeClr val="accent1"/>
            </a:solidFill>
            <a:latin typeface="Calibri"/>
            <a:ea typeface="Calibri"/>
            <a:cs typeface="Calibri"/>
          </a:endParaRPr>
        </a:p>
      </xdr:txBody>
    </xdr:sp>
    <xdr:clientData/>
  </xdr:oneCellAnchor>
  <xdr:oneCellAnchor>
    <xdr:from>
      <xdr:col>19</xdr:col>
      <xdr:colOff>496613</xdr:colOff>
      <xdr:row>14</xdr:row>
      <xdr:rowOff>128753</xdr:rowOff>
    </xdr:from>
    <xdr:ext cx="1826172" cy="748861"/>
    <xdr:sp macro="" textlink="">
      <xdr:nvSpPr>
        <xdr:cNvPr id="31" name="TextBox 30">
          <a:extLst>
            <a:ext uri="{FF2B5EF4-FFF2-40B4-BE49-F238E27FC236}">
              <a16:creationId xmlns:a16="http://schemas.microsoft.com/office/drawing/2014/main" id="{BB7BF85E-16BB-4B4F-9F2C-538A8A03A6A2}"/>
            </a:ext>
          </a:extLst>
        </xdr:cNvPr>
        <xdr:cNvSpPr txBox="1"/>
      </xdr:nvSpPr>
      <xdr:spPr>
        <a:xfrm>
          <a:off x="11979165" y="2703787"/>
          <a:ext cx="1826172" cy="7488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baseline="0">
              <a:solidFill>
                <a:schemeClr val="accent2"/>
              </a:solidFill>
            </a:rPr>
            <a:t>Total Discount Amount</a:t>
          </a:r>
        </a:p>
        <a:p>
          <a:pPr algn="ctr"/>
          <a:endParaRPr lang="en-IN" sz="2000" b="1" baseline="0">
            <a:solidFill>
              <a:schemeClr val="accent2"/>
            </a:solidFill>
          </a:endParaRPr>
        </a:p>
        <a:p>
          <a:pPr algn="ctr"/>
          <a:endParaRPr lang="en-IN" sz="2000" b="1">
            <a:solidFill>
              <a:schemeClr val="accent2"/>
            </a:solidFill>
          </a:endParaRPr>
        </a:p>
      </xdr:txBody>
    </xdr:sp>
    <xdr:clientData/>
  </xdr:oneCellAnchor>
  <xdr:oneCellAnchor>
    <xdr:from>
      <xdr:col>19</xdr:col>
      <xdr:colOff>483473</xdr:colOff>
      <xdr:row>12</xdr:row>
      <xdr:rowOff>155027</xdr:rowOff>
    </xdr:from>
    <xdr:ext cx="1936533" cy="374141"/>
    <xdr:sp macro="" textlink="'pivot table'!C15">
      <xdr:nvSpPr>
        <xdr:cNvPr id="32" name="TextBox 31">
          <a:extLst>
            <a:ext uri="{FF2B5EF4-FFF2-40B4-BE49-F238E27FC236}">
              <a16:creationId xmlns:a16="http://schemas.microsoft.com/office/drawing/2014/main" id="{51F81B41-99E8-473D-B98E-3522C00FF87C}"/>
            </a:ext>
          </a:extLst>
        </xdr:cNvPr>
        <xdr:cNvSpPr txBox="1"/>
      </xdr:nvSpPr>
      <xdr:spPr>
        <a:xfrm>
          <a:off x="11966025" y="2362199"/>
          <a:ext cx="193653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FE397B5E-BE86-47A6-A41C-D8EEB0F090F3}" type="TxLink">
            <a:rPr lang="en-US" sz="1800" b="1" i="0" u="none" strike="noStrike">
              <a:solidFill>
                <a:schemeClr val="accent1"/>
              </a:solidFill>
              <a:latin typeface="Calibri"/>
              <a:ea typeface="Calibri"/>
              <a:cs typeface="Calibri"/>
            </a:rPr>
            <a:pPr marL="0" indent="0" algn="ctr"/>
            <a:t>₹ 2,37,78,681.95</a:t>
          </a:fld>
          <a:endParaRPr lang="en-IN" sz="1800" b="1" i="0" u="none" strike="noStrike">
            <a:solidFill>
              <a:schemeClr val="accent1"/>
            </a:solidFill>
            <a:latin typeface="Calibri"/>
            <a:ea typeface="Calibri"/>
            <a:cs typeface="Calibri"/>
          </a:endParaRPr>
        </a:p>
      </xdr:txBody>
    </xdr:sp>
    <xdr:clientData/>
  </xdr:oneCellAnchor>
  <xdr:twoCellAnchor>
    <xdr:from>
      <xdr:col>0</xdr:col>
      <xdr:colOff>479778</xdr:colOff>
      <xdr:row>4</xdr:row>
      <xdr:rowOff>142068</xdr:rowOff>
    </xdr:from>
    <xdr:to>
      <xdr:col>27</xdr:col>
      <xdr:colOff>197556</xdr:colOff>
      <xdr:row>7</xdr:row>
      <xdr:rowOff>77491</xdr:rowOff>
    </xdr:to>
    <xdr:sp macro="" textlink="">
      <xdr:nvSpPr>
        <xdr:cNvPr id="34" name="Rectangle 33">
          <a:extLst>
            <a:ext uri="{FF2B5EF4-FFF2-40B4-BE49-F238E27FC236}">
              <a16:creationId xmlns:a16="http://schemas.microsoft.com/office/drawing/2014/main" id="{B3CB7A2D-52DC-4553-9079-0D1141C04CC9}"/>
            </a:ext>
          </a:extLst>
        </xdr:cNvPr>
        <xdr:cNvSpPr/>
      </xdr:nvSpPr>
      <xdr:spPr>
        <a:xfrm>
          <a:off x="479778" y="875846"/>
          <a:ext cx="16100778" cy="485756"/>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OVERVIEW</a:t>
          </a:r>
        </a:p>
      </xdr:txBody>
    </xdr:sp>
    <xdr:clientData/>
  </xdr:twoCellAnchor>
  <xdr:twoCellAnchor editAs="oneCell">
    <xdr:from>
      <xdr:col>24</xdr:col>
      <xdr:colOff>45735</xdr:colOff>
      <xdr:row>5</xdr:row>
      <xdr:rowOff>155850</xdr:rowOff>
    </xdr:from>
    <xdr:to>
      <xdr:col>27</xdr:col>
      <xdr:colOff>45735</xdr:colOff>
      <xdr:row>19</xdr:row>
      <xdr:rowOff>89175</xdr:rowOff>
    </xdr:to>
    <mc:AlternateContent xmlns:mc="http://schemas.openxmlformats.org/markup-compatibility/2006" xmlns:a14="http://schemas.microsoft.com/office/drawing/2010/main">
      <mc:Choice Requires="a14">
        <xdr:graphicFrame macro="">
          <xdr:nvGraphicFramePr>
            <xdr:cNvPr id="7" name="Sales_Representative 2">
              <a:extLst>
                <a:ext uri="{FF2B5EF4-FFF2-40B4-BE49-F238E27FC236}">
                  <a16:creationId xmlns:a16="http://schemas.microsoft.com/office/drawing/2014/main" id="{1F21B4EA-1EE3-4816-9A0C-BF05DAE57BAF}"/>
                </a:ext>
              </a:extLst>
            </xdr:cNvPr>
            <xdr:cNvGraphicFramePr/>
          </xdr:nvGraphicFramePr>
          <xdr:xfrm>
            <a:off x="0" y="0"/>
            <a:ext cx="0" cy="0"/>
          </xdr:xfrm>
          <a:graphic>
            <a:graphicData uri="http://schemas.microsoft.com/office/drawing/2010/slicer">
              <sle:slicer xmlns:sle="http://schemas.microsoft.com/office/drawing/2010/slicer" name="Sales_Representative 2"/>
            </a:graphicData>
          </a:graphic>
        </xdr:graphicFrame>
      </mc:Choice>
      <mc:Fallback xmlns="">
        <xdr:sp macro="" textlink="">
          <xdr:nvSpPr>
            <xdr:cNvPr id="0" name=""/>
            <xdr:cNvSpPr>
              <a:spLocks noTextEdit="1"/>
            </xdr:cNvSpPr>
          </xdr:nvSpPr>
          <xdr:spPr>
            <a:xfrm>
              <a:off x="14614142" y="1059918"/>
              <a:ext cx="1821051" cy="2464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464949</xdr:colOff>
      <xdr:row>11</xdr:row>
      <xdr:rowOff>142068</xdr:rowOff>
    </xdr:from>
    <xdr:to>
      <xdr:col>4</xdr:col>
      <xdr:colOff>232474</xdr:colOff>
      <xdr:row>20</xdr:row>
      <xdr:rowOff>25831</xdr:rowOff>
    </xdr:to>
    <mc:AlternateContent xmlns:mc="http://schemas.openxmlformats.org/markup-compatibility/2006" xmlns:a14="http://schemas.microsoft.com/office/drawing/2010/main">
      <mc:Choice Requires="a14">
        <xdr:graphicFrame macro="">
          <xdr:nvGraphicFramePr>
            <xdr:cNvPr id="10" name="Month 2">
              <a:extLst>
                <a:ext uri="{FF2B5EF4-FFF2-40B4-BE49-F238E27FC236}">
                  <a16:creationId xmlns:a16="http://schemas.microsoft.com/office/drawing/2014/main" id="{F1DB6139-5922-4E60-A785-94312496717F}"/>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348713" y="2131017"/>
              <a:ext cx="2544304" cy="1511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387458</xdr:colOff>
      <xdr:row>19</xdr:row>
      <xdr:rowOff>90406</xdr:rowOff>
    </xdr:from>
    <xdr:to>
      <xdr:col>11</xdr:col>
      <xdr:colOff>284136</xdr:colOff>
      <xdr:row>45</xdr:row>
      <xdr:rowOff>77491</xdr:rowOff>
    </xdr:to>
    <xdr:graphicFrame macro="">
      <xdr:nvGraphicFramePr>
        <xdr:cNvPr id="4" name="Chart 3">
          <a:extLst>
            <a:ext uri="{FF2B5EF4-FFF2-40B4-BE49-F238E27FC236}">
              <a16:creationId xmlns:a16="http://schemas.microsoft.com/office/drawing/2014/main" id="{8A05EFEB-6A12-4B41-8D9A-76682BE01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426204</xdr:colOff>
      <xdr:row>32</xdr:row>
      <xdr:rowOff>64575</xdr:rowOff>
    </xdr:from>
    <xdr:to>
      <xdr:col>23</xdr:col>
      <xdr:colOff>452033</xdr:colOff>
      <xdr:row>45</xdr:row>
      <xdr:rowOff>129152</xdr:rowOff>
    </xdr:to>
    <xdr:graphicFrame macro="">
      <xdr:nvGraphicFramePr>
        <xdr:cNvPr id="9" name="Chart 8">
          <a:extLst>
            <a:ext uri="{FF2B5EF4-FFF2-40B4-BE49-F238E27FC236}">
              <a16:creationId xmlns:a16="http://schemas.microsoft.com/office/drawing/2014/main" id="{7AE38FBA-D198-4C6D-8B22-6E06201AD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335280</xdr:colOff>
      <xdr:row>0</xdr:row>
      <xdr:rowOff>114300</xdr:rowOff>
    </xdr:from>
    <xdr:to>
      <xdr:col>27</xdr:col>
      <xdr:colOff>83507</xdr:colOff>
      <xdr:row>45</xdr:row>
      <xdr:rowOff>11723</xdr:rowOff>
    </xdr:to>
    <xdr:sp macro="" textlink="">
      <xdr:nvSpPr>
        <xdr:cNvPr id="2" name="Rectangle 1">
          <a:extLst>
            <a:ext uri="{FF2B5EF4-FFF2-40B4-BE49-F238E27FC236}">
              <a16:creationId xmlns:a16="http://schemas.microsoft.com/office/drawing/2014/main" id="{043B42E2-E80F-4885-9F46-3A3A6372EBBF}"/>
            </a:ext>
          </a:extLst>
        </xdr:cNvPr>
        <xdr:cNvSpPr/>
      </xdr:nvSpPr>
      <xdr:spPr>
        <a:xfrm>
          <a:off x="335280" y="114300"/>
          <a:ext cx="16207427" cy="8127023"/>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343647</xdr:colOff>
      <xdr:row>0</xdr:row>
      <xdr:rowOff>103309</xdr:rowOff>
    </xdr:from>
    <xdr:to>
      <xdr:col>27</xdr:col>
      <xdr:colOff>87923</xdr:colOff>
      <xdr:row>4</xdr:row>
      <xdr:rowOff>117230</xdr:rowOff>
    </xdr:to>
    <xdr:sp macro="" textlink="">
      <xdr:nvSpPr>
        <xdr:cNvPr id="3" name="Rectangle 2">
          <a:extLst>
            <a:ext uri="{FF2B5EF4-FFF2-40B4-BE49-F238E27FC236}">
              <a16:creationId xmlns:a16="http://schemas.microsoft.com/office/drawing/2014/main" id="{9EC7FC92-789D-4BD9-AD78-7F5F2348B8C3}"/>
            </a:ext>
          </a:extLst>
        </xdr:cNvPr>
        <xdr:cNvSpPr/>
      </xdr:nvSpPr>
      <xdr:spPr>
        <a:xfrm>
          <a:off x="343647" y="103309"/>
          <a:ext cx="16284158" cy="73109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SALES</a:t>
          </a:r>
          <a:r>
            <a:rPr lang="en-IN" sz="2800" b="1" baseline="0">
              <a:solidFill>
                <a:schemeClr val="bg1"/>
              </a:solidFill>
            </a:rPr>
            <a:t> ANALYSIS DASHBOARD</a:t>
          </a:r>
          <a:endParaRPr lang="en-IN" sz="2800" b="1">
            <a:solidFill>
              <a:schemeClr val="bg1"/>
            </a:solidFill>
          </a:endParaRPr>
        </a:p>
      </xdr:txBody>
    </xdr:sp>
    <xdr:clientData/>
  </xdr:twoCellAnchor>
  <xdr:twoCellAnchor editAs="oneCell">
    <xdr:from>
      <xdr:col>0</xdr:col>
      <xdr:colOff>335280</xdr:colOff>
      <xdr:row>20</xdr:row>
      <xdr:rowOff>63500</xdr:rowOff>
    </xdr:from>
    <xdr:to>
      <xdr:col>4</xdr:col>
      <xdr:colOff>441960</xdr:colOff>
      <xdr:row>31</xdr:row>
      <xdr:rowOff>127000</xdr:rowOff>
    </xdr:to>
    <mc:AlternateContent xmlns:mc="http://schemas.openxmlformats.org/markup-compatibility/2006" xmlns:a14="http://schemas.microsoft.com/office/drawing/2010/main">
      <mc:Choice Requires="a14">
        <xdr:graphicFrame macro="">
          <xdr:nvGraphicFramePr>
            <xdr:cNvPr id="5" name="Product_Category 3">
              <a:extLst>
                <a:ext uri="{FF2B5EF4-FFF2-40B4-BE49-F238E27FC236}">
                  <a16:creationId xmlns:a16="http://schemas.microsoft.com/office/drawing/2014/main" id="{98044CFD-700A-4B1F-AB05-72B83036BB70}"/>
                </a:ext>
              </a:extLst>
            </xdr:cNvPr>
            <xdr:cNvGraphicFramePr/>
          </xdr:nvGraphicFramePr>
          <xdr:xfrm>
            <a:off x="0" y="0"/>
            <a:ext cx="0" cy="0"/>
          </xdr:xfrm>
          <a:graphic>
            <a:graphicData uri="http://schemas.microsoft.com/office/drawing/2010/slicer">
              <sle:slicer xmlns:sle="http://schemas.microsoft.com/office/drawing/2010/slicer" name="Product_Category 3"/>
            </a:graphicData>
          </a:graphic>
        </xdr:graphicFrame>
      </mc:Choice>
      <mc:Fallback xmlns="">
        <xdr:sp macro="" textlink="">
          <xdr:nvSpPr>
            <xdr:cNvPr id="0" name=""/>
            <xdr:cNvSpPr>
              <a:spLocks noTextEdit="1"/>
            </xdr:cNvSpPr>
          </xdr:nvSpPr>
          <xdr:spPr>
            <a:xfrm>
              <a:off x="335280" y="3873500"/>
              <a:ext cx="2519680" cy="215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322873</xdr:colOff>
      <xdr:row>31</xdr:row>
      <xdr:rowOff>111126</xdr:rowOff>
    </xdr:from>
    <xdr:to>
      <xdr:col>4</xdr:col>
      <xdr:colOff>429553</xdr:colOff>
      <xdr:row>43</xdr:row>
      <xdr:rowOff>158152</xdr:rowOff>
    </xdr:to>
    <mc:AlternateContent xmlns:mc="http://schemas.openxmlformats.org/markup-compatibility/2006" xmlns:a14="http://schemas.microsoft.com/office/drawing/2010/main">
      <mc:Choice Requires="a14">
        <xdr:graphicFrame macro="">
          <xdr:nvGraphicFramePr>
            <xdr:cNvPr id="6" name="Store_Location 3">
              <a:extLst>
                <a:ext uri="{FF2B5EF4-FFF2-40B4-BE49-F238E27FC236}">
                  <a16:creationId xmlns:a16="http://schemas.microsoft.com/office/drawing/2014/main" id="{7E72418E-8AC6-4F39-BC69-ACF54259EF1D}"/>
                </a:ext>
              </a:extLst>
            </xdr:cNvPr>
            <xdr:cNvGraphicFramePr/>
          </xdr:nvGraphicFramePr>
          <xdr:xfrm>
            <a:off x="0" y="0"/>
            <a:ext cx="0" cy="0"/>
          </xdr:xfrm>
          <a:graphic>
            <a:graphicData uri="http://schemas.microsoft.com/office/drawing/2010/slicer">
              <sle:slicer xmlns:sle="http://schemas.microsoft.com/office/drawing/2010/slicer" name="Store_Location 3"/>
            </a:graphicData>
          </a:graphic>
        </xdr:graphicFrame>
      </mc:Choice>
      <mc:Fallback xmlns="">
        <xdr:sp macro="" textlink="">
          <xdr:nvSpPr>
            <xdr:cNvPr id="0" name=""/>
            <xdr:cNvSpPr>
              <a:spLocks noTextEdit="1"/>
            </xdr:cNvSpPr>
          </xdr:nvSpPr>
          <xdr:spPr>
            <a:xfrm>
              <a:off x="322873" y="6016625"/>
              <a:ext cx="2519680" cy="253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297132</xdr:colOff>
      <xdr:row>7</xdr:row>
      <xdr:rowOff>136884</xdr:rowOff>
    </xdr:from>
    <xdr:to>
      <xdr:col>9</xdr:col>
      <xdr:colOff>138382</xdr:colOff>
      <xdr:row>11</xdr:row>
      <xdr:rowOff>121009</xdr:rowOff>
    </xdr:to>
    <xdr:sp macro="" textlink="">
      <xdr:nvSpPr>
        <xdr:cNvPr id="12" name="Rectangle: Top Corners Snipped 11">
          <a:hlinkClick xmlns:r="http://schemas.openxmlformats.org/officeDocument/2006/relationships" r:id="rId1"/>
          <a:extLst>
            <a:ext uri="{FF2B5EF4-FFF2-40B4-BE49-F238E27FC236}">
              <a16:creationId xmlns:a16="http://schemas.microsoft.com/office/drawing/2014/main" id="{3A2882EC-4D06-4210-B9A0-A49036A1AF3E}"/>
            </a:ext>
          </a:extLst>
        </xdr:cNvPr>
        <xdr:cNvSpPr/>
      </xdr:nvSpPr>
      <xdr:spPr>
        <a:xfrm>
          <a:off x="2712528" y="1445224"/>
          <a:ext cx="2860496" cy="731747"/>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lt1"/>
              </a:solidFill>
              <a:effectLst/>
              <a:latin typeface="+mn-lt"/>
              <a:ea typeface="+mn-ea"/>
              <a:cs typeface="+mn-cs"/>
            </a:rPr>
            <a:t>Product Performance</a:t>
          </a:r>
          <a:endParaRPr lang="en-IN" sz="4400">
            <a:effectLst/>
          </a:endParaRPr>
        </a:p>
        <a:p>
          <a:pPr marL="0" indent="0" algn="ctr"/>
          <a:endParaRPr lang="en-IN" sz="2800" b="1">
            <a:solidFill>
              <a:schemeClr val="accent1"/>
            </a:solidFill>
            <a:latin typeface="+mn-lt"/>
            <a:ea typeface="+mn-ea"/>
            <a:cs typeface="+mn-cs"/>
          </a:endParaRPr>
        </a:p>
      </xdr:txBody>
    </xdr:sp>
    <xdr:clientData/>
  </xdr:twoCellAnchor>
  <xdr:twoCellAnchor>
    <xdr:from>
      <xdr:col>9</xdr:col>
      <xdr:colOff>231775</xdr:colOff>
      <xdr:row>7</xdr:row>
      <xdr:rowOff>104775</xdr:rowOff>
    </xdr:from>
    <xdr:to>
      <xdr:col>14</xdr:col>
      <xdr:colOff>73025</xdr:colOff>
      <xdr:row>11</xdr:row>
      <xdr:rowOff>142875</xdr:rowOff>
    </xdr:to>
    <xdr:sp macro="" textlink="">
      <xdr:nvSpPr>
        <xdr:cNvPr id="13" name="Rectangle: Top Corners Snipped 12">
          <a:hlinkClick xmlns:r="http://schemas.openxmlformats.org/officeDocument/2006/relationships" r:id="rId2"/>
          <a:extLst>
            <a:ext uri="{FF2B5EF4-FFF2-40B4-BE49-F238E27FC236}">
              <a16:creationId xmlns:a16="http://schemas.microsoft.com/office/drawing/2014/main" id="{B420786B-4A0C-4438-BB45-484974633668}"/>
            </a:ext>
          </a:extLst>
        </xdr:cNvPr>
        <xdr:cNvSpPr/>
      </xdr:nvSpPr>
      <xdr:spPr>
        <a:xfrm>
          <a:off x="5718175" y="1384935"/>
          <a:ext cx="2889250" cy="769620"/>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Store Analysis</a:t>
          </a:r>
          <a:endParaRPr lang="en-IN" sz="4000">
            <a:effectLst/>
          </a:endParaRPr>
        </a:p>
        <a:p>
          <a:pPr marL="0" indent="0" algn="ctr"/>
          <a:endParaRPr lang="en-IN" sz="2000" b="1">
            <a:solidFill>
              <a:schemeClr val="accent1"/>
            </a:solidFill>
            <a:latin typeface="+mn-lt"/>
            <a:ea typeface="+mn-ea"/>
            <a:cs typeface="+mn-cs"/>
          </a:endParaRPr>
        </a:p>
      </xdr:txBody>
    </xdr:sp>
    <xdr:clientData/>
  </xdr:twoCellAnchor>
  <xdr:twoCellAnchor>
    <xdr:from>
      <xdr:col>14</xdr:col>
      <xdr:colOff>235309</xdr:colOff>
      <xdr:row>7</xdr:row>
      <xdr:rowOff>71887</xdr:rowOff>
    </xdr:from>
    <xdr:to>
      <xdr:col>19</xdr:col>
      <xdr:colOff>76559</xdr:colOff>
      <xdr:row>11</xdr:row>
      <xdr:rowOff>128679</xdr:rowOff>
    </xdr:to>
    <xdr:sp macro="" textlink="">
      <xdr:nvSpPr>
        <xdr:cNvPr id="14" name="Rectangle: Top Corners Snipped 13">
          <a:hlinkClick xmlns:r="http://schemas.openxmlformats.org/officeDocument/2006/relationships" r:id="rId3"/>
          <a:extLst>
            <a:ext uri="{FF2B5EF4-FFF2-40B4-BE49-F238E27FC236}">
              <a16:creationId xmlns:a16="http://schemas.microsoft.com/office/drawing/2014/main" id="{F1D7225B-B9C2-425D-A85A-7BD728562A63}"/>
            </a:ext>
          </a:extLst>
        </xdr:cNvPr>
        <xdr:cNvSpPr/>
      </xdr:nvSpPr>
      <xdr:spPr>
        <a:xfrm>
          <a:off x="8689196" y="1380227"/>
          <a:ext cx="2860495" cy="804414"/>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chemeClr val="bg1"/>
              </a:solidFill>
              <a:latin typeface="+mn-lt"/>
              <a:ea typeface="+mn-ea"/>
              <a:cs typeface="+mn-cs"/>
            </a:rPr>
            <a:t>Sales Team Performance</a:t>
          </a:r>
        </a:p>
      </xdr:txBody>
    </xdr:sp>
    <xdr:clientData/>
  </xdr:twoCellAnchor>
  <xdr:twoCellAnchor>
    <xdr:from>
      <xdr:col>19</xdr:col>
      <xdr:colOff>203200</xdr:colOff>
      <xdr:row>7</xdr:row>
      <xdr:rowOff>92075</xdr:rowOff>
    </xdr:from>
    <xdr:to>
      <xdr:col>24</xdr:col>
      <xdr:colOff>44450</xdr:colOff>
      <xdr:row>11</xdr:row>
      <xdr:rowOff>76200</xdr:rowOff>
    </xdr:to>
    <xdr:sp macro="" textlink="">
      <xdr:nvSpPr>
        <xdr:cNvPr id="15" name="Rectangle: Top Corners Snipped 14">
          <a:hlinkClick xmlns:r="http://schemas.openxmlformats.org/officeDocument/2006/relationships" r:id="rId4"/>
          <a:extLst>
            <a:ext uri="{FF2B5EF4-FFF2-40B4-BE49-F238E27FC236}">
              <a16:creationId xmlns:a16="http://schemas.microsoft.com/office/drawing/2014/main" id="{CA8C70B1-CAB4-4C03-955A-4E90EEF2733E}"/>
            </a:ext>
          </a:extLst>
        </xdr:cNvPr>
        <xdr:cNvSpPr/>
      </xdr:nvSpPr>
      <xdr:spPr>
        <a:xfrm>
          <a:off x="11785600" y="1372235"/>
          <a:ext cx="2889250" cy="715645"/>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solidFill>
                <a:schemeClr val="bg1"/>
              </a:solidFill>
              <a:latin typeface="+mn-lt"/>
              <a:ea typeface="+mn-ea"/>
              <a:cs typeface="+mn-cs"/>
            </a:rPr>
            <a:t>Customer</a:t>
          </a:r>
          <a:r>
            <a:rPr lang="en-IN" sz="2400" b="1" baseline="0">
              <a:solidFill>
                <a:schemeClr val="bg1"/>
              </a:solidFill>
              <a:latin typeface="+mn-lt"/>
              <a:ea typeface="+mn-ea"/>
              <a:cs typeface="+mn-cs"/>
            </a:rPr>
            <a:t> Analysis</a:t>
          </a:r>
          <a:endParaRPr lang="en-IN" sz="2400" b="1">
            <a:solidFill>
              <a:schemeClr val="bg1"/>
            </a:solidFill>
            <a:latin typeface="+mn-lt"/>
            <a:ea typeface="+mn-ea"/>
            <a:cs typeface="+mn-cs"/>
          </a:endParaRPr>
        </a:p>
      </xdr:txBody>
    </xdr:sp>
    <xdr:clientData/>
  </xdr:twoCellAnchor>
  <xdr:twoCellAnchor>
    <xdr:from>
      <xdr:col>0</xdr:col>
      <xdr:colOff>444500</xdr:colOff>
      <xdr:row>7</xdr:row>
      <xdr:rowOff>133350</xdr:rowOff>
    </xdr:from>
    <xdr:to>
      <xdr:col>4</xdr:col>
      <xdr:colOff>190500</xdr:colOff>
      <xdr:row>11</xdr:row>
      <xdr:rowOff>117475</xdr:rowOff>
    </xdr:to>
    <xdr:sp macro="" textlink="">
      <xdr:nvSpPr>
        <xdr:cNvPr id="16" name="Rectangle: Top Corners Snipped 15">
          <a:hlinkClick xmlns:r="http://schemas.openxmlformats.org/officeDocument/2006/relationships" r:id="rId5"/>
          <a:extLst>
            <a:ext uri="{FF2B5EF4-FFF2-40B4-BE49-F238E27FC236}">
              <a16:creationId xmlns:a16="http://schemas.microsoft.com/office/drawing/2014/main" id="{D991BED1-E239-4504-AD0E-F4E4452C269B}"/>
            </a:ext>
          </a:extLst>
        </xdr:cNvPr>
        <xdr:cNvSpPr/>
      </xdr:nvSpPr>
      <xdr:spPr>
        <a:xfrm>
          <a:off x="444500" y="1413510"/>
          <a:ext cx="2184400" cy="715645"/>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Overview</a:t>
          </a:r>
          <a:endParaRPr lang="en-IN">
            <a:effectLst/>
          </a:endParaRPr>
        </a:p>
        <a:p>
          <a:pPr algn="l"/>
          <a:endParaRPr lang="en-IN" sz="1100"/>
        </a:p>
      </xdr:txBody>
    </xdr:sp>
    <xdr:clientData/>
  </xdr:twoCellAnchor>
  <xdr:twoCellAnchor editAs="oneCell">
    <xdr:from>
      <xdr:col>24</xdr:col>
      <xdr:colOff>0</xdr:colOff>
      <xdr:row>19</xdr:row>
      <xdr:rowOff>126999</xdr:rowOff>
    </xdr:from>
    <xdr:to>
      <xdr:col>27</xdr:col>
      <xdr:colOff>123825</xdr:colOff>
      <xdr:row>44</xdr:row>
      <xdr:rowOff>174624</xdr:rowOff>
    </xdr:to>
    <mc:AlternateContent xmlns:mc="http://schemas.openxmlformats.org/markup-compatibility/2006" xmlns:a14="http://schemas.microsoft.com/office/drawing/2010/main">
      <mc:Choice Requires="a14">
        <xdr:graphicFrame macro="">
          <xdr:nvGraphicFramePr>
            <xdr:cNvPr id="17" name="Product_Name 3">
              <a:extLst>
                <a:ext uri="{FF2B5EF4-FFF2-40B4-BE49-F238E27FC236}">
                  <a16:creationId xmlns:a16="http://schemas.microsoft.com/office/drawing/2014/main" id="{C1CC839A-E1A6-4B4F-9EBF-0760C2585C0C}"/>
                </a:ext>
              </a:extLst>
            </xdr:cNvPr>
            <xdr:cNvGraphicFramePr/>
          </xdr:nvGraphicFramePr>
          <xdr:xfrm>
            <a:off x="0" y="0"/>
            <a:ext cx="0" cy="0"/>
          </xdr:xfrm>
          <a:graphic>
            <a:graphicData uri="http://schemas.microsoft.com/office/drawing/2010/slicer">
              <sle:slicer xmlns:sle="http://schemas.microsoft.com/office/drawing/2010/slicer" name="Product_Name 3"/>
            </a:graphicData>
          </a:graphic>
        </xdr:graphicFrame>
      </mc:Choice>
      <mc:Fallback xmlns="">
        <xdr:sp macro="" textlink="">
          <xdr:nvSpPr>
            <xdr:cNvPr id="0" name=""/>
            <xdr:cNvSpPr>
              <a:spLocks noTextEdit="1"/>
            </xdr:cNvSpPr>
          </xdr:nvSpPr>
          <xdr:spPr>
            <a:xfrm>
              <a:off x="14478000" y="3746499"/>
              <a:ext cx="1933575" cy="4810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343647</xdr:colOff>
      <xdr:row>4</xdr:row>
      <xdr:rowOff>131885</xdr:rowOff>
    </xdr:from>
    <xdr:to>
      <xdr:col>27</xdr:col>
      <xdr:colOff>104589</xdr:colOff>
      <xdr:row>7</xdr:row>
      <xdr:rowOff>59765</xdr:rowOff>
    </xdr:to>
    <xdr:sp macro="" textlink="">
      <xdr:nvSpPr>
        <xdr:cNvPr id="21" name="Rectangle 20">
          <a:extLst>
            <a:ext uri="{FF2B5EF4-FFF2-40B4-BE49-F238E27FC236}">
              <a16:creationId xmlns:a16="http://schemas.microsoft.com/office/drawing/2014/main" id="{35675749-109A-4E14-BF04-A3BBBA7DE251}"/>
            </a:ext>
          </a:extLst>
        </xdr:cNvPr>
        <xdr:cNvSpPr/>
      </xdr:nvSpPr>
      <xdr:spPr>
        <a:xfrm>
          <a:off x="343647" y="849061"/>
          <a:ext cx="16300824" cy="465763"/>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PRODUCT</a:t>
          </a:r>
          <a:r>
            <a:rPr lang="en-IN" sz="2800" b="1" baseline="0">
              <a:solidFill>
                <a:schemeClr val="bg1"/>
              </a:solidFill>
            </a:rPr>
            <a:t> PERFORMANCE</a:t>
          </a:r>
          <a:endParaRPr lang="en-IN" sz="2800" b="1">
            <a:solidFill>
              <a:schemeClr val="bg1"/>
            </a:solidFill>
          </a:endParaRPr>
        </a:p>
      </xdr:txBody>
    </xdr:sp>
    <xdr:clientData/>
  </xdr:twoCellAnchor>
  <xdr:twoCellAnchor editAs="oneCell">
    <xdr:from>
      <xdr:col>24</xdr:col>
      <xdr:colOff>97396</xdr:colOff>
      <xdr:row>5</xdr:row>
      <xdr:rowOff>168766</xdr:rowOff>
    </xdr:from>
    <xdr:to>
      <xdr:col>27</xdr:col>
      <xdr:colOff>97396</xdr:colOff>
      <xdr:row>19</xdr:row>
      <xdr:rowOff>102091</xdr:rowOff>
    </xdr:to>
    <mc:AlternateContent xmlns:mc="http://schemas.openxmlformats.org/markup-compatibility/2006" xmlns:a14="http://schemas.microsoft.com/office/drawing/2010/main">
      <mc:Choice Requires="a14">
        <xdr:graphicFrame macro="">
          <xdr:nvGraphicFramePr>
            <xdr:cNvPr id="7" name="Sales_Representative 3">
              <a:extLst>
                <a:ext uri="{FF2B5EF4-FFF2-40B4-BE49-F238E27FC236}">
                  <a16:creationId xmlns:a16="http://schemas.microsoft.com/office/drawing/2014/main" id="{444CC185-E578-4BFE-8865-E36E3A81CBBC}"/>
                </a:ext>
              </a:extLst>
            </xdr:cNvPr>
            <xdr:cNvGraphicFramePr/>
          </xdr:nvGraphicFramePr>
          <xdr:xfrm>
            <a:off x="0" y="0"/>
            <a:ext cx="0" cy="0"/>
          </xdr:xfrm>
          <a:graphic>
            <a:graphicData uri="http://schemas.microsoft.com/office/drawing/2010/slicer">
              <sle:slicer xmlns:sle="http://schemas.microsoft.com/office/drawing/2010/slicer" name="Sales_Representative 3"/>
            </a:graphicData>
          </a:graphic>
        </xdr:graphicFrame>
      </mc:Choice>
      <mc:Fallback xmlns="">
        <xdr:sp macro="" textlink="">
          <xdr:nvSpPr>
            <xdr:cNvPr id="0" name=""/>
            <xdr:cNvSpPr>
              <a:spLocks noTextEdit="1"/>
            </xdr:cNvSpPr>
          </xdr:nvSpPr>
          <xdr:spPr>
            <a:xfrm>
              <a:off x="14589773" y="1103294"/>
              <a:ext cx="1811548" cy="255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306526</xdr:colOff>
      <xdr:row>11</xdr:row>
      <xdr:rowOff>115019</xdr:rowOff>
    </xdr:from>
    <xdr:to>
      <xdr:col>4</xdr:col>
      <xdr:colOff>373812</xdr:colOff>
      <xdr:row>20</xdr:row>
      <xdr:rowOff>82324</xdr:rowOff>
    </xdr:to>
    <mc:AlternateContent xmlns:mc="http://schemas.openxmlformats.org/markup-compatibility/2006" xmlns:a14="http://schemas.microsoft.com/office/drawing/2010/main">
      <mc:Choice Requires="a14">
        <xdr:graphicFrame macro="">
          <xdr:nvGraphicFramePr>
            <xdr:cNvPr id="8" name="Month 3">
              <a:extLst>
                <a:ext uri="{FF2B5EF4-FFF2-40B4-BE49-F238E27FC236}">
                  <a16:creationId xmlns:a16="http://schemas.microsoft.com/office/drawing/2014/main" id="{376301B9-2C7C-4360-A567-520DA0EBBAD4}"/>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306526" y="2170981"/>
              <a:ext cx="2482682" cy="1649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392788</xdr:colOff>
      <xdr:row>11</xdr:row>
      <xdr:rowOff>171810</xdr:rowOff>
    </xdr:from>
    <xdr:to>
      <xdr:col>13</xdr:col>
      <xdr:colOff>301924</xdr:colOff>
      <xdr:row>43</xdr:row>
      <xdr:rowOff>143775</xdr:rowOff>
    </xdr:to>
    <xdr:graphicFrame macro="">
      <xdr:nvGraphicFramePr>
        <xdr:cNvPr id="4" name="Chart 4">
          <a:extLst>
            <a:ext uri="{FF2B5EF4-FFF2-40B4-BE49-F238E27FC236}">
              <a16:creationId xmlns:a16="http://schemas.microsoft.com/office/drawing/2014/main" id="{1570BFB1-1180-4BD3-82C3-10C078868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445699</xdr:colOff>
      <xdr:row>12</xdr:row>
      <xdr:rowOff>57509</xdr:rowOff>
    </xdr:from>
    <xdr:to>
      <xdr:col>23</xdr:col>
      <xdr:colOff>445698</xdr:colOff>
      <xdr:row>28</xdr:row>
      <xdr:rowOff>115018</xdr:rowOff>
    </xdr:to>
    <xdr:graphicFrame macro="">
      <xdr:nvGraphicFramePr>
        <xdr:cNvPr id="9" name="Chart 5">
          <a:extLst>
            <a:ext uri="{FF2B5EF4-FFF2-40B4-BE49-F238E27FC236}">
              <a16:creationId xmlns:a16="http://schemas.microsoft.com/office/drawing/2014/main" id="{8B409E39-ACAA-42E7-9CDB-0285819A1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474452</xdr:colOff>
      <xdr:row>29</xdr:row>
      <xdr:rowOff>86264</xdr:rowOff>
    </xdr:from>
    <xdr:to>
      <xdr:col>23</xdr:col>
      <xdr:colOff>445697</xdr:colOff>
      <xdr:row>43</xdr:row>
      <xdr:rowOff>86265</xdr:rowOff>
    </xdr:to>
    <xdr:graphicFrame macro="">
      <xdr:nvGraphicFramePr>
        <xdr:cNvPr id="10" name="Chart 6">
          <a:extLst>
            <a:ext uri="{FF2B5EF4-FFF2-40B4-BE49-F238E27FC236}">
              <a16:creationId xmlns:a16="http://schemas.microsoft.com/office/drawing/2014/main" id="{F0525910-2026-49F4-A096-A1CF7A767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335280</xdr:colOff>
      <xdr:row>0</xdr:row>
      <xdr:rowOff>114300</xdr:rowOff>
    </xdr:from>
    <xdr:to>
      <xdr:col>27</xdr:col>
      <xdr:colOff>83507</xdr:colOff>
      <xdr:row>45</xdr:row>
      <xdr:rowOff>11723</xdr:rowOff>
    </xdr:to>
    <xdr:sp macro="" textlink="">
      <xdr:nvSpPr>
        <xdr:cNvPr id="2" name="Rectangle 1">
          <a:extLst>
            <a:ext uri="{FF2B5EF4-FFF2-40B4-BE49-F238E27FC236}">
              <a16:creationId xmlns:a16="http://schemas.microsoft.com/office/drawing/2014/main" id="{AFE8AE50-06B8-4A5B-B25D-ACCBB227266D}"/>
            </a:ext>
          </a:extLst>
        </xdr:cNvPr>
        <xdr:cNvSpPr/>
      </xdr:nvSpPr>
      <xdr:spPr>
        <a:xfrm>
          <a:off x="335280" y="114300"/>
          <a:ext cx="16207427" cy="8127023"/>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320842</xdr:colOff>
      <xdr:row>0</xdr:row>
      <xdr:rowOff>143544</xdr:rowOff>
    </xdr:from>
    <xdr:to>
      <xdr:col>27</xdr:col>
      <xdr:colOff>39537</xdr:colOff>
      <xdr:row>4</xdr:row>
      <xdr:rowOff>160421</xdr:rowOff>
    </xdr:to>
    <xdr:sp macro="" textlink="">
      <xdr:nvSpPr>
        <xdr:cNvPr id="3" name="Rectangle 2">
          <a:extLst>
            <a:ext uri="{FF2B5EF4-FFF2-40B4-BE49-F238E27FC236}">
              <a16:creationId xmlns:a16="http://schemas.microsoft.com/office/drawing/2014/main" id="{4B99EAAC-3234-42F4-936F-8C857F34E1E1}"/>
            </a:ext>
          </a:extLst>
        </xdr:cNvPr>
        <xdr:cNvSpPr/>
      </xdr:nvSpPr>
      <xdr:spPr>
        <a:xfrm>
          <a:off x="320842" y="143544"/>
          <a:ext cx="16322274" cy="765509"/>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SALES</a:t>
          </a:r>
          <a:r>
            <a:rPr lang="en-IN" sz="2800" b="1" baseline="0">
              <a:solidFill>
                <a:schemeClr val="bg1"/>
              </a:solidFill>
            </a:rPr>
            <a:t> ANALYSIS DASHBOARD</a:t>
          </a:r>
          <a:endParaRPr lang="en-IN" sz="2800" b="1">
            <a:solidFill>
              <a:schemeClr val="bg1"/>
            </a:solidFill>
          </a:endParaRPr>
        </a:p>
      </xdr:txBody>
    </xdr:sp>
    <xdr:clientData/>
  </xdr:twoCellAnchor>
  <xdr:twoCellAnchor editAs="oneCell">
    <xdr:from>
      <xdr:col>0</xdr:col>
      <xdr:colOff>335280</xdr:colOff>
      <xdr:row>20</xdr:row>
      <xdr:rowOff>63500</xdr:rowOff>
    </xdr:from>
    <xdr:to>
      <xdr:col>4</xdr:col>
      <xdr:colOff>441960</xdr:colOff>
      <xdr:row>31</xdr:row>
      <xdr:rowOff>127000</xdr:rowOff>
    </xdr:to>
    <mc:AlternateContent xmlns:mc="http://schemas.openxmlformats.org/markup-compatibility/2006" xmlns:a14="http://schemas.microsoft.com/office/drawing/2010/main">
      <mc:Choice Requires="a14">
        <xdr:graphicFrame macro="">
          <xdr:nvGraphicFramePr>
            <xdr:cNvPr id="5" name="Product_Category 5">
              <a:extLst>
                <a:ext uri="{FF2B5EF4-FFF2-40B4-BE49-F238E27FC236}">
                  <a16:creationId xmlns:a16="http://schemas.microsoft.com/office/drawing/2014/main" id="{A82F3EAD-8819-418F-808F-8A7A71B81642}"/>
                </a:ext>
              </a:extLst>
            </xdr:cNvPr>
            <xdr:cNvGraphicFramePr/>
          </xdr:nvGraphicFramePr>
          <xdr:xfrm>
            <a:off x="0" y="0"/>
            <a:ext cx="0" cy="0"/>
          </xdr:xfrm>
          <a:graphic>
            <a:graphicData uri="http://schemas.microsoft.com/office/drawing/2010/slicer">
              <sle:slicer xmlns:sle="http://schemas.microsoft.com/office/drawing/2010/slicer" name="Product_Category 5"/>
            </a:graphicData>
          </a:graphic>
        </xdr:graphicFrame>
      </mc:Choice>
      <mc:Fallback xmlns="">
        <xdr:sp macro="" textlink="">
          <xdr:nvSpPr>
            <xdr:cNvPr id="0" name=""/>
            <xdr:cNvSpPr>
              <a:spLocks noTextEdit="1"/>
            </xdr:cNvSpPr>
          </xdr:nvSpPr>
          <xdr:spPr>
            <a:xfrm>
              <a:off x="335280" y="3873500"/>
              <a:ext cx="2519680" cy="215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322873</xdr:colOff>
      <xdr:row>31</xdr:row>
      <xdr:rowOff>111126</xdr:rowOff>
    </xdr:from>
    <xdr:to>
      <xdr:col>4</xdr:col>
      <xdr:colOff>429553</xdr:colOff>
      <xdr:row>44</xdr:row>
      <xdr:rowOff>13370</xdr:rowOff>
    </xdr:to>
    <mc:AlternateContent xmlns:mc="http://schemas.openxmlformats.org/markup-compatibility/2006" xmlns:a14="http://schemas.microsoft.com/office/drawing/2010/main">
      <mc:Choice Requires="a14">
        <xdr:graphicFrame macro="">
          <xdr:nvGraphicFramePr>
            <xdr:cNvPr id="6" name="Store_Location 5">
              <a:extLst>
                <a:ext uri="{FF2B5EF4-FFF2-40B4-BE49-F238E27FC236}">
                  <a16:creationId xmlns:a16="http://schemas.microsoft.com/office/drawing/2014/main" id="{F6977D0F-1A84-49FD-AC6D-3EC1BA221907}"/>
                </a:ext>
              </a:extLst>
            </xdr:cNvPr>
            <xdr:cNvGraphicFramePr/>
          </xdr:nvGraphicFramePr>
          <xdr:xfrm>
            <a:off x="0" y="0"/>
            <a:ext cx="0" cy="0"/>
          </xdr:xfrm>
          <a:graphic>
            <a:graphicData uri="http://schemas.microsoft.com/office/drawing/2010/slicer">
              <sle:slicer xmlns:sle="http://schemas.microsoft.com/office/drawing/2010/slicer" name="Store_Location 5"/>
            </a:graphicData>
          </a:graphic>
        </xdr:graphicFrame>
      </mc:Choice>
      <mc:Fallback xmlns="">
        <xdr:sp macro="" textlink="">
          <xdr:nvSpPr>
            <xdr:cNvPr id="0" name=""/>
            <xdr:cNvSpPr>
              <a:spLocks noTextEdit="1"/>
            </xdr:cNvSpPr>
          </xdr:nvSpPr>
          <xdr:spPr>
            <a:xfrm>
              <a:off x="322873" y="6016625"/>
              <a:ext cx="2519680" cy="253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333375</xdr:colOff>
      <xdr:row>7</xdr:row>
      <xdr:rowOff>142875</xdr:rowOff>
    </xdr:from>
    <xdr:to>
      <xdr:col>9</xdr:col>
      <xdr:colOff>174625</xdr:colOff>
      <xdr:row>11</xdr:row>
      <xdr:rowOff>127000</xdr:rowOff>
    </xdr:to>
    <xdr:sp macro="" textlink="">
      <xdr:nvSpPr>
        <xdr:cNvPr id="12" name="Rectangle: Top Corners Snipped 11">
          <a:hlinkClick xmlns:r="http://schemas.openxmlformats.org/officeDocument/2006/relationships" r:id="rId1"/>
          <a:extLst>
            <a:ext uri="{FF2B5EF4-FFF2-40B4-BE49-F238E27FC236}">
              <a16:creationId xmlns:a16="http://schemas.microsoft.com/office/drawing/2014/main" id="{27838E57-880C-4270-8226-0F6454EF95F1}"/>
            </a:ext>
          </a:extLst>
        </xdr:cNvPr>
        <xdr:cNvSpPr/>
      </xdr:nvSpPr>
      <xdr:spPr>
        <a:xfrm>
          <a:off x="2746375" y="1476375"/>
          <a:ext cx="2857500" cy="746125"/>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lt1"/>
              </a:solidFill>
              <a:effectLst/>
              <a:latin typeface="+mn-lt"/>
              <a:ea typeface="+mn-ea"/>
              <a:cs typeface="+mn-cs"/>
            </a:rPr>
            <a:t>Product Performance</a:t>
          </a:r>
          <a:endParaRPr lang="en-IN" sz="4400">
            <a:effectLst/>
          </a:endParaRPr>
        </a:p>
        <a:p>
          <a:pPr marL="0" indent="0" algn="ctr"/>
          <a:endParaRPr lang="en-IN" sz="2800" b="1">
            <a:solidFill>
              <a:schemeClr val="accent1"/>
            </a:solidFill>
            <a:latin typeface="+mn-lt"/>
            <a:ea typeface="+mn-ea"/>
            <a:cs typeface="+mn-cs"/>
          </a:endParaRPr>
        </a:p>
      </xdr:txBody>
    </xdr:sp>
    <xdr:clientData/>
  </xdr:twoCellAnchor>
  <xdr:twoCellAnchor>
    <xdr:from>
      <xdr:col>9</xdr:col>
      <xdr:colOff>231775</xdr:colOff>
      <xdr:row>7</xdr:row>
      <xdr:rowOff>104775</xdr:rowOff>
    </xdr:from>
    <xdr:to>
      <xdr:col>14</xdr:col>
      <xdr:colOff>73025</xdr:colOff>
      <xdr:row>11</xdr:row>
      <xdr:rowOff>142875</xdr:rowOff>
    </xdr:to>
    <xdr:sp macro="" textlink="">
      <xdr:nvSpPr>
        <xdr:cNvPr id="13" name="Rectangle: Top Corners Snipped 12">
          <a:hlinkClick xmlns:r="http://schemas.openxmlformats.org/officeDocument/2006/relationships" r:id="rId2"/>
          <a:extLst>
            <a:ext uri="{FF2B5EF4-FFF2-40B4-BE49-F238E27FC236}">
              <a16:creationId xmlns:a16="http://schemas.microsoft.com/office/drawing/2014/main" id="{1BE41A5C-CF7B-4A32-A506-0ECF2AE25576}"/>
            </a:ext>
          </a:extLst>
        </xdr:cNvPr>
        <xdr:cNvSpPr/>
      </xdr:nvSpPr>
      <xdr:spPr>
        <a:xfrm>
          <a:off x="5718175" y="1384935"/>
          <a:ext cx="2889250" cy="769620"/>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Store Analysis</a:t>
          </a:r>
          <a:endParaRPr lang="en-IN" sz="4000">
            <a:effectLst/>
          </a:endParaRPr>
        </a:p>
        <a:p>
          <a:pPr marL="0" indent="0" algn="ctr"/>
          <a:endParaRPr lang="en-IN" sz="2000" b="1">
            <a:solidFill>
              <a:schemeClr val="accent1"/>
            </a:solidFill>
            <a:latin typeface="+mn-lt"/>
            <a:ea typeface="+mn-ea"/>
            <a:cs typeface="+mn-cs"/>
          </a:endParaRPr>
        </a:p>
      </xdr:txBody>
    </xdr:sp>
    <xdr:clientData/>
  </xdr:twoCellAnchor>
  <xdr:twoCellAnchor>
    <xdr:from>
      <xdr:col>14</xdr:col>
      <xdr:colOff>177800</xdr:colOff>
      <xdr:row>7</xdr:row>
      <xdr:rowOff>130175</xdr:rowOff>
    </xdr:from>
    <xdr:to>
      <xdr:col>19</xdr:col>
      <xdr:colOff>19050</xdr:colOff>
      <xdr:row>11</xdr:row>
      <xdr:rowOff>114300</xdr:rowOff>
    </xdr:to>
    <xdr:sp macro="" textlink="">
      <xdr:nvSpPr>
        <xdr:cNvPr id="14" name="Rectangle: Top Corners Snipped 13">
          <a:hlinkClick xmlns:r="http://schemas.openxmlformats.org/officeDocument/2006/relationships" r:id="rId3"/>
          <a:extLst>
            <a:ext uri="{FF2B5EF4-FFF2-40B4-BE49-F238E27FC236}">
              <a16:creationId xmlns:a16="http://schemas.microsoft.com/office/drawing/2014/main" id="{65193E58-446B-4382-BCB8-90D017474242}"/>
            </a:ext>
          </a:extLst>
        </xdr:cNvPr>
        <xdr:cNvSpPr/>
      </xdr:nvSpPr>
      <xdr:spPr>
        <a:xfrm>
          <a:off x="8712200" y="1410335"/>
          <a:ext cx="2889250" cy="715645"/>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chemeClr val="bg1"/>
              </a:solidFill>
              <a:latin typeface="+mn-lt"/>
              <a:ea typeface="+mn-ea"/>
              <a:cs typeface="+mn-cs"/>
            </a:rPr>
            <a:t>Sales Team Performance</a:t>
          </a:r>
        </a:p>
      </xdr:txBody>
    </xdr:sp>
    <xdr:clientData/>
  </xdr:twoCellAnchor>
  <xdr:twoCellAnchor>
    <xdr:from>
      <xdr:col>19</xdr:col>
      <xdr:colOff>203200</xdr:colOff>
      <xdr:row>7</xdr:row>
      <xdr:rowOff>92075</xdr:rowOff>
    </xdr:from>
    <xdr:to>
      <xdr:col>24</xdr:col>
      <xdr:colOff>44450</xdr:colOff>
      <xdr:row>11</xdr:row>
      <xdr:rowOff>76200</xdr:rowOff>
    </xdr:to>
    <xdr:sp macro="" textlink="">
      <xdr:nvSpPr>
        <xdr:cNvPr id="15" name="Rectangle: Top Corners Snipped 14">
          <a:hlinkClick xmlns:r="http://schemas.openxmlformats.org/officeDocument/2006/relationships" r:id="rId4"/>
          <a:extLst>
            <a:ext uri="{FF2B5EF4-FFF2-40B4-BE49-F238E27FC236}">
              <a16:creationId xmlns:a16="http://schemas.microsoft.com/office/drawing/2014/main" id="{DDAF2F13-45AA-4BCA-B52A-27A7672BDFF4}"/>
            </a:ext>
          </a:extLst>
        </xdr:cNvPr>
        <xdr:cNvSpPr/>
      </xdr:nvSpPr>
      <xdr:spPr>
        <a:xfrm>
          <a:off x="11785600" y="1372235"/>
          <a:ext cx="2889250" cy="715645"/>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solidFill>
                <a:schemeClr val="bg1"/>
              </a:solidFill>
              <a:latin typeface="+mn-lt"/>
              <a:ea typeface="+mn-ea"/>
              <a:cs typeface="+mn-cs"/>
            </a:rPr>
            <a:t>Customer</a:t>
          </a:r>
          <a:r>
            <a:rPr lang="en-IN" sz="2400" b="1" baseline="0">
              <a:solidFill>
                <a:schemeClr val="bg1"/>
              </a:solidFill>
              <a:latin typeface="+mn-lt"/>
              <a:ea typeface="+mn-ea"/>
              <a:cs typeface="+mn-cs"/>
            </a:rPr>
            <a:t> Analysis</a:t>
          </a:r>
          <a:endParaRPr lang="en-IN" sz="2400" b="1">
            <a:solidFill>
              <a:schemeClr val="bg1"/>
            </a:solidFill>
            <a:latin typeface="+mn-lt"/>
            <a:ea typeface="+mn-ea"/>
            <a:cs typeface="+mn-cs"/>
          </a:endParaRPr>
        </a:p>
      </xdr:txBody>
    </xdr:sp>
    <xdr:clientData/>
  </xdr:twoCellAnchor>
  <xdr:twoCellAnchor>
    <xdr:from>
      <xdr:col>0</xdr:col>
      <xdr:colOff>444500</xdr:colOff>
      <xdr:row>7</xdr:row>
      <xdr:rowOff>133350</xdr:rowOff>
    </xdr:from>
    <xdr:to>
      <xdr:col>4</xdr:col>
      <xdr:colOff>190500</xdr:colOff>
      <xdr:row>11</xdr:row>
      <xdr:rowOff>117475</xdr:rowOff>
    </xdr:to>
    <xdr:sp macro="" textlink="">
      <xdr:nvSpPr>
        <xdr:cNvPr id="16" name="Rectangle: Top Corners Snipped 15">
          <a:hlinkClick xmlns:r="http://schemas.openxmlformats.org/officeDocument/2006/relationships" r:id="rId5"/>
          <a:extLst>
            <a:ext uri="{FF2B5EF4-FFF2-40B4-BE49-F238E27FC236}">
              <a16:creationId xmlns:a16="http://schemas.microsoft.com/office/drawing/2014/main" id="{373E9CF5-145E-4F91-96AE-0D87F8114608}"/>
            </a:ext>
          </a:extLst>
        </xdr:cNvPr>
        <xdr:cNvSpPr/>
      </xdr:nvSpPr>
      <xdr:spPr>
        <a:xfrm>
          <a:off x="444500" y="1413510"/>
          <a:ext cx="2184400" cy="715645"/>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Overview</a:t>
          </a:r>
          <a:endParaRPr lang="en-IN">
            <a:effectLst/>
          </a:endParaRPr>
        </a:p>
        <a:p>
          <a:pPr algn="l"/>
          <a:endParaRPr lang="en-IN" sz="1100"/>
        </a:p>
      </xdr:txBody>
    </xdr:sp>
    <xdr:clientData/>
  </xdr:twoCellAnchor>
  <xdr:twoCellAnchor editAs="oneCell">
    <xdr:from>
      <xdr:col>24</xdr:col>
      <xdr:colOff>0</xdr:colOff>
      <xdr:row>19</xdr:row>
      <xdr:rowOff>126999</xdr:rowOff>
    </xdr:from>
    <xdr:to>
      <xdr:col>27</xdr:col>
      <xdr:colOff>123825</xdr:colOff>
      <xdr:row>44</xdr:row>
      <xdr:rowOff>174624</xdr:rowOff>
    </xdr:to>
    <mc:AlternateContent xmlns:mc="http://schemas.openxmlformats.org/markup-compatibility/2006" xmlns:a14="http://schemas.microsoft.com/office/drawing/2010/main">
      <mc:Choice Requires="a14">
        <xdr:graphicFrame macro="">
          <xdr:nvGraphicFramePr>
            <xdr:cNvPr id="17" name="Product_Name 5">
              <a:extLst>
                <a:ext uri="{FF2B5EF4-FFF2-40B4-BE49-F238E27FC236}">
                  <a16:creationId xmlns:a16="http://schemas.microsoft.com/office/drawing/2014/main" id="{027DF54D-2880-448A-9CC5-7FE6C07C8C07}"/>
                </a:ext>
              </a:extLst>
            </xdr:cNvPr>
            <xdr:cNvGraphicFramePr/>
          </xdr:nvGraphicFramePr>
          <xdr:xfrm>
            <a:off x="0" y="0"/>
            <a:ext cx="0" cy="0"/>
          </xdr:xfrm>
          <a:graphic>
            <a:graphicData uri="http://schemas.microsoft.com/office/drawing/2010/slicer">
              <sle:slicer xmlns:sle="http://schemas.microsoft.com/office/drawing/2010/slicer" name="Product_Name 5"/>
            </a:graphicData>
          </a:graphic>
        </xdr:graphicFrame>
      </mc:Choice>
      <mc:Fallback xmlns="">
        <xdr:sp macro="" textlink="">
          <xdr:nvSpPr>
            <xdr:cNvPr id="0" name=""/>
            <xdr:cNvSpPr>
              <a:spLocks noTextEdit="1"/>
            </xdr:cNvSpPr>
          </xdr:nvSpPr>
          <xdr:spPr>
            <a:xfrm>
              <a:off x="14478000" y="3746499"/>
              <a:ext cx="1933575" cy="4810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323850</xdr:colOff>
      <xdr:row>4</xdr:row>
      <xdr:rowOff>160423</xdr:rowOff>
    </xdr:from>
    <xdr:to>
      <xdr:col>27</xdr:col>
      <xdr:colOff>80211</xdr:colOff>
      <xdr:row>6</xdr:row>
      <xdr:rowOff>171451</xdr:rowOff>
    </xdr:to>
    <xdr:sp macro="" textlink="">
      <xdr:nvSpPr>
        <xdr:cNvPr id="19" name="Rectangle 18">
          <a:extLst>
            <a:ext uri="{FF2B5EF4-FFF2-40B4-BE49-F238E27FC236}">
              <a16:creationId xmlns:a16="http://schemas.microsoft.com/office/drawing/2014/main" id="{BACDF99F-DD24-4E28-976E-D3DD32326946}"/>
            </a:ext>
          </a:extLst>
        </xdr:cNvPr>
        <xdr:cNvSpPr/>
      </xdr:nvSpPr>
      <xdr:spPr>
        <a:xfrm>
          <a:off x="323850" y="922423"/>
          <a:ext cx="16215561" cy="392028"/>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STORE</a:t>
          </a:r>
          <a:r>
            <a:rPr lang="en-IN" sz="2800" b="1" baseline="0">
              <a:solidFill>
                <a:schemeClr val="bg1"/>
              </a:solidFill>
            </a:rPr>
            <a:t> ANALYSIS</a:t>
          </a:r>
          <a:endParaRPr lang="en-IN" sz="2800" b="1">
            <a:solidFill>
              <a:schemeClr val="bg1"/>
            </a:solidFill>
          </a:endParaRPr>
        </a:p>
      </xdr:txBody>
    </xdr:sp>
    <xdr:clientData/>
  </xdr:twoCellAnchor>
  <xdr:twoCellAnchor editAs="oneCell">
    <xdr:from>
      <xdr:col>24</xdr:col>
      <xdr:colOff>97396</xdr:colOff>
      <xdr:row>5</xdr:row>
      <xdr:rowOff>40106</xdr:rowOff>
    </xdr:from>
    <xdr:to>
      <xdr:col>27</xdr:col>
      <xdr:colOff>97396</xdr:colOff>
      <xdr:row>19</xdr:row>
      <xdr:rowOff>102091</xdr:rowOff>
    </xdr:to>
    <mc:AlternateContent xmlns:mc="http://schemas.openxmlformats.org/markup-compatibility/2006" xmlns:a14="http://schemas.microsoft.com/office/drawing/2010/main">
      <mc:Choice Requires="a14">
        <xdr:graphicFrame macro="">
          <xdr:nvGraphicFramePr>
            <xdr:cNvPr id="7" name="Sales_Representative 5">
              <a:extLst>
                <a:ext uri="{FF2B5EF4-FFF2-40B4-BE49-F238E27FC236}">
                  <a16:creationId xmlns:a16="http://schemas.microsoft.com/office/drawing/2014/main" id="{55156E38-891F-4B5A-B32B-B82CBA71E2F6}"/>
                </a:ext>
              </a:extLst>
            </xdr:cNvPr>
            <xdr:cNvGraphicFramePr/>
          </xdr:nvGraphicFramePr>
          <xdr:xfrm>
            <a:off x="0" y="0"/>
            <a:ext cx="0" cy="0"/>
          </xdr:xfrm>
          <a:graphic>
            <a:graphicData uri="http://schemas.microsoft.com/office/drawing/2010/slicer">
              <sle:slicer xmlns:sle="http://schemas.microsoft.com/office/drawing/2010/slicer" name="Sales_Representative 5"/>
            </a:graphicData>
          </a:graphic>
        </xdr:graphicFrame>
      </mc:Choice>
      <mc:Fallback xmlns="">
        <xdr:sp macro="" textlink="">
          <xdr:nvSpPr>
            <xdr:cNvPr id="0" name=""/>
            <xdr:cNvSpPr>
              <a:spLocks noTextEdit="1"/>
            </xdr:cNvSpPr>
          </xdr:nvSpPr>
          <xdr:spPr>
            <a:xfrm>
              <a:off x="14856133" y="975895"/>
              <a:ext cx="1844842" cy="2682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374316</xdr:colOff>
      <xdr:row>11</xdr:row>
      <xdr:rowOff>106946</xdr:rowOff>
    </xdr:from>
    <xdr:to>
      <xdr:col>4</xdr:col>
      <xdr:colOff>441158</xdr:colOff>
      <xdr:row>20</xdr:row>
      <xdr:rowOff>42582</xdr:rowOff>
    </xdr:to>
    <mc:AlternateContent xmlns:mc="http://schemas.openxmlformats.org/markup-compatibility/2006" xmlns:a14="http://schemas.microsoft.com/office/drawing/2010/main">
      <mc:Choice Requires="a14">
        <xdr:graphicFrame macro="">
          <xdr:nvGraphicFramePr>
            <xdr:cNvPr id="8" name="Month 4">
              <a:extLst>
                <a:ext uri="{FF2B5EF4-FFF2-40B4-BE49-F238E27FC236}">
                  <a16:creationId xmlns:a16="http://schemas.microsoft.com/office/drawing/2014/main" id="{2C112CC1-F561-428D-B03E-B702A7230D0A}"/>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374316" y="2165683"/>
              <a:ext cx="2526631" cy="1620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481264</xdr:colOff>
      <xdr:row>12</xdr:row>
      <xdr:rowOff>53471</xdr:rowOff>
    </xdr:from>
    <xdr:to>
      <xdr:col>13</xdr:col>
      <xdr:colOff>235319</xdr:colOff>
      <xdr:row>44</xdr:row>
      <xdr:rowOff>0</xdr:rowOff>
    </xdr:to>
    <xdr:graphicFrame macro="">
      <xdr:nvGraphicFramePr>
        <xdr:cNvPr id="4" name="Chart 7">
          <a:extLst>
            <a:ext uri="{FF2B5EF4-FFF2-40B4-BE49-F238E27FC236}">
              <a16:creationId xmlns:a16="http://schemas.microsoft.com/office/drawing/2014/main" id="{186F49CA-6DF6-48CE-8C03-9D7021FB3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348648</xdr:colOff>
      <xdr:row>12</xdr:row>
      <xdr:rowOff>34090</xdr:rowOff>
    </xdr:from>
    <xdr:to>
      <xdr:col>23</xdr:col>
      <xdr:colOff>374316</xdr:colOff>
      <xdr:row>28</xdr:row>
      <xdr:rowOff>0</xdr:rowOff>
    </xdr:to>
    <xdr:graphicFrame macro="">
      <xdr:nvGraphicFramePr>
        <xdr:cNvPr id="9" name="Chart 8">
          <a:extLst>
            <a:ext uri="{FF2B5EF4-FFF2-40B4-BE49-F238E27FC236}">
              <a16:creationId xmlns:a16="http://schemas.microsoft.com/office/drawing/2014/main" id="{721F42EE-B5A5-46A1-8BAC-002350121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347579</xdr:colOff>
      <xdr:row>29</xdr:row>
      <xdr:rowOff>53474</xdr:rowOff>
    </xdr:from>
    <xdr:to>
      <xdr:col>23</xdr:col>
      <xdr:colOff>307474</xdr:colOff>
      <xdr:row>43</xdr:row>
      <xdr:rowOff>160422</xdr:rowOff>
    </xdr:to>
    <xdr:graphicFrame macro="">
      <xdr:nvGraphicFramePr>
        <xdr:cNvPr id="10" name="Chart 9">
          <a:extLst>
            <a:ext uri="{FF2B5EF4-FFF2-40B4-BE49-F238E27FC236}">
              <a16:creationId xmlns:a16="http://schemas.microsoft.com/office/drawing/2014/main" id="{8FAE1DC3-00E0-4E94-92B9-0AB39732B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367030</xdr:colOff>
      <xdr:row>2</xdr:row>
      <xdr:rowOff>0</xdr:rowOff>
    </xdr:from>
    <xdr:to>
      <xdr:col>27</xdr:col>
      <xdr:colOff>115257</xdr:colOff>
      <xdr:row>46</xdr:row>
      <xdr:rowOff>87923</xdr:rowOff>
    </xdr:to>
    <xdr:sp macro="" textlink="">
      <xdr:nvSpPr>
        <xdr:cNvPr id="2" name="Rectangle 1">
          <a:extLst>
            <a:ext uri="{FF2B5EF4-FFF2-40B4-BE49-F238E27FC236}">
              <a16:creationId xmlns:a16="http://schemas.microsoft.com/office/drawing/2014/main" id="{F80689C9-9EFD-4FFE-C77A-F5154B5B169E}"/>
            </a:ext>
          </a:extLst>
        </xdr:cNvPr>
        <xdr:cNvSpPr/>
      </xdr:nvSpPr>
      <xdr:spPr>
        <a:xfrm>
          <a:off x="367030" y="0"/>
          <a:ext cx="16035977" cy="8469923"/>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376555</xdr:colOff>
      <xdr:row>2</xdr:row>
      <xdr:rowOff>3175</xdr:rowOff>
    </xdr:from>
    <xdr:to>
      <xdr:col>27</xdr:col>
      <xdr:colOff>79375</xdr:colOff>
      <xdr:row>5</xdr:row>
      <xdr:rowOff>79375</xdr:rowOff>
    </xdr:to>
    <xdr:sp macro="" textlink="">
      <xdr:nvSpPr>
        <xdr:cNvPr id="3" name="Rectangle 2">
          <a:extLst>
            <a:ext uri="{FF2B5EF4-FFF2-40B4-BE49-F238E27FC236}">
              <a16:creationId xmlns:a16="http://schemas.microsoft.com/office/drawing/2014/main" id="{73EACAC7-146F-610D-2165-2BE95DEEF354}"/>
            </a:ext>
          </a:extLst>
        </xdr:cNvPr>
        <xdr:cNvSpPr/>
      </xdr:nvSpPr>
      <xdr:spPr>
        <a:xfrm>
          <a:off x="376555" y="3175"/>
          <a:ext cx="15990570" cy="6477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1"/>
              </a:solidFill>
            </a:rPr>
            <a:t>SALES</a:t>
          </a:r>
          <a:r>
            <a:rPr lang="en-IN" sz="2800" b="1" baseline="0">
              <a:solidFill>
                <a:schemeClr val="bg1"/>
              </a:solidFill>
            </a:rPr>
            <a:t> ANALYSIS DASHBOARD</a:t>
          </a:r>
          <a:endParaRPr lang="en-IN" sz="2800" b="1">
            <a:solidFill>
              <a:schemeClr val="bg1"/>
            </a:solidFill>
          </a:endParaRPr>
        </a:p>
      </xdr:txBody>
    </xdr:sp>
    <xdr:clientData/>
  </xdr:twoCellAnchor>
  <xdr:twoCellAnchor editAs="oneCell">
    <xdr:from>
      <xdr:col>0</xdr:col>
      <xdr:colOff>335280</xdr:colOff>
      <xdr:row>22</xdr:row>
      <xdr:rowOff>63500</xdr:rowOff>
    </xdr:from>
    <xdr:to>
      <xdr:col>4</xdr:col>
      <xdr:colOff>441960</xdr:colOff>
      <xdr:row>33</xdr:row>
      <xdr:rowOff>126999</xdr:rowOff>
    </xdr:to>
    <mc:AlternateContent xmlns:mc="http://schemas.openxmlformats.org/markup-compatibility/2006" xmlns:a14="http://schemas.microsoft.com/office/drawing/2010/main">
      <mc:Choice Requires="a14">
        <xdr:graphicFrame macro="">
          <xdr:nvGraphicFramePr>
            <xdr:cNvPr id="5" name="Product_Category 1">
              <a:extLst>
                <a:ext uri="{FF2B5EF4-FFF2-40B4-BE49-F238E27FC236}">
                  <a16:creationId xmlns:a16="http://schemas.microsoft.com/office/drawing/2014/main" id="{CB2E92C8-9407-4D39-AD00-122D3EB4701B}"/>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335280" y="3873500"/>
              <a:ext cx="2519680" cy="215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335573</xdr:colOff>
      <xdr:row>32</xdr:row>
      <xdr:rowOff>174625</xdr:rowOff>
    </xdr:from>
    <xdr:to>
      <xdr:col>4</xdr:col>
      <xdr:colOff>442253</xdr:colOff>
      <xdr:row>45</xdr:row>
      <xdr:rowOff>114300</xdr:rowOff>
    </xdr:to>
    <mc:AlternateContent xmlns:mc="http://schemas.openxmlformats.org/markup-compatibility/2006" xmlns:a14="http://schemas.microsoft.com/office/drawing/2010/main">
      <mc:Choice Requires="a14">
        <xdr:graphicFrame macro="">
          <xdr:nvGraphicFramePr>
            <xdr:cNvPr id="6" name="Store_Location 1">
              <a:extLst>
                <a:ext uri="{FF2B5EF4-FFF2-40B4-BE49-F238E27FC236}">
                  <a16:creationId xmlns:a16="http://schemas.microsoft.com/office/drawing/2014/main" id="{024FA5F7-519D-41F3-ADAB-DFE48BA63850}"/>
                </a:ext>
              </a:extLst>
            </xdr:cNvPr>
            <xdr:cNvGraphicFramePr/>
          </xdr:nvGraphicFramePr>
          <xdr:xfrm>
            <a:off x="0" y="0"/>
            <a:ext cx="0" cy="0"/>
          </xdr:xfrm>
          <a:graphic>
            <a:graphicData uri="http://schemas.microsoft.com/office/drawing/2010/slicer">
              <sle:slicer xmlns:sle="http://schemas.microsoft.com/office/drawing/2010/slicer" name="Store_Location 1"/>
            </a:graphicData>
          </a:graphic>
        </xdr:graphicFrame>
      </mc:Choice>
      <mc:Fallback xmlns="">
        <xdr:sp macro="" textlink="">
          <xdr:nvSpPr>
            <xdr:cNvPr id="0" name=""/>
            <xdr:cNvSpPr>
              <a:spLocks noTextEdit="1"/>
            </xdr:cNvSpPr>
          </xdr:nvSpPr>
          <xdr:spPr>
            <a:xfrm>
              <a:off x="335573" y="5508625"/>
              <a:ext cx="2545080" cy="225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97396</xdr:colOff>
      <xdr:row>7</xdr:row>
      <xdr:rowOff>168766</xdr:rowOff>
    </xdr:from>
    <xdr:to>
      <xdr:col>27</xdr:col>
      <xdr:colOff>97396</xdr:colOff>
      <xdr:row>21</xdr:row>
      <xdr:rowOff>102091</xdr:rowOff>
    </xdr:to>
    <mc:AlternateContent xmlns:mc="http://schemas.openxmlformats.org/markup-compatibility/2006" xmlns:a14="http://schemas.microsoft.com/office/drawing/2010/main">
      <mc:Choice Requires="a14">
        <xdr:graphicFrame macro="">
          <xdr:nvGraphicFramePr>
            <xdr:cNvPr id="7" name="Sales_Representative 1">
              <a:extLst>
                <a:ext uri="{FF2B5EF4-FFF2-40B4-BE49-F238E27FC236}">
                  <a16:creationId xmlns:a16="http://schemas.microsoft.com/office/drawing/2014/main" id="{50AA5FE5-C0DE-4F97-823B-A730D03F0BFA}"/>
                </a:ext>
              </a:extLst>
            </xdr:cNvPr>
            <xdr:cNvGraphicFramePr/>
          </xdr:nvGraphicFramePr>
          <xdr:xfrm>
            <a:off x="0" y="0"/>
            <a:ext cx="0" cy="0"/>
          </xdr:xfrm>
          <a:graphic>
            <a:graphicData uri="http://schemas.microsoft.com/office/drawing/2010/slicer">
              <sle:slicer xmlns:sle="http://schemas.microsoft.com/office/drawing/2010/slicer" name="Sales_Representative 1"/>
            </a:graphicData>
          </a:graphic>
        </xdr:graphicFrame>
      </mc:Choice>
      <mc:Fallback xmlns="">
        <xdr:sp macro="" textlink="">
          <xdr:nvSpPr>
            <xdr:cNvPr id="0" name=""/>
            <xdr:cNvSpPr>
              <a:spLocks noTextEdit="1"/>
            </xdr:cNvSpPr>
          </xdr:nvSpPr>
          <xdr:spPr>
            <a:xfrm>
              <a:off x="14575396" y="1121266"/>
              <a:ext cx="1809750" cy="2600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285750</xdr:colOff>
      <xdr:row>8</xdr:row>
      <xdr:rowOff>111125</xdr:rowOff>
    </xdr:from>
    <xdr:to>
      <xdr:col>9</xdr:col>
      <xdr:colOff>127000</xdr:colOff>
      <xdr:row>12</xdr:row>
      <xdr:rowOff>95250</xdr:rowOff>
    </xdr:to>
    <xdr:sp macro="" textlink="">
      <xdr:nvSpPr>
        <xdr:cNvPr id="12" name="Rectangle: Top Corners Snipped 11">
          <a:hlinkClick xmlns:r="http://schemas.openxmlformats.org/officeDocument/2006/relationships" r:id="rId1"/>
          <a:extLst>
            <a:ext uri="{FF2B5EF4-FFF2-40B4-BE49-F238E27FC236}">
              <a16:creationId xmlns:a16="http://schemas.microsoft.com/office/drawing/2014/main" id="{14A4763B-2817-E493-C174-072D7388BFB1}"/>
            </a:ext>
          </a:extLst>
        </xdr:cNvPr>
        <xdr:cNvSpPr/>
      </xdr:nvSpPr>
      <xdr:spPr>
        <a:xfrm>
          <a:off x="2698750" y="1254125"/>
          <a:ext cx="2857500" cy="746125"/>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lt1"/>
              </a:solidFill>
              <a:effectLst/>
              <a:latin typeface="+mn-lt"/>
              <a:ea typeface="+mn-ea"/>
              <a:cs typeface="+mn-cs"/>
            </a:rPr>
            <a:t>Product Performance</a:t>
          </a:r>
          <a:endParaRPr lang="en-IN" sz="4400">
            <a:effectLst/>
          </a:endParaRPr>
        </a:p>
        <a:p>
          <a:pPr marL="0" indent="0" algn="ctr"/>
          <a:endParaRPr lang="en-IN" sz="2800" b="1">
            <a:solidFill>
              <a:schemeClr val="accent1"/>
            </a:solidFill>
            <a:latin typeface="+mn-lt"/>
            <a:ea typeface="+mn-ea"/>
            <a:cs typeface="+mn-cs"/>
          </a:endParaRPr>
        </a:p>
      </xdr:txBody>
    </xdr:sp>
    <xdr:clientData/>
  </xdr:twoCellAnchor>
  <xdr:twoCellAnchor>
    <xdr:from>
      <xdr:col>9</xdr:col>
      <xdr:colOff>231775</xdr:colOff>
      <xdr:row>8</xdr:row>
      <xdr:rowOff>73025</xdr:rowOff>
    </xdr:from>
    <xdr:to>
      <xdr:col>14</xdr:col>
      <xdr:colOff>73025</xdr:colOff>
      <xdr:row>12</xdr:row>
      <xdr:rowOff>111125</xdr:rowOff>
    </xdr:to>
    <xdr:sp macro="" textlink="">
      <xdr:nvSpPr>
        <xdr:cNvPr id="13" name="Rectangle: Top Corners Snipped 12">
          <a:hlinkClick xmlns:r="http://schemas.openxmlformats.org/officeDocument/2006/relationships" r:id="rId2"/>
          <a:extLst>
            <a:ext uri="{FF2B5EF4-FFF2-40B4-BE49-F238E27FC236}">
              <a16:creationId xmlns:a16="http://schemas.microsoft.com/office/drawing/2014/main" id="{CA9E4103-AA10-4890-882C-021919F72489}"/>
            </a:ext>
          </a:extLst>
        </xdr:cNvPr>
        <xdr:cNvSpPr/>
      </xdr:nvSpPr>
      <xdr:spPr>
        <a:xfrm>
          <a:off x="5661025" y="1216025"/>
          <a:ext cx="2857500" cy="800100"/>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Store Analysis</a:t>
          </a:r>
          <a:endParaRPr lang="en-IN" sz="4000">
            <a:effectLst/>
          </a:endParaRPr>
        </a:p>
        <a:p>
          <a:pPr marL="0" indent="0" algn="ctr"/>
          <a:endParaRPr lang="en-IN" sz="2000" b="1">
            <a:solidFill>
              <a:schemeClr val="accent1"/>
            </a:solidFill>
            <a:latin typeface="+mn-lt"/>
            <a:ea typeface="+mn-ea"/>
            <a:cs typeface="+mn-cs"/>
          </a:endParaRPr>
        </a:p>
      </xdr:txBody>
    </xdr:sp>
    <xdr:clientData/>
  </xdr:twoCellAnchor>
  <xdr:twoCellAnchor>
    <xdr:from>
      <xdr:col>14</xdr:col>
      <xdr:colOff>225425</xdr:colOff>
      <xdr:row>8</xdr:row>
      <xdr:rowOff>114300</xdr:rowOff>
    </xdr:from>
    <xdr:to>
      <xdr:col>19</xdr:col>
      <xdr:colOff>66675</xdr:colOff>
      <xdr:row>12</xdr:row>
      <xdr:rowOff>98425</xdr:rowOff>
    </xdr:to>
    <xdr:sp macro="" textlink="">
      <xdr:nvSpPr>
        <xdr:cNvPr id="14" name="Rectangle: Top Corners Snipped 13">
          <a:hlinkClick xmlns:r="http://schemas.openxmlformats.org/officeDocument/2006/relationships" r:id="rId3"/>
          <a:extLst>
            <a:ext uri="{FF2B5EF4-FFF2-40B4-BE49-F238E27FC236}">
              <a16:creationId xmlns:a16="http://schemas.microsoft.com/office/drawing/2014/main" id="{B92A8E1A-DC48-456F-BEF7-893E067A9C7F}"/>
            </a:ext>
          </a:extLst>
        </xdr:cNvPr>
        <xdr:cNvSpPr/>
      </xdr:nvSpPr>
      <xdr:spPr>
        <a:xfrm>
          <a:off x="8670925" y="1257300"/>
          <a:ext cx="2857500" cy="746125"/>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chemeClr val="bg1"/>
              </a:solidFill>
              <a:latin typeface="+mn-lt"/>
              <a:ea typeface="+mn-ea"/>
              <a:cs typeface="+mn-cs"/>
            </a:rPr>
            <a:t>Sales Team Performance</a:t>
          </a:r>
        </a:p>
      </xdr:txBody>
    </xdr:sp>
    <xdr:clientData/>
  </xdr:twoCellAnchor>
  <xdr:twoCellAnchor>
    <xdr:from>
      <xdr:col>19</xdr:col>
      <xdr:colOff>203200</xdr:colOff>
      <xdr:row>8</xdr:row>
      <xdr:rowOff>132080</xdr:rowOff>
    </xdr:from>
    <xdr:to>
      <xdr:col>24</xdr:col>
      <xdr:colOff>44450</xdr:colOff>
      <xdr:row>12</xdr:row>
      <xdr:rowOff>123825</xdr:rowOff>
    </xdr:to>
    <xdr:sp macro="" textlink="">
      <xdr:nvSpPr>
        <xdr:cNvPr id="15" name="Rectangle: Top Corners Snipped 14">
          <a:hlinkClick xmlns:r="http://schemas.openxmlformats.org/officeDocument/2006/relationships" r:id="rId4"/>
          <a:extLst>
            <a:ext uri="{FF2B5EF4-FFF2-40B4-BE49-F238E27FC236}">
              <a16:creationId xmlns:a16="http://schemas.microsoft.com/office/drawing/2014/main" id="{FE7CE0C6-0CE8-4028-84DB-5546454F2BDE}"/>
            </a:ext>
          </a:extLst>
        </xdr:cNvPr>
        <xdr:cNvSpPr/>
      </xdr:nvSpPr>
      <xdr:spPr>
        <a:xfrm>
          <a:off x="11664950" y="1275080"/>
          <a:ext cx="2857500" cy="753745"/>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solidFill>
                <a:schemeClr val="bg1"/>
              </a:solidFill>
              <a:latin typeface="+mn-lt"/>
              <a:ea typeface="+mn-ea"/>
              <a:cs typeface="+mn-cs"/>
            </a:rPr>
            <a:t>Customer</a:t>
          </a:r>
          <a:r>
            <a:rPr lang="en-IN" sz="2400" b="1" baseline="0">
              <a:solidFill>
                <a:schemeClr val="bg1"/>
              </a:solidFill>
              <a:latin typeface="+mn-lt"/>
              <a:ea typeface="+mn-ea"/>
              <a:cs typeface="+mn-cs"/>
            </a:rPr>
            <a:t> Analysis</a:t>
          </a:r>
          <a:endParaRPr lang="en-IN" sz="2400" b="1">
            <a:solidFill>
              <a:schemeClr val="bg1"/>
            </a:solidFill>
            <a:latin typeface="+mn-lt"/>
            <a:ea typeface="+mn-ea"/>
            <a:cs typeface="+mn-cs"/>
          </a:endParaRPr>
        </a:p>
      </xdr:txBody>
    </xdr:sp>
    <xdr:clientData/>
  </xdr:twoCellAnchor>
  <xdr:twoCellAnchor>
    <xdr:from>
      <xdr:col>0</xdr:col>
      <xdr:colOff>444500</xdr:colOff>
      <xdr:row>8</xdr:row>
      <xdr:rowOff>53975</xdr:rowOff>
    </xdr:from>
    <xdr:to>
      <xdr:col>4</xdr:col>
      <xdr:colOff>190500</xdr:colOff>
      <xdr:row>12</xdr:row>
      <xdr:rowOff>95250</xdr:rowOff>
    </xdr:to>
    <xdr:sp macro="" textlink="">
      <xdr:nvSpPr>
        <xdr:cNvPr id="17" name="Rectangle: Top Corners Snipped 16">
          <a:hlinkClick xmlns:r="http://schemas.openxmlformats.org/officeDocument/2006/relationships" r:id="rId5"/>
          <a:extLst>
            <a:ext uri="{FF2B5EF4-FFF2-40B4-BE49-F238E27FC236}">
              <a16:creationId xmlns:a16="http://schemas.microsoft.com/office/drawing/2014/main" id="{29A06E50-B5C7-44DE-B4A4-EEE7204F25D5}"/>
            </a:ext>
          </a:extLst>
        </xdr:cNvPr>
        <xdr:cNvSpPr/>
      </xdr:nvSpPr>
      <xdr:spPr>
        <a:xfrm>
          <a:off x="444500" y="1196975"/>
          <a:ext cx="2159000" cy="803275"/>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Overview</a:t>
          </a:r>
          <a:endParaRPr lang="en-IN">
            <a:effectLst/>
          </a:endParaRPr>
        </a:p>
        <a:p>
          <a:pPr algn="l"/>
          <a:endParaRPr lang="en-IN" sz="1100"/>
        </a:p>
      </xdr:txBody>
    </xdr:sp>
    <xdr:clientData/>
  </xdr:twoCellAnchor>
  <xdr:twoCellAnchor editAs="oneCell">
    <xdr:from>
      <xdr:col>24</xdr:col>
      <xdr:colOff>0</xdr:colOff>
      <xdr:row>21</xdr:row>
      <xdr:rowOff>126999</xdr:rowOff>
    </xdr:from>
    <xdr:to>
      <xdr:col>27</xdr:col>
      <xdr:colOff>123825</xdr:colOff>
      <xdr:row>46</xdr:row>
      <xdr:rowOff>174624</xdr:rowOff>
    </xdr:to>
    <mc:AlternateContent xmlns:mc="http://schemas.openxmlformats.org/markup-compatibility/2006" xmlns:a14="http://schemas.microsoft.com/office/drawing/2010/main">
      <mc:Choice Requires="a14">
        <xdr:graphicFrame macro="">
          <xdr:nvGraphicFramePr>
            <xdr:cNvPr id="18" name="Product_Name 1">
              <a:extLst>
                <a:ext uri="{FF2B5EF4-FFF2-40B4-BE49-F238E27FC236}">
                  <a16:creationId xmlns:a16="http://schemas.microsoft.com/office/drawing/2014/main" id="{7E29214D-B172-4351-BBE2-27001CD0A34C}"/>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4478000" y="3746499"/>
              <a:ext cx="1933575" cy="4810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363939</xdr:colOff>
      <xdr:row>5</xdr:row>
      <xdr:rowOff>88379</xdr:rowOff>
    </xdr:from>
    <xdr:to>
      <xdr:col>27</xdr:col>
      <xdr:colOff>118280</xdr:colOff>
      <xdr:row>7</xdr:row>
      <xdr:rowOff>148537</xdr:rowOff>
    </xdr:to>
    <xdr:sp macro="" textlink="">
      <xdr:nvSpPr>
        <xdr:cNvPr id="16" name="Rectangle 15">
          <a:extLst>
            <a:ext uri="{FF2B5EF4-FFF2-40B4-BE49-F238E27FC236}">
              <a16:creationId xmlns:a16="http://schemas.microsoft.com/office/drawing/2014/main" id="{826DB2BD-70BB-46D2-A379-5CA1C3CE2243}"/>
            </a:ext>
          </a:extLst>
        </xdr:cNvPr>
        <xdr:cNvSpPr/>
      </xdr:nvSpPr>
      <xdr:spPr>
        <a:xfrm>
          <a:off x="363939" y="998230"/>
          <a:ext cx="16336371" cy="424098"/>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SALES</a:t>
          </a:r>
          <a:r>
            <a:rPr lang="en-IN" sz="2800" b="1" baseline="0">
              <a:solidFill>
                <a:schemeClr val="bg1"/>
              </a:solidFill>
            </a:rPr>
            <a:t> TEAM PERFORMANCE</a:t>
          </a:r>
          <a:endParaRPr lang="en-IN" sz="2800" b="1">
            <a:solidFill>
              <a:schemeClr val="bg1"/>
            </a:solidFill>
          </a:endParaRPr>
        </a:p>
      </xdr:txBody>
    </xdr:sp>
    <xdr:clientData/>
  </xdr:twoCellAnchor>
  <xdr:twoCellAnchor editAs="oneCell">
    <xdr:from>
      <xdr:col>0</xdr:col>
      <xdr:colOff>355600</xdr:colOff>
      <xdr:row>12</xdr:row>
      <xdr:rowOff>139700</xdr:rowOff>
    </xdr:from>
    <xdr:to>
      <xdr:col>4</xdr:col>
      <xdr:colOff>419100</xdr:colOff>
      <xdr:row>22</xdr:row>
      <xdr:rowOff>103411</xdr:rowOff>
    </xdr:to>
    <mc:AlternateContent xmlns:mc="http://schemas.openxmlformats.org/markup-compatibility/2006" xmlns:a14="http://schemas.microsoft.com/office/drawing/2010/main">
      <mc:Choice Requires="a14">
        <xdr:graphicFrame macro="">
          <xdr:nvGraphicFramePr>
            <xdr:cNvPr id="8" name="Month 5">
              <a:extLst>
                <a:ext uri="{FF2B5EF4-FFF2-40B4-BE49-F238E27FC236}">
                  <a16:creationId xmlns:a16="http://schemas.microsoft.com/office/drawing/2014/main" id="{817D27CC-CB6D-4F43-B864-61A3777CB7D7}"/>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355600" y="1917700"/>
              <a:ext cx="2501900" cy="17417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520700</xdr:colOff>
      <xdr:row>13</xdr:row>
      <xdr:rowOff>0</xdr:rowOff>
    </xdr:from>
    <xdr:to>
      <xdr:col>12</xdr:col>
      <xdr:colOff>513326</xdr:colOff>
      <xdr:row>45</xdr:row>
      <xdr:rowOff>139700</xdr:rowOff>
    </xdr:to>
    <xdr:graphicFrame macro="">
      <xdr:nvGraphicFramePr>
        <xdr:cNvPr id="4" name="Chart 10">
          <a:extLst>
            <a:ext uri="{FF2B5EF4-FFF2-40B4-BE49-F238E27FC236}">
              <a16:creationId xmlns:a16="http://schemas.microsoft.com/office/drawing/2014/main" id="{EB6B4D50-2569-4E49-B934-930C35AF7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100330</xdr:colOff>
      <xdr:row>13</xdr:row>
      <xdr:rowOff>63500</xdr:rowOff>
    </xdr:from>
    <xdr:to>
      <xdr:col>23</xdr:col>
      <xdr:colOff>520700</xdr:colOff>
      <xdr:row>29</xdr:row>
      <xdr:rowOff>50800</xdr:rowOff>
    </xdr:to>
    <xdr:graphicFrame macro="">
      <xdr:nvGraphicFramePr>
        <xdr:cNvPr id="10" name="Chart 11">
          <a:extLst>
            <a:ext uri="{FF2B5EF4-FFF2-40B4-BE49-F238E27FC236}">
              <a16:creationId xmlns:a16="http://schemas.microsoft.com/office/drawing/2014/main" id="{EEB6494F-B318-445B-92C6-04A65E88D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125730</xdr:colOff>
      <xdr:row>30</xdr:row>
      <xdr:rowOff>12700</xdr:rowOff>
    </xdr:from>
    <xdr:to>
      <xdr:col>23</xdr:col>
      <xdr:colOff>457200</xdr:colOff>
      <xdr:row>45</xdr:row>
      <xdr:rowOff>0</xdr:rowOff>
    </xdr:to>
    <xdr:graphicFrame macro="">
      <xdr:nvGraphicFramePr>
        <xdr:cNvPr id="11" name="Chart 12">
          <a:extLst>
            <a:ext uri="{FF2B5EF4-FFF2-40B4-BE49-F238E27FC236}">
              <a16:creationId xmlns:a16="http://schemas.microsoft.com/office/drawing/2014/main" id="{59767133-117C-4DDC-A710-8169E61EE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290945</xdr:colOff>
      <xdr:row>0</xdr:row>
      <xdr:rowOff>152400</xdr:rowOff>
    </xdr:from>
    <xdr:to>
      <xdr:col>27</xdr:col>
      <xdr:colOff>331600</xdr:colOff>
      <xdr:row>45</xdr:row>
      <xdr:rowOff>100327</xdr:rowOff>
    </xdr:to>
    <xdr:sp macro="" textlink="">
      <xdr:nvSpPr>
        <xdr:cNvPr id="2" name="Rectangle 1">
          <a:extLst>
            <a:ext uri="{FF2B5EF4-FFF2-40B4-BE49-F238E27FC236}">
              <a16:creationId xmlns:a16="http://schemas.microsoft.com/office/drawing/2014/main" id="{4F52103E-8465-4E08-8C77-7FDEE28487F2}"/>
            </a:ext>
          </a:extLst>
        </xdr:cNvPr>
        <xdr:cNvSpPr/>
      </xdr:nvSpPr>
      <xdr:spPr>
        <a:xfrm>
          <a:off x="290945" y="152400"/>
          <a:ext cx="16499855" cy="8052836"/>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285750</xdr:colOff>
      <xdr:row>0</xdr:row>
      <xdr:rowOff>116321</xdr:rowOff>
    </xdr:from>
    <xdr:to>
      <xdr:col>27</xdr:col>
      <xdr:colOff>332508</xdr:colOff>
      <xdr:row>5</xdr:row>
      <xdr:rowOff>13855</xdr:rowOff>
    </xdr:to>
    <xdr:sp macro="" textlink="">
      <xdr:nvSpPr>
        <xdr:cNvPr id="3" name="Rectangle 2">
          <a:extLst>
            <a:ext uri="{FF2B5EF4-FFF2-40B4-BE49-F238E27FC236}">
              <a16:creationId xmlns:a16="http://schemas.microsoft.com/office/drawing/2014/main" id="{26B8855F-E133-4D81-AE42-BA5FC8FE4A89}"/>
            </a:ext>
          </a:extLst>
        </xdr:cNvPr>
        <xdr:cNvSpPr/>
      </xdr:nvSpPr>
      <xdr:spPr>
        <a:xfrm>
          <a:off x="285750" y="116321"/>
          <a:ext cx="16579437" cy="781998"/>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SALES</a:t>
          </a:r>
          <a:r>
            <a:rPr lang="en-IN" sz="2800" b="1" baseline="0">
              <a:solidFill>
                <a:schemeClr val="bg1"/>
              </a:solidFill>
            </a:rPr>
            <a:t> ANALYSIS DASHBOARD</a:t>
          </a:r>
          <a:endParaRPr lang="en-IN" sz="2800" b="1">
            <a:solidFill>
              <a:schemeClr val="bg1"/>
            </a:solidFill>
          </a:endParaRPr>
        </a:p>
      </xdr:txBody>
    </xdr:sp>
    <xdr:clientData/>
  </xdr:twoCellAnchor>
  <xdr:twoCellAnchor editAs="oneCell">
    <xdr:from>
      <xdr:col>0</xdr:col>
      <xdr:colOff>335280</xdr:colOff>
      <xdr:row>20</xdr:row>
      <xdr:rowOff>63500</xdr:rowOff>
    </xdr:from>
    <xdr:to>
      <xdr:col>4</xdr:col>
      <xdr:colOff>180109</xdr:colOff>
      <xdr:row>31</xdr:row>
      <xdr:rowOff>127000</xdr:rowOff>
    </xdr:to>
    <mc:AlternateContent xmlns:mc="http://schemas.openxmlformats.org/markup-compatibility/2006" xmlns:a14="http://schemas.microsoft.com/office/drawing/2010/main">
      <mc:Choice Requires="a14">
        <xdr:graphicFrame macro="">
          <xdr:nvGraphicFramePr>
            <xdr:cNvPr id="5" name="Product_Category 4">
              <a:extLst>
                <a:ext uri="{FF2B5EF4-FFF2-40B4-BE49-F238E27FC236}">
                  <a16:creationId xmlns:a16="http://schemas.microsoft.com/office/drawing/2014/main" id="{6BFF0351-B3DB-408B-9B30-868CEA6BA551}"/>
                </a:ext>
              </a:extLst>
            </xdr:cNvPr>
            <xdr:cNvGraphicFramePr/>
          </xdr:nvGraphicFramePr>
          <xdr:xfrm>
            <a:off x="0" y="0"/>
            <a:ext cx="0" cy="0"/>
          </xdr:xfrm>
          <a:graphic>
            <a:graphicData uri="http://schemas.microsoft.com/office/drawing/2010/slicer">
              <sle:slicer xmlns:sle="http://schemas.microsoft.com/office/drawing/2010/slicer" name="Product_Category 4"/>
            </a:graphicData>
          </a:graphic>
        </xdr:graphicFrame>
      </mc:Choice>
      <mc:Fallback xmlns="">
        <xdr:sp macro="" textlink="">
          <xdr:nvSpPr>
            <xdr:cNvPr id="0" name=""/>
            <xdr:cNvSpPr>
              <a:spLocks noTextEdit="1"/>
            </xdr:cNvSpPr>
          </xdr:nvSpPr>
          <xdr:spPr>
            <a:xfrm>
              <a:off x="335280" y="3607686"/>
              <a:ext cx="2516727" cy="2012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322873</xdr:colOff>
      <xdr:row>31</xdr:row>
      <xdr:rowOff>111125</xdr:rowOff>
    </xdr:from>
    <xdr:to>
      <xdr:col>4</xdr:col>
      <xdr:colOff>207818</xdr:colOff>
      <xdr:row>44</xdr:row>
      <xdr:rowOff>174624</xdr:rowOff>
    </xdr:to>
    <mc:AlternateContent xmlns:mc="http://schemas.openxmlformats.org/markup-compatibility/2006" xmlns:a14="http://schemas.microsoft.com/office/drawing/2010/main">
      <mc:Choice Requires="a14">
        <xdr:graphicFrame macro="">
          <xdr:nvGraphicFramePr>
            <xdr:cNvPr id="6" name="Store_Location 4">
              <a:extLst>
                <a:ext uri="{FF2B5EF4-FFF2-40B4-BE49-F238E27FC236}">
                  <a16:creationId xmlns:a16="http://schemas.microsoft.com/office/drawing/2014/main" id="{0D068283-A082-4C65-A012-767C02C67769}"/>
                </a:ext>
              </a:extLst>
            </xdr:cNvPr>
            <xdr:cNvGraphicFramePr/>
          </xdr:nvGraphicFramePr>
          <xdr:xfrm>
            <a:off x="0" y="0"/>
            <a:ext cx="0" cy="0"/>
          </xdr:xfrm>
          <a:graphic>
            <a:graphicData uri="http://schemas.microsoft.com/office/drawing/2010/slicer">
              <sle:slicer xmlns:sle="http://schemas.microsoft.com/office/drawing/2010/slicer" name="Store_Location 4"/>
            </a:graphicData>
          </a:graphic>
        </xdr:graphicFrame>
      </mc:Choice>
      <mc:Fallback xmlns="">
        <xdr:sp macro="" textlink="">
          <xdr:nvSpPr>
            <xdr:cNvPr id="0" name=""/>
            <xdr:cNvSpPr>
              <a:spLocks noTextEdit="1"/>
            </xdr:cNvSpPr>
          </xdr:nvSpPr>
          <xdr:spPr>
            <a:xfrm>
              <a:off x="322873" y="5604613"/>
              <a:ext cx="2516727" cy="236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374073</xdr:colOff>
      <xdr:row>7</xdr:row>
      <xdr:rowOff>124693</xdr:rowOff>
    </xdr:from>
    <xdr:to>
      <xdr:col>4</xdr:col>
      <xdr:colOff>138544</xdr:colOff>
      <xdr:row>11</xdr:row>
      <xdr:rowOff>110840</xdr:rowOff>
    </xdr:to>
    <xdr:sp macro="" textlink="">
      <xdr:nvSpPr>
        <xdr:cNvPr id="16" name="Rectangle: Top Corners Snipped 15">
          <a:hlinkClick xmlns:r="http://schemas.openxmlformats.org/officeDocument/2006/relationships" r:id="rId1"/>
          <a:extLst>
            <a:ext uri="{FF2B5EF4-FFF2-40B4-BE49-F238E27FC236}">
              <a16:creationId xmlns:a16="http://schemas.microsoft.com/office/drawing/2014/main" id="{946A647E-651C-46B6-9FAA-6892B13E0F45}"/>
            </a:ext>
          </a:extLst>
        </xdr:cNvPr>
        <xdr:cNvSpPr/>
      </xdr:nvSpPr>
      <xdr:spPr>
        <a:xfrm>
          <a:off x="374073" y="1385457"/>
          <a:ext cx="2202871" cy="706583"/>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Overview</a:t>
          </a:r>
          <a:endParaRPr lang="en-IN">
            <a:effectLst/>
          </a:endParaRPr>
        </a:p>
        <a:p>
          <a:pPr algn="l"/>
          <a:endParaRPr lang="en-IN" sz="1100"/>
        </a:p>
      </xdr:txBody>
    </xdr:sp>
    <xdr:clientData/>
  </xdr:twoCellAnchor>
  <xdr:twoCellAnchor editAs="oneCell">
    <xdr:from>
      <xdr:col>24</xdr:col>
      <xdr:colOff>152400</xdr:colOff>
      <xdr:row>19</xdr:row>
      <xdr:rowOff>140853</xdr:rowOff>
    </xdr:from>
    <xdr:to>
      <xdr:col>27</xdr:col>
      <xdr:colOff>124691</xdr:colOff>
      <xdr:row>45</xdr:row>
      <xdr:rowOff>8369</xdr:rowOff>
    </xdr:to>
    <mc:AlternateContent xmlns:mc="http://schemas.openxmlformats.org/markup-compatibility/2006" xmlns:a14="http://schemas.microsoft.com/office/drawing/2010/main">
      <mc:Choice Requires="a14">
        <xdr:graphicFrame macro="">
          <xdr:nvGraphicFramePr>
            <xdr:cNvPr id="17" name="Product_Name 4">
              <a:extLst>
                <a:ext uri="{FF2B5EF4-FFF2-40B4-BE49-F238E27FC236}">
                  <a16:creationId xmlns:a16="http://schemas.microsoft.com/office/drawing/2014/main" id="{6DDCB66F-C179-4C2E-AE6F-9985B2B8D48B}"/>
                </a:ext>
              </a:extLst>
            </xdr:cNvPr>
            <xdr:cNvGraphicFramePr/>
          </xdr:nvGraphicFramePr>
          <xdr:xfrm>
            <a:off x="0" y="0"/>
            <a:ext cx="0" cy="0"/>
          </xdr:xfrm>
          <a:graphic>
            <a:graphicData uri="http://schemas.microsoft.com/office/drawing/2010/slicer">
              <sle:slicer xmlns:sle="http://schemas.microsoft.com/office/drawing/2010/slicer" name="Product_Name 4"/>
            </a:graphicData>
          </a:graphic>
        </xdr:graphicFrame>
      </mc:Choice>
      <mc:Fallback xmlns="">
        <xdr:sp macro="" textlink="">
          <xdr:nvSpPr>
            <xdr:cNvPr id="0" name=""/>
            <xdr:cNvSpPr>
              <a:spLocks noTextEdit="1"/>
            </xdr:cNvSpPr>
          </xdr:nvSpPr>
          <xdr:spPr>
            <a:xfrm>
              <a:off x="14782800" y="3562926"/>
              <a:ext cx="1801091" cy="4550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277091</xdr:colOff>
      <xdr:row>5</xdr:row>
      <xdr:rowOff>13856</xdr:rowOff>
    </xdr:from>
    <xdr:to>
      <xdr:col>27</xdr:col>
      <xdr:colOff>318655</xdr:colOff>
      <xdr:row>7</xdr:row>
      <xdr:rowOff>69272</xdr:rowOff>
    </xdr:to>
    <xdr:sp macro="" textlink="">
      <xdr:nvSpPr>
        <xdr:cNvPr id="9" name="Rectangle 8">
          <a:extLst>
            <a:ext uri="{FF2B5EF4-FFF2-40B4-BE49-F238E27FC236}">
              <a16:creationId xmlns:a16="http://schemas.microsoft.com/office/drawing/2014/main" id="{CCDD2784-1A2D-4C21-BE0D-4605A43B3FB3}"/>
            </a:ext>
          </a:extLst>
        </xdr:cNvPr>
        <xdr:cNvSpPr/>
      </xdr:nvSpPr>
      <xdr:spPr>
        <a:xfrm>
          <a:off x="277091" y="914401"/>
          <a:ext cx="16500764" cy="415635"/>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CUSTOMER</a:t>
          </a:r>
          <a:r>
            <a:rPr lang="en-IN" sz="2800" b="1" baseline="0">
              <a:solidFill>
                <a:schemeClr val="bg1"/>
              </a:solidFill>
            </a:rPr>
            <a:t> ANALYSIS</a:t>
          </a:r>
          <a:endParaRPr lang="en-IN" sz="2800" b="1">
            <a:solidFill>
              <a:schemeClr val="bg1"/>
            </a:solidFill>
          </a:endParaRPr>
        </a:p>
      </xdr:txBody>
    </xdr:sp>
    <xdr:clientData/>
  </xdr:twoCellAnchor>
  <xdr:twoCellAnchor editAs="oneCell">
    <xdr:from>
      <xdr:col>24</xdr:col>
      <xdr:colOff>125107</xdr:colOff>
      <xdr:row>7</xdr:row>
      <xdr:rowOff>138544</xdr:rowOff>
    </xdr:from>
    <xdr:to>
      <xdr:col>27</xdr:col>
      <xdr:colOff>125107</xdr:colOff>
      <xdr:row>19</xdr:row>
      <xdr:rowOff>60526</xdr:rowOff>
    </xdr:to>
    <mc:AlternateContent xmlns:mc="http://schemas.openxmlformats.org/markup-compatibility/2006" xmlns:a14="http://schemas.microsoft.com/office/drawing/2010/main">
      <mc:Choice Requires="a14">
        <xdr:graphicFrame macro="">
          <xdr:nvGraphicFramePr>
            <xdr:cNvPr id="7" name="Sales_Representative 4">
              <a:extLst>
                <a:ext uri="{FF2B5EF4-FFF2-40B4-BE49-F238E27FC236}">
                  <a16:creationId xmlns:a16="http://schemas.microsoft.com/office/drawing/2014/main" id="{EF5B2335-3D3E-477F-A835-E26775602C06}"/>
                </a:ext>
              </a:extLst>
            </xdr:cNvPr>
            <xdr:cNvGraphicFramePr/>
          </xdr:nvGraphicFramePr>
          <xdr:xfrm>
            <a:off x="0" y="0"/>
            <a:ext cx="0" cy="0"/>
          </xdr:xfrm>
          <a:graphic>
            <a:graphicData uri="http://schemas.microsoft.com/office/drawing/2010/slicer">
              <sle:slicer xmlns:sle="http://schemas.microsoft.com/office/drawing/2010/slicer" name="Sales_Representative 4"/>
            </a:graphicData>
          </a:graphic>
        </xdr:graphicFrame>
      </mc:Choice>
      <mc:Fallback xmlns="">
        <xdr:sp macro="" textlink="">
          <xdr:nvSpPr>
            <xdr:cNvPr id="0" name=""/>
            <xdr:cNvSpPr>
              <a:spLocks noTextEdit="1"/>
            </xdr:cNvSpPr>
          </xdr:nvSpPr>
          <xdr:spPr>
            <a:xfrm>
              <a:off x="14755507" y="1027747"/>
              <a:ext cx="1828800" cy="2454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248684</xdr:colOff>
      <xdr:row>7</xdr:row>
      <xdr:rowOff>96348</xdr:rowOff>
    </xdr:from>
    <xdr:to>
      <xdr:col>19</xdr:col>
      <xdr:colOff>89934</xdr:colOff>
      <xdr:row>11</xdr:row>
      <xdr:rowOff>80473</xdr:rowOff>
    </xdr:to>
    <xdr:sp macro="" textlink="">
      <xdr:nvSpPr>
        <xdr:cNvPr id="14" name="Rectangle: Top Corners Snipped 13">
          <a:hlinkClick xmlns:r="http://schemas.openxmlformats.org/officeDocument/2006/relationships" r:id="rId2"/>
          <a:extLst>
            <a:ext uri="{FF2B5EF4-FFF2-40B4-BE49-F238E27FC236}">
              <a16:creationId xmlns:a16="http://schemas.microsoft.com/office/drawing/2014/main" id="{4656246E-C34B-481E-89C5-64C0E8CA772E}"/>
            </a:ext>
          </a:extLst>
        </xdr:cNvPr>
        <xdr:cNvSpPr/>
      </xdr:nvSpPr>
      <xdr:spPr>
        <a:xfrm>
          <a:off x="8783084" y="1357112"/>
          <a:ext cx="2889250" cy="704561"/>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chemeClr val="bg1"/>
              </a:solidFill>
              <a:latin typeface="+mn-lt"/>
              <a:ea typeface="+mn-ea"/>
              <a:cs typeface="+mn-cs"/>
            </a:rPr>
            <a:t>Sales Team Performance</a:t>
          </a:r>
        </a:p>
      </xdr:txBody>
    </xdr:sp>
    <xdr:clientData/>
  </xdr:twoCellAnchor>
  <xdr:twoCellAnchor>
    <xdr:from>
      <xdr:col>19</xdr:col>
      <xdr:colOff>179356</xdr:colOff>
      <xdr:row>7</xdr:row>
      <xdr:rowOff>114311</xdr:rowOff>
    </xdr:from>
    <xdr:to>
      <xdr:col>24</xdr:col>
      <xdr:colOff>20606</xdr:colOff>
      <xdr:row>11</xdr:row>
      <xdr:rowOff>95536</xdr:rowOff>
    </xdr:to>
    <xdr:sp macro="" textlink="">
      <xdr:nvSpPr>
        <xdr:cNvPr id="15" name="Rectangle: Top Corners Snipped 14">
          <a:hlinkClick xmlns:r="http://schemas.openxmlformats.org/officeDocument/2006/relationships" r:id="rId3"/>
          <a:extLst>
            <a:ext uri="{FF2B5EF4-FFF2-40B4-BE49-F238E27FC236}">
              <a16:creationId xmlns:a16="http://schemas.microsoft.com/office/drawing/2014/main" id="{297245FE-559C-4C88-8C16-231BA1B71D15}"/>
            </a:ext>
          </a:extLst>
        </xdr:cNvPr>
        <xdr:cNvSpPr/>
      </xdr:nvSpPr>
      <xdr:spPr>
        <a:xfrm>
          <a:off x="11761756" y="1375075"/>
          <a:ext cx="2889250" cy="701661"/>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b="1">
              <a:solidFill>
                <a:schemeClr val="bg1"/>
              </a:solidFill>
              <a:latin typeface="+mn-lt"/>
              <a:ea typeface="+mn-ea"/>
              <a:cs typeface="+mn-cs"/>
            </a:rPr>
            <a:t>Customer</a:t>
          </a:r>
          <a:r>
            <a:rPr lang="en-IN" sz="1800" b="1" baseline="0">
              <a:solidFill>
                <a:schemeClr val="bg1"/>
              </a:solidFill>
              <a:latin typeface="+mn-lt"/>
              <a:ea typeface="+mn-ea"/>
              <a:cs typeface="+mn-cs"/>
            </a:rPr>
            <a:t> Analysis</a:t>
          </a:r>
          <a:endParaRPr lang="en-IN" sz="1800" b="1">
            <a:solidFill>
              <a:schemeClr val="bg1"/>
            </a:solidFill>
            <a:latin typeface="+mn-lt"/>
            <a:ea typeface="+mn-ea"/>
            <a:cs typeface="+mn-cs"/>
          </a:endParaRPr>
        </a:p>
      </xdr:txBody>
    </xdr:sp>
    <xdr:clientData/>
  </xdr:twoCellAnchor>
  <xdr:twoCellAnchor>
    <xdr:from>
      <xdr:col>4</xdr:col>
      <xdr:colOff>254000</xdr:colOff>
      <xdr:row>7</xdr:row>
      <xdr:rowOff>107085</xdr:rowOff>
    </xdr:from>
    <xdr:to>
      <xdr:col>9</xdr:col>
      <xdr:colOff>95250</xdr:colOff>
      <xdr:row>11</xdr:row>
      <xdr:rowOff>91210</xdr:rowOff>
    </xdr:to>
    <xdr:sp macro="" textlink="">
      <xdr:nvSpPr>
        <xdr:cNvPr id="12" name="Rectangle: Top Corners Snipped 11">
          <a:hlinkClick xmlns:r="http://schemas.openxmlformats.org/officeDocument/2006/relationships" r:id="rId4"/>
          <a:extLst>
            <a:ext uri="{FF2B5EF4-FFF2-40B4-BE49-F238E27FC236}">
              <a16:creationId xmlns:a16="http://schemas.microsoft.com/office/drawing/2014/main" id="{D6124850-C9AD-412F-B762-9E7E4413C3B4}"/>
            </a:ext>
          </a:extLst>
        </xdr:cNvPr>
        <xdr:cNvSpPr/>
      </xdr:nvSpPr>
      <xdr:spPr>
        <a:xfrm>
          <a:off x="2692400" y="1367849"/>
          <a:ext cx="2889250" cy="704561"/>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lt1"/>
              </a:solidFill>
              <a:effectLst/>
              <a:latin typeface="+mn-lt"/>
              <a:ea typeface="+mn-ea"/>
              <a:cs typeface="+mn-cs"/>
            </a:rPr>
            <a:t>Product Performance</a:t>
          </a:r>
          <a:endParaRPr lang="en-IN" sz="4400">
            <a:effectLst/>
          </a:endParaRPr>
        </a:p>
        <a:p>
          <a:pPr marL="0" indent="0" algn="ctr"/>
          <a:endParaRPr lang="en-IN" sz="2800" b="1">
            <a:solidFill>
              <a:schemeClr val="accent1"/>
            </a:solidFill>
            <a:latin typeface="+mn-lt"/>
            <a:ea typeface="+mn-ea"/>
            <a:cs typeface="+mn-cs"/>
          </a:endParaRPr>
        </a:p>
      </xdr:txBody>
    </xdr:sp>
    <xdr:clientData/>
  </xdr:twoCellAnchor>
  <xdr:twoCellAnchor>
    <xdr:from>
      <xdr:col>9</xdr:col>
      <xdr:colOff>281071</xdr:colOff>
      <xdr:row>7</xdr:row>
      <xdr:rowOff>112514</xdr:rowOff>
    </xdr:from>
    <xdr:to>
      <xdr:col>14</xdr:col>
      <xdr:colOff>122321</xdr:colOff>
      <xdr:row>11</xdr:row>
      <xdr:rowOff>110838</xdr:rowOff>
    </xdr:to>
    <xdr:sp macro="" textlink="">
      <xdr:nvSpPr>
        <xdr:cNvPr id="13" name="Rectangle: Top Corners Snipped 12">
          <a:hlinkClick xmlns:r="http://schemas.openxmlformats.org/officeDocument/2006/relationships" r:id="rId5"/>
          <a:extLst>
            <a:ext uri="{FF2B5EF4-FFF2-40B4-BE49-F238E27FC236}">
              <a16:creationId xmlns:a16="http://schemas.microsoft.com/office/drawing/2014/main" id="{C90BB51B-4413-4B5D-AA16-730BDDFF5E5A}"/>
            </a:ext>
          </a:extLst>
        </xdr:cNvPr>
        <xdr:cNvSpPr/>
      </xdr:nvSpPr>
      <xdr:spPr>
        <a:xfrm>
          <a:off x="5767471" y="1373278"/>
          <a:ext cx="2889250" cy="718760"/>
        </a:xfrm>
        <a:prstGeom prst="snip2Same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Store Analysis</a:t>
          </a:r>
          <a:endParaRPr lang="en-IN" sz="4000">
            <a:effectLst/>
          </a:endParaRPr>
        </a:p>
        <a:p>
          <a:pPr marL="0" indent="0" algn="ctr"/>
          <a:endParaRPr lang="en-IN" sz="2000" b="1">
            <a:solidFill>
              <a:schemeClr val="accent1"/>
            </a:solidFill>
            <a:latin typeface="+mn-lt"/>
            <a:ea typeface="+mn-ea"/>
            <a:cs typeface="+mn-cs"/>
          </a:endParaRPr>
        </a:p>
      </xdr:txBody>
    </xdr:sp>
    <xdr:clientData/>
  </xdr:twoCellAnchor>
  <xdr:twoCellAnchor editAs="oneCell">
    <xdr:from>
      <xdr:col>0</xdr:col>
      <xdr:colOff>304800</xdr:colOff>
      <xdr:row>11</xdr:row>
      <xdr:rowOff>110836</xdr:rowOff>
    </xdr:from>
    <xdr:to>
      <xdr:col>4</xdr:col>
      <xdr:colOff>235527</xdr:colOff>
      <xdr:row>20</xdr:row>
      <xdr:rowOff>76856</xdr:rowOff>
    </xdr:to>
    <mc:AlternateContent xmlns:mc="http://schemas.openxmlformats.org/markup-compatibility/2006" xmlns:a14="http://schemas.microsoft.com/office/drawing/2010/main">
      <mc:Choice Requires="a14">
        <xdr:graphicFrame macro="">
          <xdr:nvGraphicFramePr>
            <xdr:cNvPr id="11" name="Month 6">
              <a:extLst>
                <a:ext uri="{FF2B5EF4-FFF2-40B4-BE49-F238E27FC236}">
                  <a16:creationId xmlns:a16="http://schemas.microsoft.com/office/drawing/2014/main" id="{6DF65D81-DE9B-4816-9CC1-4FAC0EC8935C}"/>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304800" y="2092036"/>
              <a:ext cx="2576945" cy="1587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401781</xdr:colOff>
      <xdr:row>11</xdr:row>
      <xdr:rowOff>83127</xdr:rowOff>
    </xdr:from>
    <xdr:to>
      <xdr:col>14</xdr:col>
      <xdr:colOff>155317</xdr:colOff>
      <xdr:row>44</xdr:row>
      <xdr:rowOff>152400</xdr:rowOff>
    </xdr:to>
    <xdr:graphicFrame macro="">
      <xdr:nvGraphicFramePr>
        <xdr:cNvPr id="4" name="Chart 13">
          <a:extLst>
            <a:ext uri="{FF2B5EF4-FFF2-40B4-BE49-F238E27FC236}">
              <a16:creationId xmlns:a16="http://schemas.microsoft.com/office/drawing/2014/main" id="{B6BBA399-590A-42FB-9CE9-7F3BC9ACF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249382</xdr:colOff>
      <xdr:row>11</xdr:row>
      <xdr:rowOff>138546</xdr:rowOff>
    </xdr:from>
    <xdr:to>
      <xdr:col>24</xdr:col>
      <xdr:colOff>0</xdr:colOff>
      <xdr:row>28</xdr:row>
      <xdr:rowOff>37728</xdr:rowOff>
    </xdr:to>
    <xdr:graphicFrame macro="">
      <xdr:nvGraphicFramePr>
        <xdr:cNvPr id="18" name="Chart 14">
          <a:extLst>
            <a:ext uri="{FF2B5EF4-FFF2-40B4-BE49-F238E27FC236}">
              <a16:creationId xmlns:a16="http://schemas.microsoft.com/office/drawing/2014/main" id="{BB31248F-A313-4786-A170-59DF9F3E4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332509</xdr:colOff>
      <xdr:row>28</xdr:row>
      <xdr:rowOff>96981</xdr:rowOff>
    </xdr:from>
    <xdr:to>
      <xdr:col>23</xdr:col>
      <xdr:colOff>471055</xdr:colOff>
      <xdr:row>44</xdr:row>
      <xdr:rowOff>120650</xdr:rowOff>
    </xdr:to>
    <xdr:graphicFrame macro="">
      <xdr:nvGraphicFramePr>
        <xdr:cNvPr id="20" name="Chart 15">
          <a:extLst>
            <a:ext uri="{FF2B5EF4-FFF2-40B4-BE49-F238E27FC236}">
              <a16:creationId xmlns:a16="http://schemas.microsoft.com/office/drawing/2014/main" id="{7B490936-BEB7-436E-B4AE-A9A9DF4AD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Sudha" refreshedDate="46149.688834837965" createdVersion="8" refreshedVersion="8" minRefreshableVersion="3" recordCount="4000" xr:uid="{FC852A90-A4F4-4A16-A934-29AA3AD528A2}">
  <cacheSource type="worksheet">
    <worksheetSource name="Table1"/>
  </cacheSource>
  <cacheFields count="20">
    <cacheField name="Transaction_ID" numFmtId="0">
      <sharedItems/>
    </cacheField>
    <cacheField name="Customer_Name" numFmtId="0">
      <sharedItems count="15">
        <s v="Pooja Malhotra"/>
        <s v="Vikram Joshi"/>
        <s v="Neha Gupta"/>
        <s v="Sneha Kapoor"/>
        <s v="Simran Kaur"/>
        <s v="Arjun Mehta"/>
        <s v="Priya Verma"/>
        <s v="Rahul Singh"/>
        <s v="Aditya Roy"/>
        <s v="Rohan Patel"/>
        <s v="Manish Kumar"/>
        <s v="Ananya Das"/>
        <s v="Kavya Nair"/>
        <s v="Aarav Sharma"/>
        <s v="Yash Jain"/>
      </sharedItems>
    </cacheField>
    <cacheField name="Product_Category" numFmtId="0">
      <sharedItems count="5">
        <s v="Electronics"/>
        <s v="Furniture"/>
        <s v="Sports"/>
        <s v="Clothing"/>
        <s v="Home Appliances"/>
      </sharedItems>
    </cacheField>
    <cacheField name="Product_Name" numFmtId="0">
      <sharedItems count="25">
        <s v="Laptop"/>
        <s v="Headphones"/>
        <s v="Dining Table"/>
        <s v="Tablet"/>
        <s v="Bookshelf"/>
        <s v="Football"/>
        <s v="Smartphone"/>
        <s v="Jeans"/>
        <s v="Sofa"/>
        <s v="Dumbbells"/>
        <s v="Cricket Bat"/>
        <s v="Tennis Racket"/>
        <s v="Office Chair"/>
        <s v="Desk"/>
        <s v="Iron"/>
        <s v="T-Shirt"/>
        <s v="Kurta"/>
        <s v="Mixer"/>
        <s v="Microwave"/>
        <s v="Air Fryer"/>
        <s v="Jacket"/>
        <s v="Shoes"/>
        <s v="Yoga Mat"/>
        <s v="Vacuum Cleaner"/>
        <s v="Smartwatch"/>
      </sharedItems>
    </cacheField>
    <cacheField name="Store_Location" numFmtId="0">
      <sharedItems count="7">
        <s v="Bangalore"/>
        <s v="Delhi"/>
        <s v="Chennai"/>
        <s v="Kolkata"/>
        <s v="Mumbai"/>
        <s v="Hyderabad"/>
        <s v="Pune"/>
      </sharedItems>
    </cacheField>
    <cacheField name="Date" numFmtId="14">
      <sharedItems containsSemiMixedTypes="0" containsNonDate="0" containsDate="1" containsString="0" minDate="2024-01-01T00:00:00" maxDate="2026-01-01T00:00:00"/>
    </cacheField>
    <cacheField name="Units_Sold" numFmtId="0">
      <sharedItems containsSemiMixedTypes="0" containsString="0" containsNumber="1" containsInteger="1" minValue="1" maxValue="10" count="10">
        <n v="3"/>
        <n v="4"/>
        <n v="8"/>
        <n v="6"/>
        <n v="7"/>
        <n v="2"/>
        <n v="9"/>
        <n v="5"/>
        <n v="1"/>
        <n v="10"/>
      </sharedItems>
    </cacheField>
    <cacheField name="Unit_Price" numFmtId="0">
      <sharedItems containsSemiMixedTypes="0" containsString="0" containsNumber="1" minValue="720.86" maxValue="80872.08"/>
    </cacheField>
    <cacheField name="Discount_%" numFmtId="0">
      <sharedItems containsSemiMixedTypes="0" containsString="0" containsNumber="1" containsInteger="1" minValue="0" maxValue="20"/>
    </cacheField>
    <cacheField name="Sales_Representative" numFmtId="0">
      <sharedItems count="8">
        <s v="Sonal"/>
        <s v="Amit"/>
        <s v="Varun"/>
        <s v="Karan"/>
        <s v="Deepak"/>
        <s v="Nidhi"/>
        <s v="Meena"/>
        <s v="Riya"/>
      </sharedItems>
    </cacheField>
    <cacheField name="Discount_Amount" numFmtId="0">
      <sharedItems containsSemiMixedTypes="0" containsString="0" containsNumber="1" minValue="0" maxValue="138068.78"/>
    </cacheField>
    <cacheField name="Gross_Sale" numFmtId="0">
      <sharedItems containsSemiMixedTypes="0" containsString="0" containsNumber="1" minValue="724.12" maxValue="785003.5" count="3999">
        <n v="211402.98"/>
        <n v="11498"/>
        <n v="25135.599999999999"/>
        <n v="138832.85999999999"/>
        <n v="148904.24"/>
        <n v="12913.72"/>
        <n v="54291.65"/>
        <n v="18520.18"/>
        <n v="11344.23"/>
        <n v="114568.4"/>
        <n v="14821.76"/>
        <n v="277339.71999999997"/>
        <n v="14267.64"/>
        <n v="14284.6"/>
        <n v="15130.35"/>
        <n v="40234.660000000003"/>
        <n v="51226.83"/>
        <n v="20154.240000000002"/>
        <n v="52992.24"/>
        <n v="120755.7"/>
        <n v="219944.6"/>
        <n v="2953.56"/>
        <n v="1148.68"/>
        <n v="6713.04"/>
        <n v="18471.64"/>
        <n v="3020"/>
        <n v="165527.6"/>
        <n v="59886.36"/>
        <n v="94551.31"/>
        <n v="28948.29"/>
        <n v="130072.1"/>
        <n v="6763.41"/>
        <n v="110103.84"/>
        <n v="416522.7"/>
        <n v="8990.5"/>
        <n v="67538.559999999998"/>
        <n v="436884.24"/>
        <n v="28411.65"/>
        <n v="1736.96"/>
        <n v="17961.150000000001"/>
        <n v="63920.29"/>
        <n v="1670.34"/>
        <n v="6828.42"/>
        <n v="39141.42"/>
        <n v="5041.59"/>
        <n v="26324.25"/>
        <n v="27647.599999999999"/>
        <n v="36830.9"/>
        <n v="5596.3"/>
        <n v="276198.09000000003"/>
        <n v="5782.08"/>
        <n v="19267.36"/>
        <n v="8707.9500000000007"/>
        <n v="11195.45"/>
        <n v="39038.75"/>
        <n v="12126.48"/>
        <n v="9612.3799999999992"/>
        <n v="4207.1000000000004"/>
        <n v="12166.24"/>
        <n v="28079.119999999999"/>
        <n v="103928.31"/>
        <n v="132450.20000000001"/>
        <n v="8159.6"/>
        <n v="9705.48"/>
        <n v="10057.049999999999"/>
        <n v="48189.279999999999"/>
        <n v="71347.149999999994"/>
        <n v="14849.55"/>
        <n v="82658.73"/>
        <n v="260274.5"/>
        <n v="6755.27"/>
        <n v="185390.59"/>
        <n v="16363.04"/>
        <n v="71972.73"/>
        <n v="9463.26"/>
        <n v="94101.6"/>
        <n v="66754.399999999994"/>
        <n v="22372.98"/>
        <n v="1815.08"/>
        <n v="118115.28"/>
        <n v="8403.0499999999993"/>
        <n v="1688.9"/>
        <n v="154011"/>
        <n v="17887.52"/>
        <n v="47769.95"/>
        <n v="22110.66"/>
        <n v="19527.66"/>
        <n v="151028"/>
        <n v="3921.28"/>
        <n v="26271.9"/>
        <n v="28283.279999999999"/>
        <n v="128890.02"/>
        <n v="92961.279999999999"/>
        <n v="35441.980000000003"/>
        <n v="5684.48"/>
        <n v="24911.94"/>
        <n v="7375.59"/>
        <n v="41013.9"/>
        <n v="9637.44"/>
        <n v="5085.88"/>
        <n v="16792.14"/>
        <n v="26169.5"/>
        <n v="23914.71"/>
        <n v="315836.88"/>
        <n v="6221.12"/>
        <n v="13934.7"/>
        <n v="2367.2399999999998"/>
        <n v="23339.35"/>
        <n v="32263.68"/>
        <n v="9557.34"/>
        <n v="73283.92"/>
        <n v="14668.74"/>
        <n v="172282.5"/>
        <n v="28970.080000000002"/>
        <n v="16761"/>
        <n v="29326.74"/>
        <n v="117959.8"/>
        <n v="27384.49"/>
        <n v="52060.47"/>
        <n v="4744.6400000000003"/>
        <n v="3639.32"/>
        <n v="426301.68"/>
        <n v="110369.04"/>
        <n v="10170.959999999999"/>
        <n v="7440.75"/>
        <n v="13945.35"/>
        <n v="182521.64"/>
        <n v="4009.71"/>
        <n v="25778.28"/>
        <n v="2229.1799999999998"/>
        <n v="3382.22"/>
        <n v="121864.14"/>
        <n v="13688.64"/>
        <n v="158108.93"/>
        <n v="54174.61"/>
        <n v="106191.32"/>
        <n v="8617.35"/>
        <n v="198550.56"/>
        <n v="3325.26"/>
        <n v="64715.12"/>
        <n v="5426.26"/>
        <n v="20178.72"/>
        <n v="5295.68"/>
        <n v="6812.49"/>
        <n v="1781.21"/>
        <n v="2930.67"/>
        <n v="602721.30000000005"/>
        <n v="36608.25"/>
        <n v="80816.800000000003"/>
        <n v="29102.400000000001"/>
        <n v="14193.36"/>
        <n v="26928.560000000001"/>
        <n v="11297.44"/>
        <n v="3323.9"/>
        <n v="3970.7"/>
        <n v="184833.6"/>
        <n v="66867.960000000006"/>
        <n v="5443.45"/>
        <n v="37251.800000000003"/>
        <n v="42563.29"/>
        <n v="9863.19"/>
        <n v="656832.19999999995"/>
        <n v="213910.9"/>
        <n v="12034.19"/>
        <n v="122753.8"/>
        <n v="41002.639999999999"/>
        <n v="7104.57"/>
        <n v="18718.28"/>
        <n v="109537.44"/>
        <n v="135806.39999999999"/>
        <n v="15365.34"/>
        <n v="6792.28"/>
        <n v="272492.3"/>
        <n v="36682.879999999997"/>
        <n v="6843.22"/>
        <n v="136987.78"/>
        <n v="106295.9"/>
        <n v="9924.68"/>
        <n v="27545.919999999998"/>
        <n v="38584.42"/>
        <n v="13854.42"/>
        <n v="8051.78"/>
        <n v="37702.300000000003"/>
        <n v="20775.689999999999"/>
        <n v="3547.56"/>
        <n v="27110.76"/>
        <n v="16424.87"/>
        <n v="7697.46"/>
        <n v="12957.21"/>
        <n v="43781.25"/>
        <n v="15096.39"/>
        <n v="19197.72"/>
        <n v="6625.04"/>
        <n v="56282.94"/>
        <n v="16372.35"/>
        <n v="24099.52"/>
        <n v="21456.32"/>
        <n v="55458.6"/>
        <n v="25182.75"/>
        <n v="4082.24"/>
        <n v="21861.200000000001"/>
        <n v="20165.939999999999"/>
        <n v="5958.24"/>
        <n v="72739.679999999993"/>
        <n v="247390.11"/>
        <n v="58900.2"/>
        <n v="26602.73"/>
        <n v="15660.18"/>
        <n v="17155.3"/>
        <n v="27660.799999999999"/>
        <n v="17339.490000000002"/>
        <n v="68760.63"/>
        <n v="15011.12"/>
        <n v="22310.22"/>
        <n v="513415.49"/>
        <n v="18786.150000000001"/>
        <n v="20244.060000000001"/>
        <n v="157559.67000000001"/>
        <n v="52704.800000000003"/>
        <n v="29371.95"/>
        <n v="137628.68"/>
        <n v="214005.44"/>
        <n v="287200.48"/>
        <n v="20406.3"/>
        <n v="10587.64"/>
        <n v="5658.93"/>
        <n v="13275.71"/>
        <n v="312237.56"/>
        <n v="14035.1"/>
        <n v="12046.88"/>
        <n v="60394.92"/>
        <n v="18612.64"/>
        <n v="120544"/>
        <n v="22979.84"/>
        <n v="73030.14"/>
        <n v="369381.68"/>
        <n v="8404.59"/>
        <n v="68303.789999999994"/>
        <n v="4425.3"/>
        <n v="15591.84"/>
        <n v="10935.91"/>
        <n v="12621.78"/>
        <n v="11089.74"/>
        <n v="4464.3999999999996"/>
        <n v="11596.56"/>
        <n v="11418.39"/>
        <n v="136446.20000000001"/>
        <n v="45050.25"/>
        <n v="16989.57"/>
        <n v="13536.4"/>
        <n v="6826.08"/>
        <n v="11798.16"/>
        <n v="3443.12"/>
        <n v="10690.98"/>
        <n v="6641.92"/>
        <n v="960.71"/>
        <n v="97694.399999999994"/>
        <n v="26911.200000000001"/>
        <n v="33531.9"/>
        <n v="191973.25"/>
        <n v="4459.8"/>
        <n v="21823.64"/>
        <n v="164653.79999999999"/>
        <n v="106054.02"/>
        <n v="24129.91"/>
        <n v="51513.24"/>
        <n v="78362.820000000007"/>
        <n v="55055.46"/>
        <n v="3925.68"/>
        <n v="27841.599999999999"/>
        <n v="8018.1"/>
        <n v="227558.43"/>
        <n v="12476.39"/>
        <n v="64278"/>
        <n v="777.42"/>
        <n v="161010.92000000001"/>
        <n v="25967.16"/>
        <n v="503157.27"/>
        <n v="8818.9599999999991"/>
        <n v="22709.9"/>
        <n v="103494"/>
        <n v="437253.8"/>
        <n v="38751.550000000003"/>
        <n v="8752.56"/>
        <n v="4387.38"/>
        <n v="16356.45"/>
        <n v="17347.48"/>
        <n v="25560.76"/>
        <n v="54053.8"/>
        <n v="26206.18"/>
        <n v="29064.560000000001"/>
        <n v="54445.1"/>
        <n v="15287.2"/>
        <n v="15574.9"/>
        <n v="19700.2"/>
        <n v="13699.52"/>
        <n v="38882.82"/>
        <n v="43643.39"/>
        <n v="49268.800000000003"/>
        <n v="23863.84"/>
        <n v="20346.45"/>
        <n v="25318.68"/>
        <n v="24861.34"/>
        <n v="8125.7"/>
        <n v="4557.33"/>
        <n v="11253.2"/>
        <n v="85162.2"/>
        <n v="6974.45"/>
        <n v="389241.27"/>
        <n v="20118.77"/>
        <n v="2910.96"/>
        <n v="38517.24"/>
        <n v="6075.36"/>
        <n v="22149.119999999999"/>
        <n v="15149.56"/>
        <n v="9884.7800000000007"/>
        <n v="25086.3"/>
        <n v="8707.58"/>
        <n v="23740.29"/>
        <n v="32292.32"/>
        <n v="23318.46"/>
        <n v="10402.92"/>
        <n v="80392.639999999999"/>
        <n v="3399.06"/>
        <n v="20192.28"/>
        <n v="36979.449999999997"/>
        <n v="72351.44"/>
        <n v="10644"/>
        <n v="285357.73"/>
        <n v="10776.06"/>
        <n v="6023.95"/>
        <n v="103027.88"/>
        <n v="7508"/>
        <n v="152865.35999999999"/>
        <n v="7099.47"/>
        <n v="35258.6"/>
        <n v="26397.02"/>
        <n v="42707"/>
        <n v="1776.56"/>
        <n v="11054.3"/>
        <n v="5152.1400000000003"/>
        <n v="30650.04"/>
        <n v="117437.4"/>
        <n v="7115.88"/>
        <n v="44171.92"/>
        <n v="54490.45"/>
        <n v="7469.52"/>
        <n v="2725"/>
        <n v="1336.41"/>
        <n v="75059.8"/>
        <n v="12510.22"/>
        <n v="13369.6"/>
        <n v="13959.5"/>
        <n v="85878.66"/>
        <n v="3302.36"/>
        <n v="12704.56"/>
        <n v="23211.200000000001"/>
        <n v="2506.59"/>
        <n v="468087.84"/>
        <n v="55400.1"/>
        <n v="5915.84"/>
        <n v="25745.599999999999"/>
        <n v="265026.53999999998"/>
        <n v="46290.02"/>
        <n v="5447.58"/>
        <n v="13952.68"/>
        <n v="2805"/>
        <n v="17446.36"/>
        <n v="48926.81"/>
        <n v="212308.5"/>
        <n v="100952.8"/>
        <n v="33728.129999999997"/>
        <n v="236588.76"/>
        <n v="9666.3700000000008"/>
        <n v="11306.08"/>
        <n v="333406.78000000003"/>
        <n v="263052"/>
        <n v="6210.32"/>
        <n v="27951.96"/>
        <n v="589425.39"/>
        <n v="62431.040000000001"/>
        <n v="3445.56"/>
        <n v="66166.17"/>
        <n v="80314.850000000006"/>
        <n v="44632.800000000003"/>
        <n v="26861.94"/>
        <n v="19953.54"/>
        <n v="22988.959999999999"/>
        <n v="4969.84"/>
        <n v="1674.28"/>
        <n v="11303.19"/>
        <n v="16421.72"/>
        <n v="9496.02"/>
        <n v="12777.44"/>
        <n v="22586.240000000002"/>
        <n v="11724.96"/>
        <n v="650709"/>
        <n v="49260.87"/>
        <n v="15591.87"/>
        <n v="71214.990000000005"/>
        <n v="919.43"/>
        <n v="13626.84"/>
        <n v="39827.29"/>
        <n v="78908.240000000005"/>
        <n v="39224.29"/>
        <n v="275772.40000000002"/>
        <n v="269259.18"/>
        <n v="7478.76"/>
        <n v="49553.2"/>
        <n v="119239.74"/>
        <n v="124611.3"/>
        <n v="26262.18"/>
        <n v="188777.85"/>
        <n v="596405.88"/>
        <n v="6587.22"/>
        <n v="7748.16"/>
        <n v="8123.16"/>
        <n v="88289.1"/>
        <n v="38419.199999999997"/>
        <n v="254657.6"/>
        <n v="49736.1"/>
        <n v="2962.86"/>
        <n v="465588.06"/>
        <n v="9406.64"/>
        <n v="35476.28"/>
        <n v="67398.399999999994"/>
        <n v="23586.560000000001"/>
        <n v="8038.4"/>
        <n v="6931.45"/>
        <n v="32631.62"/>
        <n v="6269.27"/>
        <n v="17039.64"/>
        <n v="15104.3"/>
        <n v="74764.84"/>
        <n v="18343.2"/>
        <n v="26410.16"/>
        <n v="79840.320000000007"/>
        <n v="6546.26"/>
        <n v="40305.4"/>
        <n v="76642"/>
        <n v="7509.68"/>
        <n v="267550.8"/>
        <n v="63291.68"/>
        <n v="109960.45"/>
        <n v="71425.2"/>
        <n v="251279.37"/>
        <n v="12094.2"/>
        <n v="43596.84"/>
        <n v="13341.51"/>
        <n v="209344"/>
        <n v="1973.35"/>
        <n v="5107.2"/>
        <n v="7963.83"/>
        <n v="138318.35"/>
        <n v="16425.27"/>
        <n v="26306.6"/>
        <n v="51530.22"/>
        <n v="18018.400000000001"/>
        <n v="42048.3"/>
        <n v="23574.76"/>
        <n v="23395.77"/>
        <n v="84237.78"/>
        <n v="10723.56"/>
        <n v="15676.2"/>
        <n v="55649.58"/>
        <n v="280802.8"/>
        <n v="62922.080000000002"/>
        <n v="2505.7800000000002"/>
        <n v="26972.89"/>
        <n v="3930.51"/>
        <n v="35208.839999999997"/>
        <n v="1461.83"/>
        <n v="4435.5600000000004"/>
        <n v="6883.76"/>
        <n v="38800.019999999997"/>
        <n v="8523.94"/>
        <n v="563463"/>
        <n v="57469.14"/>
        <n v="60290.46"/>
        <n v="158316.88"/>
        <n v="14150.16"/>
        <n v="142334.6"/>
        <n v="100590.85"/>
        <n v="39857.339999999997"/>
        <n v="210674.43"/>
        <n v="5106.8999999999996"/>
        <n v="96797.759999999995"/>
        <n v="50200.34"/>
        <n v="11495.33"/>
        <n v="182298.64"/>
        <n v="5437.2"/>
        <n v="44768.94"/>
        <n v="123167.03999999999"/>
        <n v="51887.8"/>
        <n v="11036.48"/>
        <n v="25101.3"/>
        <n v="526524.84"/>
        <n v="50053.919999999998"/>
        <n v="262496.90000000002"/>
        <n v="20764.5"/>
        <n v="15346.59"/>
        <n v="120191.05"/>
        <n v="8191.1"/>
        <n v="14634.72"/>
        <n v="15566.3"/>
        <n v="49228.62"/>
        <n v="22429.08"/>
        <n v="9428.0400000000009"/>
        <n v="151184.07"/>
        <n v="11992.14"/>
        <n v="14426.55"/>
        <n v="3202.69"/>
        <n v="1930.77"/>
        <n v="446803.5"/>
        <n v="49791.33"/>
        <n v="33764.480000000003"/>
        <n v="40488.15"/>
        <n v="12085.52"/>
        <n v="10979.1"/>
        <n v="305465.90000000002"/>
        <n v="10210.379999999999"/>
        <n v="23270.85"/>
        <n v="11563.92"/>
        <n v="27308.28"/>
        <n v="2391.52"/>
        <n v="7281.99"/>
        <n v="6171.69"/>
        <n v="12278.6"/>
        <n v="59769.74"/>
        <n v="12789.94"/>
        <n v="17447.64"/>
        <n v="8482.85"/>
        <n v="25016.400000000001"/>
        <n v="19346.810000000001"/>
        <n v="105164.46"/>
        <n v="3154.4"/>
        <n v="8576.4"/>
        <n v="22688.14"/>
        <n v="6353.64"/>
        <n v="18315.240000000002"/>
        <n v="292835.3"/>
        <n v="108144.96000000001"/>
        <n v="167920.74"/>
        <n v="15103.08"/>
        <n v="69538.240000000005"/>
        <n v="650834.4"/>
        <n v="19630.8"/>
        <n v="5537.94"/>
        <n v="3401.22"/>
        <n v="91571.520000000004"/>
        <n v="54214.8"/>
        <n v="186495.8"/>
        <n v="49704.1"/>
        <n v="40384.559999999998"/>
        <n v="11457.36"/>
        <n v="52992.92"/>
        <n v="65821.8"/>
        <n v="204704.46"/>
        <n v="44093.279999999999"/>
        <n v="160822.88"/>
        <n v="217379.25"/>
        <n v="9797.06"/>
        <n v="369629.9"/>
        <n v="42593.919999999998"/>
        <n v="17370.43"/>
        <n v="28276.080000000002"/>
        <n v="13591.44"/>
        <n v="66920.94"/>
        <n v="66718.5"/>
        <n v="5686.02"/>
        <n v="155966.04"/>
        <n v="7608.68"/>
        <n v="62578.26"/>
        <n v="226293.12"/>
        <n v="591135.19999999995"/>
        <n v="15087"/>
        <n v="10959.9"/>
        <n v="5106.04"/>
        <n v="138788.85999999999"/>
        <n v="21850.29"/>
        <n v="10266.9"/>
        <n v="12509.28"/>
        <n v="8662.7999999999993"/>
        <n v="14129.28"/>
        <n v="29938.400000000001"/>
        <n v="7937.05"/>
        <n v="47442.48"/>
        <n v="6902.76"/>
        <n v="10141.200000000001"/>
        <n v="70918.97"/>
        <n v="78203.5"/>
        <n v="109624.44"/>
        <n v="4564.3500000000004"/>
        <n v="17907.439999999999"/>
        <n v="30419.91"/>
        <n v="10002.65"/>
        <n v="5151.6899999999996"/>
        <n v="67425.2"/>
        <n v="32555.07"/>
        <n v="17162.18"/>
        <n v="46317.24"/>
        <n v="5516.17"/>
        <n v="7771.68"/>
        <n v="50796.9"/>
        <n v="15048"/>
        <n v="23711.38"/>
        <n v="8351.64"/>
        <n v="23982.27"/>
        <n v="68748.66"/>
        <n v="135459.66"/>
        <n v="4082.13"/>
        <n v="11205.36"/>
        <n v="351869.49"/>
        <n v="7435.85"/>
        <n v="44761.2"/>
        <n v="105358.39999999999"/>
        <n v="3386.96"/>
        <n v="54339.24"/>
        <n v="15587.2"/>
        <n v="61954.16"/>
        <n v="97797.51"/>
        <n v="12915.68"/>
        <n v="73146.3"/>
        <n v="4375.6499999999996"/>
        <n v="4187.21"/>
        <n v="86706.48"/>
        <n v="4186.8599999999997"/>
        <n v="26116.2"/>
        <n v="6216.14"/>
        <n v="2613.17"/>
        <n v="3689.94"/>
        <n v="8695.08"/>
        <n v="43456.24"/>
        <n v="16469.759999999998"/>
        <n v="102308.56"/>
        <n v="6629.15"/>
        <n v="1582.4"/>
        <n v="13124.61"/>
        <n v="22064.65"/>
        <n v="184208.64000000001"/>
        <n v="63626.3"/>
        <n v="8596.6200000000008"/>
        <n v="24755.79"/>
        <n v="866.86"/>
        <n v="224174.88"/>
        <n v="10841.04"/>
        <n v="2964.9"/>
        <n v="15161.3"/>
        <n v="19364.45"/>
        <n v="12220.56"/>
        <n v="7867.05"/>
        <n v="43460.4"/>
        <n v="5075.46"/>
        <n v="44110.75"/>
        <n v="37351.760000000002"/>
        <n v="19312.02"/>
        <n v="7822.12"/>
        <n v="12888.7"/>
        <n v="5342.04"/>
        <n v="10210.69"/>
        <n v="12444.46"/>
        <n v="58230.16"/>
        <n v="2899.7"/>
        <n v="14806.14"/>
        <n v="15810.84"/>
        <n v="6760.8"/>
        <n v="70485.98"/>
        <n v="12865.05"/>
        <n v="984.21"/>
        <n v="174207.7"/>
        <n v="478794.3"/>
        <n v="14740.32"/>
        <n v="22748.45"/>
        <n v="22492.62"/>
        <n v="11084.75"/>
        <n v="2489.25"/>
        <n v="20864.48"/>
        <n v="7839.42"/>
        <n v="25537.38"/>
        <n v="53274.3"/>
        <n v="172086.16"/>
        <n v="126508.4"/>
        <n v="4949.08"/>
        <n v="249742.44"/>
        <n v="10021.469999999999"/>
        <n v="2832.8"/>
        <n v="31538.36"/>
        <n v="47180.3"/>
        <n v="12356.12"/>
        <n v="15148.35"/>
        <n v="1608.73"/>
        <n v="113446.1"/>
        <n v="76006.5"/>
        <n v="6499.78"/>
        <n v="9099.5"/>
        <n v="55332.4"/>
        <n v="58642.75"/>
        <n v="19644.3"/>
        <n v="76757.600000000006"/>
        <n v="90164.3"/>
        <n v="7027.98"/>
        <n v="50174.18"/>
        <n v="118805.7"/>
        <n v="139964.23000000001"/>
        <n v="14901.12"/>
        <n v="453389.2"/>
        <n v="17231.3"/>
        <n v="134509.92000000001"/>
        <n v="3903.72"/>
        <n v="49072.32"/>
        <n v="121883.85"/>
        <n v="6659.59"/>
        <n v="248388.96"/>
        <n v="152342.64000000001"/>
        <n v="24426.36"/>
        <n v="24064.02"/>
        <n v="89291.88"/>
        <n v="3177.28"/>
        <n v="43777.9"/>
        <n v="4263.99"/>
        <n v="8660.34"/>
        <n v="33992.550000000003"/>
        <n v="81505.8"/>
        <n v="77599.17"/>
        <n v="20512.34"/>
        <n v="14516.46"/>
        <n v="7453.02"/>
        <n v="38364.9"/>
        <n v="70423.92"/>
        <n v="6924.21"/>
        <n v="31832.12"/>
        <n v="5924.88"/>
        <n v="61179.78"/>
        <n v="7009.96"/>
        <n v="20004.080000000002"/>
        <n v="256624.2"/>
        <n v="16978.88"/>
        <n v="41182.65"/>
        <n v="96169.600000000006"/>
        <n v="6625.56"/>
        <n v="124686.95"/>
        <n v="145013.4"/>
        <n v="72075.509999999995"/>
        <n v="7957.35"/>
        <n v="179742.1"/>
        <n v="33617.699999999997"/>
        <n v="25860.7"/>
        <n v="51095.12"/>
        <n v="283144.40000000002"/>
        <n v="143465.28"/>
        <n v="23940.99"/>
        <n v="5514.06"/>
        <n v="206900.73"/>
        <n v="272132.37"/>
        <n v="20563.28"/>
        <n v="2699.22"/>
        <n v="7824.12"/>
        <n v="20682.36"/>
        <n v="1953.64"/>
        <n v="115837.59"/>
        <n v="30144.48"/>
        <n v="216299.92"/>
        <n v="217774.2"/>
        <n v="239038.24"/>
        <n v="117035.95"/>
        <n v="123167.58"/>
        <n v="14756.15"/>
        <n v="78017.64"/>
        <n v="357447.24"/>
        <n v="565066.88"/>
        <n v="19154.7"/>
        <n v="7454.91"/>
        <n v="56238.32"/>
        <n v="26284.38"/>
        <n v="33056.9"/>
        <n v="97902.56"/>
        <n v="55549.3"/>
        <n v="22493.119999999999"/>
        <n v="63064.800000000003"/>
        <n v="36033.08"/>
        <n v="16502.55"/>
        <n v="13274.35"/>
        <n v="21639.24"/>
        <n v="9543.7199999999993"/>
        <n v="6149.55"/>
        <n v="422943.78"/>
        <n v="1625.8"/>
        <n v="18975.419999999998"/>
        <n v="1767.12"/>
        <n v="28183.48"/>
        <n v="3840.52"/>
        <n v="52752.7"/>
        <n v="2634.64"/>
        <n v="11338.24"/>
        <n v="2826.06"/>
        <n v="4720.8100000000004"/>
        <n v="17346.98"/>
        <n v="51560.19"/>
        <n v="7211.6"/>
        <n v="438094.65"/>
        <n v="9864.8700000000008"/>
        <n v="15674.1"/>
        <n v="32542.959999999999"/>
        <n v="255275.5"/>
        <n v="83443.22"/>
        <n v="8584.42"/>
        <n v="11879.28"/>
        <n v="80190.09"/>
        <n v="13310.96"/>
        <n v="42359.64"/>
        <n v="1092.02"/>
        <n v="5065.5600000000004"/>
        <n v="8906.4"/>
        <n v="579529.84"/>
        <n v="51002.14"/>
        <n v="21687.360000000001"/>
        <n v="18570"/>
        <n v="5974.44"/>
        <n v="26636.400000000001"/>
        <n v="114506.8"/>
        <n v="81420.08"/>
        <n v="33691.68"/>
        <n v="11061.92"/>
        <n v="18907.16"/>
        <n v="105557.2"/>
        <n v="26754.18"/>
        <n v="246424.5"/>
        <n v="7813.6"/>
        <n v="8246.34"/>
        <n v="39954"/>
        <n v="36368.01"/>
        <n v="90644.82"/>
        <n v="1501.71"/>
        <n v="257377.59"/>
        <n v="11816.08"/>
        <n v="3851.57"/>
        <n v="33467.440000000002"/>
        <n v="4530.08"/>
        <n v="164899.26"/>
        <n v="9672.5400000000009"/>
        <n v="19443.2"/>
        <n v="46838.76"/>
        <n v="801.89"/>
        <n v="39890.550000000003"/>
        <n v="23029.3"/>
        <n v="34170.199999999997"/>
        <n v="71843.16"/>
        <n v="29159.040000000001"/>
        <n v="10976.85"/>
        <n v="4520.46"/>
        <n v="16455.46"/>
        <n v="15969.75"/>
        <n v="9265.89"/>
        <n v="30775.38"/>
        <n v="45160.32"/>
        <n v="37016.22"/>
        <n v="24947.7"/>
        <n v="51578.04"/>
        <n v="6562.04"/>
        <n v="56356.62"/>
        <n v="171243.1"/>
        <n v="86852.4"/>
        <n v="54540.6"/>
        <n v="54245.72"/>
        <n v="17179.86"/>
        <n v="89449.84"/>
        <n v="23014.05"/>
        <n v="58918.48"/>
        <n v="8503.44"/>
        <n v="20972.76"/>
        <n v="115361.44"/>
        <n v="288313.40000000002"/>
        <n v="13091.22"/>
        <n v="176949.03"/>
        <n v="74886.100000000006"/>
        <n v="27024.39"/>
        <n v="41424.400000000001"/>
        <n v="17719.240000000002"/>
        <n v="56058.75"/>
        <n v="20844.28"/>
        <n v="15400.08"/>
        <n v="9062.0400000000009"/>
        <n v="27282.46"/>
        <n v="19196.34"/>
        <n v="29495"/>
        <n v="15328"/>
        <n v="41879.919999999998"/>
        <n v="3218.14"/>
        <n v="14623.2"/>
        <n v="97183.88"/>
        <n v="5936.84"/>
        <n v="27508.05"/>
        <n v="4032.9"/>
        <n v="18057.150000000001"/>
        <n v="45755.44"/>
        <n v="2576.42"/>
        <n v="82291.72"/>
        <n v="79539.210000000006"/>
        <n v="24034.92"/>
        <n v="10455.469999999999"/>
        <n v="56073.42"/>
        <n v="37518"/>
        <n v="23016.240000000002"/>
        <n v="4797.6000000000004"/>
        <n v="23385.32"/>
        <n v="109677.8"/>
        <n v="3650.64"/>
        <n v="13630.5"/>
        <n v="59441.7"/>
        <n v="9507.75"/>
        <n v="3924.28"/>
        <n v="44664.45"/>
        <n v="22122"/>
        <n v="2726.23"/>
        <n v="64576.4"/>
        <n v="192178.07"/>
        <n v="32156.01"/>
        <n v="14100.66"/>
        <n v="45579.199999999997"/>
        <n v="15953.12"/>
        <n v="18592.560000000001"/>
        <n v="24187.86"/>
        <n v="3607.68"/>
        <n v="112938.36"/>
        <n v="536392.43000000005"/>
        <n v="1369.54"/>
        <n v="41045.4"/>
        <n v="1567.68"/>
        <n v="78346.34"/>
        <n v="36892.89"/>
        <n v="9080.52"/>
        <n v="5622.92"/>
        <n v="53280.88"/>
        <n v="51974.879999999997"/>
        <n v="58724.13"/>
        <n v="47257.1"/>
        <n v="133791"/>
        <n v="7362.13"/>
        <n v="9363.58"/>
        <n v="13485.9"/>
        <n v="14167.55"/>
        <n v="441911.47"/>
        <n v="184698.7"/>
        <n v="19342.400000000001"/>
        <n v="10589.52"/>
        <n v="303704.15999999997"/>
        <n v="13323.28"/>
        <n v="16312.32"/>
        <n v="21068.32"/>
        <n v="835.64"/>
        <n v="94011.89"/>
        <n v="12316.65"/>
        <n v="26623.08"/>
        <n v="62526.48"/>
        <n v="38155.18"/>
        <n v="53508.160000000003"/>
        <n v="112590.18"/>
        <n v="40521.75"/>
        <n v="38013.4"/>
        <n v="30854.32"/>
        <n v="39996.800000000003"/>
        <n v="5160.3900000000003"/>
        <n v="7777.42"/>
        <n v="10455.06"/>
        <n v="104691.48"/>
        <n v="29672.82"/>
        <n v="9844.7999999999993"/>
        <n v="191735.95"/>
        <n v="202419.09"/>
        <n v="241844.72"/>
        <n v="69614.820000000007"/>
        <n v="45626.48"/>
        <n v="3080.48"/>
        <n v="239908.08"/>
        <n v="55607.44"/>
        <n v="19755.400000000001"/>
        <n v="13130.64"/>
        <n v="94459.4"/>
        <n v="1473.92"/>
        <n v="40522.589999999997"/>
        <n v="5357.76"/>
        <n v="22437.88"/>
        <n v="20724.099999999999"/>
        <n v="13108.23"/>
        <n v="14946.6"/>
        <n v="7513.65"/>
        <n v="3811.99"/>
        <n v="54995.4"/>
        <n v="26706.2"/>
        <n v="154366.92000000001"/>
        <n v="2769.18"/>
        <n v="225154.89"/>
        <n v="39817.26"/>
        <n v="89505.279999999999"/>
        <n v="2716.56"/>
        <n v="1587.84"/>
        <n v="19321.14"/>
        <n v="140283.04999999999"/>
        <n v="25109.84"/>
        <n v="23330.1"/>
        <n v="24902.880000000001"/>
        <n v="40605.300000000003"/>
        <n v="4161.05"/>
        <n v="21315.33"/>
        <n v="13708.6"/>
        <n v="41006.1"/>
        <n v="8959.5"/>
        <n v="187958.28"/>
        <n v="91222.5"/>
        <n v="215187.63"/>
        <n v="6528.2"/>
        <n v="114394.75"/>
        <n v="20311.8"/>
        <n v="23914.98"/>
        <n v="23533.919999999998"/>
        <n v="19955.95"/>
        <n v="18607.150000000001"/>
        <n v="360708.4"/>
        <n v="5857.89"/>
        <n v="186252.3"/>
        <n v="279521.21999999997"/>
        <n v="16412.400000000001"/>
        <n v="26704.42"/>
        <n v="10243.16"/>
        <n v="59928.480000000003"/>
        <n v="30402"/>
        <n v="8244.2000000000007"/>
        <n v="82516.759999999995"/>
        <n v="153647.73000000001"/>
        <n v="14473.59"/>
        <n v="45919.51"/>
        <n v="6679.54"/>
        <n v="13724.73"/>
        <n v="14119.95"/>
        <n v="19712.439999999999"/>
        <n v="146655.24"/>
        <n v="46625.34"/>
        <n v="76127.94"/>
        <n v="45968.24"/>
        <n v="73435.63"/>
        <n v="38498.080000000002"/>
        <n v="195838.4"/>
        <n v="39199.440000000002"/>
        <n v="159091.82999999999"/>
        <n v="292784.03999999998"/>
        <n v="6814.64"/>
        <n v="381340.86"/>
        <n v="90491.34"/>
        <n v="6831.72"/>
        <n v="55436.88"/>
        <n v="28217.1"/>
        <n v="31312.32"/>
        <n v="100007.8"/>
        <n v="1496.96"/>
        <n v="37991.230000000003"/>
        <n v="114225.12"/>
        <n v="74604.81"/>
        <n v="11504.46"/>
        <n v="15129.18"/>
        <n v="132974.79999999999"/>
        <n v="17312.28"/>
        <n v="351279.76"/>
        <n v="228615.03"/>
        <n v="13066.2"/>
        <n v="167063.47"/>
        <n v="12436.02"/>
        <n v="1524.47"/>
        <n v="9910.14"/>
        <n v="7960.05"/>
        <n v="73228.52"/>
        <n v="4620"/>
        <n v="194092.25"/>
        <n v="103258.71"/>
        <n v="49389.919999999998"/>
        <n v="44316.72"/>
        <n v="78328.289999999994"/>
        <n v="3536.84"/>
        <n v="1017.48"/>
        <n v="11371.72"/>
        <n v="56454"/>
        <n v="255538.3"/>
        <n v="23346.639999999999"/>
        <n v="46826.94"/>
        <n v="23933.96"/>
        <n v="125252.7"/>
        <n v="4761.84"/>
        <n v="23679.06"/>
        <n v="86829.2"/>
        <n v="5669.36"/>
        <n v="101627.2"/>
        <n v="28367.1"/>
        <n v="21776.98"/>
        <n v="12300.66"/>
        <n v="44562.77"/>
        <n v="183411.84"/>
        <n v="83221.8"/>
        <n v="53392.4"/>
        <n v="2021.71"/>
        <n v="126374.6"/>
        <n v="439603.74"/>
        <n v="306017.12"/>
        <n v="6023.52"/>
        <n v="17457.16"/>
        <n v="21792.66"/>
        <n v="1703.18"/>
        <n v="4913.5"/>
        <n v="6299.8"/>
        <n v="64548.24"/>
        <n v="53807.9"/>
        <n v="28630.240000000002"/>
        <n v="11881.3"/>
        <n v="19196.73"/>
        <n v="20011.2"/>
        <n v="8714.8799999999992"/>
        <n v="4122.6899999999996"/>
        <n v="69220.5"/>
        <n v="9387.52"/>
        <n v="143564.5"/>
        <n v="4579.5600000000004"/>
        <n v="5452.41"/>
        <n v="52073.43"/>
        <n v="8407.5"/>
        <n v="116919.99"/>
        <n v="71567.16"/>
        <n v="65841.3"/>
        <n v="24812.04"/>
        <n v="12892.41"/>
        <n v="10505.36"/>
        <n v="743298.7"/>
        <n v="6437.75"/>
        <n v="9531.4"/>
        <n v="39670.6"/>
        <n v="26058.97"/>
        <n v="90767.6"/>
        <n v="1631.22"/>
        <n v="4553.76"/>
        <n v="33554.300000000003"/>
        <n v="784570.8"/>
        <n v="257504.6"/>
        <n v="70650.66"/>
        <n v="16457.599999999999"/>
        <n v="840.38"/>
        <n v="13419.7"/>
        <n v="6747.04"/>
        <n v="13760.64"/>
        <n v="87697.2"/>
        <n v="283834.17"/>
        <n v="94260.84"/>
        <n v="58835.98"/>
        <n v="5596.89"/>
        <n v="118117.2"/>
        <n v="8754.7000000000007"/>
        <n v="178548.2"/>
        <n v="15508.5"/>
        <n v="83815.5"/>
        <n v="12751.62"/>
        <n v="117058.45"/>
        <n v="10093.700000000001"/>
        <n v="29224.05"/>
        <n v="40940.550000000003"/>
        <n v="30296.080000000002"/>
        <n v="16559.28"/>
        <n v="19526.900000000001"/>
        <n v="3771.66"/>
        <n v="59051.85"/>
        <n v="5576.02"/>
        <n v="2324.25"/>
        <n v="67388.09"/>
        <n v="9300"/>
        <n v="73027.199999999997"/>
        <n v="23903.759999999998"/>
        <n v="21290.04"/>
        <n v="14975.37"/>
        <n v="67599.839999999997"/>
        <n v="2433.96"/>
        <n v="551596.94999999995"/>
        <n v="80089.38"/>
        <n v="18755.52"/>
        <n v="18909.66"/>
        <n v="7806.33"/>
        <n v="218497.09"/>
        <n v="5695.08"/>
        <n v="38297.35"/>
        <n v="59500.71"/>
        <n v="69725.64"/>
        <n v="116864.82"/>
        <n v="55259.3"/>
        <n v="18194.47"/>
        <n v="46594.7"/>
        <n v="13006.3"/>
        <n v="14981.12"/>
        <n v="5857.8"/>
        <n v="3033.28"/>
        <n v="280268.28000000003"/>
        <n v="12345.04"/>
        <n v="52706.78"/>
        <n v="365171.76"/>
        <n v="81944.7"/>
        <n v="48749"/>
        <n v="3795.77"/>
        <n v="133450.6"/>
        <n v="4893.4799999999996"/>
        <n v="189877.2"/>
        <n v="3932.49"/>
        <n v="196533.47"/>
        <n v="2372.25"/>
        <n v="69928.2"/>
        <n v="45483.76"/>
        <n v="22666.23"/>
        <n v="12674.94"/>
        <n v="271089.5"/>
        <n v="33740.92"/>
        <n v="51195.96"/>
        <n v="260561.88"/>
        <n v="1162.1600000000001"/>
        <n v="24877.200000000001"/>
        <n v="1849.44"/>
        <n v="5924.31"/>
        <n v="30540.45"/>
        <n v="40995.72"/>
        <n v="21489.42"/>
        <n v="26194"/>
        <n v="742353.7"/>
        <n v="246431.1"/>
        <n v="160728.51999999999"/>
        <n v="2232.88"/>
        <n v="96853.7"/>
        <n v="6855.52"/>
        <n v="175037.17"/>
        <n v="13437.47"/>
        <n v="6429"/>
        <n v="9729.6"/>
        <n v="9087.2800000000007"/>
        <n v="31434"/>
        <n v="29211.7"/>
        <n v="102861.1"/>
        <n v="15365.7"/>
        <n v="6276.45"/>
        <n v="84415.65"/>
        <n v="122715.6"/>
        <n v="7575.7"/>
        <n v="58862.34"/>
        <n v="2727.15"/>
        <n v="108404.9"/>
        <n v="6273.84"/>
        <n v="37169.68"/>
        <n v="833.13"/>
        <n v="3384.13"/>
        <n v="131514.79999999999"/>
        <n v="34626.449999999997"/>
        <n v="2266.83"/>
        <n v="13202.35"/>
        <n v="1755.54"/>
        <n v="14852.66"/>
        <n v="12450.69"/>
        <n v="39831.839999999997"/>
        <n v="3135.72"/>
        <n v="10546.78"/>
        <n v="10978.74"/>
        <n v="12103.84"/>
        <n v="26850.77"/>
        <n v="8941"/>
        <n v="8338.3700000000008"/>
        <n v="61052.75"/>
        <n v="3678.65"/>
        <n v="10966.96"/>
        <n v="14519.34"/>
        <n v="41130"/>
        <n v="358812.64"/>
        <n v="87658.27"/>
        <n v="252343.44"/>
        <n v="296845.92"/>
        <n v="58330.879999999997"/>
        <n v="153692.82"/>
        <n v="15580.39"/>
        <n v="32970.5"/>
        <n v="20233.12"/>
        <n v="111140.1"/>
        <n v="4900.8999999999996"/>
        <n v="73986.3"/>
        <n v="133214.64000000001"/>
        <n v="9397.15"/>
        <n v="595202.88"/>
        <n v="30007.05"/>
        <n v="53527.519999999997"/>
        <n v="8682.09"/>
        <n v="18086.39"/>
        <n v="54297.9"/>
        <n v="34399.68"/>
        <n v="61002.16"/>
        <n v="57242.91"/>
        <n v="16460.82"/>
        <n v="44696.75"/>
        <n v="139805.5"/>
        <n v="1384.67"/>
        <n v="28528.48"/>
        <n v="78895.259999999995"/>
        <n v="35780.46"/>
        <n v="185897.39"/>
        <n v="52148.480000000003"/>
        <n v="8571.9599999999991"/>
        <n v="14052.05"/>
        <n v="41498.22"/>
        <n v="12085.12"/>
        <n v="27781.8"/>
        <n v="4612.04"/>
        <n v="40623.279999999999"/>
        <n v="9750.58"/>
        <n v="125003.55"/>
        <n v="329044.17"/>
        <n v="34807.769999999997"/>
        <n v="36016.199999999997"/>
        <n v="36046.71"/>
        <n v="17240.099999999999"/>
        <n v="15253.35"/>
        <n v="1903"/>
        <n v="38065.51"/>
        <n v="36391.68"/>
        <n v="25364.639999999999"/>
        <n v="189270.06"/>
        <n v="420951.44"/>
        <n v="24348.45"/>
        <n v="126936.4"/>
        <n v="175838.76"/>
        <n v="392486.49"/>
        <n v="2521.0500000000002"/>
        <n v="36832.32"/>
        <n v="28484.07"/>
        <n v="15938.16"/>
        <n v="101957.9"/>
        <n v="26726.06"/>
        <n v="8003.34"/>
        <n v="144199.44"/>
        <n v="3428.77"/>
        <n v="14848.29"/>
        <n v="6474.4"/>
        <n v="28201.26"/>
        <n v="20263.919999999998"/>
        <n v="2917.52"/>
        <n v="71159.039999999994"/>
        <n v="3874.65"/>
        <n v="31911.9"/>
        <n v="92568.6"/>
        <n v="478770.95"/>
        <n v="8491.31"/>
        <n v="785003.5"/>
        <n v="5291.1"/>
        <n v="38885.31"/>
        <n v="15455.24"/>
        <n v="85040.320000000007"/>
        <n v="23201.01"/>
        <n v="16850.96"/>
        <n v="257091.5"/>
        <n v="37549.85"/>
        <n v="28088.11"/>
        <n v="4090.15"/>
        <n v="163249.38"/>
        <n v="53067"/>
        <n v="41295.65"/>
        <n v="22566.92"/>
        <n v="134294.28"/>
        <n v="259091.28"/>
        <n v="71046.600000000006"/>
        <n v="269571.64"/>
        <n v="96670.16"/>
        <n v="9226.81"/>
        <n v="4556.4799999999996"/>
        <n v="1665"/>
        <n v="84777.84"/>
        <n v="183796"/>
        <n v="8161.71"/>
        <n v="173774.6"/>
        <n v="10146.450000000001"/>
        <n v="6007.8"/>
        <n v="14581.56"/>
        <n v="63356.95"/>
        <n v="10922.88"/>
        <n v="17291.12"/>
        <n v="152079.03"/>
        <n v="3501.72"/>
        <n v="63936.67"/>
        <n v="26208.42"/>
        <n v="3614.67"/>
        <n v="10436.91"/>
        <n v="152564.22"/>
        <n v="11393.73"/>
        <n v="223487.46"/>
        <n v="15011.04"/>
        <n v="1451.32"/>
        <n v="21452.959999999999"/>
        <n v="13583.68"/>
        <n v="71265.850000000006"/>
        <n v="1407.38"/>
        <n v="2770.45"/>
        <n v="32078.880000000001"/>
        <n v="9214.9"/>
        <n v="244218.6"/>
        <n v="62687.5"/>
        <n v="27032.67"/>
        <n v="175624.3"/>
        <n v="27138.32"/>
        <n v="24691.95"/>
        <n v="34905.06"/>
        <n v="29440.880000000001"/>
        <n v="31416.42"/>
        <n v="2268.4499999999998"/>
        <n v="51792.32"/>
        <n v="10985.78"/>
        <n v="410137.02"/>
        <n v="27533.22"/>
        <n v="5738.25"/>
        <n v="13590.9"/>
        <n v="43767.08"/>
        <n v="7506.68"/>
        <n v="7249.52"/>
        <n v="6148.06"/>
        <n v="27434.2"/>
        <n v="256252.9"/>
        <n v="22684.639999999999"/>
        <n v="437582.76"/>
        <n v="12657.54"/>
        <n v="12512.24"/>
        <n v="13510.4"/>
        <n v="54647.839999999997"/>
        <n v="724797.9"/>
        <n v="14960.34"/>
        <n v="7113.24"/>
        <n v="3348.74"/>
        <n v="4570.82"/>
        <n v="36784.720000000001"/>
        <n v="9099.0400000000009"/>
        <n v="215656.72"/>
        <n v="4408.7"/>
        <n v="28092.7"/>
        <n v="113179.86"/>
        <n v="60100.160000000003"/>
        <n v="7044.96"/>
        <n v="72888.320000000007"/>
        <n v="59916.55"/>
        <n v="13071.76"/>
        <n v="40379.58"/>
        <n v="32030.25"/>
        <n v="26228.04"/>
        <n v="13310.1"/>
        <n v="197135.67"/>
        <n v="30065.49"/>
        <n v="18899.04"/>
        <n v="15959.9"/>
        <n v="355090.68"/>
        <n v="18902.599999999999"/>
        <n v="124701.8"/>
        <n v="7049.49"/>
        <n v="155834.63"/>
        <n v="7781.75"/>
        <n v="26703.81"/>
        <n v="2955.96"/>
        <n v="55594.94"/>
        <n v="15654.45"/>
        <n v="14093.36"/>
        <n v="156017.16"/>
        <n v="6254"/>
        <n v="6593.8"/>
        <n v="2505.6"/>
        <n v="136422.15"/>
        <n v="86061.24"/>
        <n v="16509.57"/>
        <n v="84332.6"/>
        <n v="98047.35"/>
        <n v="41935.53"/>
        <n v="96982.5"/>
        <n v="80951.399999999994"/>
        <n v="16904.91"/>
        <n v="145679.64000000001"/>
        <n v="19859"/>
        <n v="4758.5600000000004"/>
        <n v="53190.080000000002"/>
        <n v="15091.02"/>
        <n v="5730.55"/>
        <n v="19114.82"/>
        <n v="167532.72"/>
        <n v="158659.82999999999"/>
        <n v="251243.6"/>
        <n v="50817.279999999999"/>
        <n v="11370.33"/>
        <n v="73818.3"/>
        <n v="8002.45"/>
        <n v="3150.62"/>
        <n v="30485.52"/>
        <n v="151238.07999999999"/>
        <n v="18730.16"/>
        <n v="23646.77"/>
        <n v="1612.26"/>
        <n v="100053.32"/>
        <n v="5812.17"/>
        <n v="9905.24"/>
        <n v="148851.57"/>
        <n v="13336.45"/>
        <n v="8736.9599999999991"/>
        <n v="78355.06"/>
        <n v="70568.09"/>
        <n v="13377.9"/>
        <n v="12548.8"/>
        <n v="20551"/>
        <n v="1722.43"/>
        <n v="28594.9"/>
        <n v="135177.45000000001"/>
        <n v="11051.68"/>
        <n v="34668.239999999998"/>
        <n v="9653.4"/>
        <n v="14219.28"/>
        <n v="5466.56"/>
        <n v="357579.92"/>
        <n v="63285.84"/>
        <n v="5058.12"/>
        <n v="7414.86"/>
        <n v="97089.3"/>
        <n v="41339.800000000003"/>
        <n v="14151.76"/>
        <n v="49933.26"/>
        <n v="123977.35"/>
        <n v="23452.6"/>
        <n v="16958.61"/>
        <n v="19046.560000000001"/>
        <n v="36679.17"/>
        <n v="6440.64"/>
        <n v="31446.81"/>
        <n v="17933.14"/>
        <n v="65441.52"/>
        <n v="3349.6"/>
        <n v="8502.7800000000007"/>
        <n v="244399.4"/>
        <n v="18557.3"/>
        <n v="20084.330000000002"/>
        <n v="49087.8"/>
        <n v="2950.8"/>
        <n v="59324.72"/>
        <n v="8674.9"/>
        <n v="2043.25"/>
        <n v="6602.02"/>
        <n v="2444.48"/>
        <n v="5901.04"/>
        <n v="5726.29"/>
        <n v="16737.52"/>
        <n v="3740.45"/>
        <n v="41213.49"/>
        <n v="47386.32"/>
        <n v="112555.17"/>
        <n v="34440.57"/>
        <n v="76410.179999999993"/>
        <n v="11140.7"/>
        <n v="141649.68"/>
        <n v="26112.27"/>
        <n v="39906.879999999997"/>
        <n v="3142.4"/>
        <n v="18344.689999999999"/>
        <n v="3356.91"/>
        <n v="571427.12"/>
        <n v="52038.16"/>
        <n v="38510.639999999999"/>
        <n v="67516.92"/>
        <n v="65248.82"/>
        <n v="57877.61"/>
        <n v="8915.16"/>
        <n v="11214.24"/>
        <n v="204725.92"/>
        <n v="45585.15"/>
        <n v="23677.72"/>
        <n v="31373.91"/>
        <n v="6830.17"/>
        <n v="19714.5"/>
        <n v="8828.19"/>
        <n v="59573.25"/>
        <n v="28421.759999999998"/>
        <n v="5403.95"/>
        <n v="910.52"/>
        <n v="20205.29"/>
        <n v="22171.040000000001"/>
        <n v="15219.1"/>
        <n v="36069.57"/>
        <n v="18906.95"/>
        <n v="39597.599999999999"/>
        <n v="97804.55"/>
        <n v="12102.1"/>
        <n v="33515.15"/>
        <n v="52642.32"/>
        <n v="10698.45"/>
        <n v="54836.28"/>
        <n v="254258.69"/>
        <n v="62514.81"/>
        <n v="15693.5"/>
        <n v="26878.86"/>
        <n v="10023.02"/>
        <n v="8117.28"/>
        <n v="3518"/>
        <n v="43568.32"/>
        <n v="54050.05"/>
        <n v="96059.18"/>
        <n v="61550.400000000001"/>
        <n v="52936.7"/>
        <n v="35149.589999999997"/>
        <n v="72594.240000000005"/>
        <n v="18275.3"/>
        <n v="42943.95"/>
        <n v="1926.91"/>
        <n v="25218.9"/>
        <n v="26566.560000000001"/>
        <n v="11331.11"/>
        <n v="54474.25"/>
        <n v="109888.84"/>
        <n v="6964"/>
        <n v="18236"/>
        <n v="112004.28"/>
        <n v="17829.349999999999"/>
        <n v="17515.5"/>
        <n v="8433.7999999999993"/>
        <n v="39375"/>
        <n v="238678.74"/>
        <n v="42687.45"/>
        <n v="9469.4500000000007"/>
        <n v="34731.040000000001"/>
        <n v="13550.16"/>
        <n v="21644.82"/>
        <n v="13738.13"/>
        <n v="2782.74"/>
        <n v="24821.599999999999"/>
        <n v="1630.42"/>
        <n v="49632"/>
        <n v="76222"/>
        <n v="4861.68"/>
        <n v="3547.04"/>
        <n v="6491.76"/>
        <n v="46182.1"/>
        <n v="9533.0400000000009"/>
        <n v="19808.05"/>
        <n v="4007.13"/>
        <n v="39889.040000000001"/>
        <n v="23387.040000000001"/>
        <n v="5139.76"/>
        <n v="104736.76"/>
        <n v="21829.86"/>
        <n v="76862.759999999995"/>
        <n v="12704.48"/>
        <n v="28779.66"/>
        <n v="54926.16"/>
        <n v="24229.56"/>
        <n v="49694.76"/>
        <n v="52167.28"/>
        <n v="45587.82"/>
        <n v="17619.560000000001"/>
        <n v="30279.1"/>
        <n v="9736"/>
        <n v="9896.82"/>
        <n v="34789.86"/>
        <n v="118194.3"/>
        <n v="38746.9"/>
        <n v="104609.4"/>
        <n v="30329.4"/>
        <n v="36638.879999999997"/>
        <n v="16764.599999999999"/>
        <n v="59879.199999999997"/>
        <n v="808.79"/>
        <n v="15298.44"/>
        <n v="241823.28"/>
        <n v="4126.6400000000003"/>
        <n v="1352.72"/>
        <n v="27843.9"/>
        <n v="6826.96"/>
        <n v="7218.5"/>
        <n v="132071.4"/>
        <n v="7077.45"/>
        <n v="91297.84"/>
        <n v="19049.580000000002"/>
        <n v="190859.48"/>
        <n v="24119.3"/>
        <n v="77164.899999999994"/>
        <n v="14722.2"/>
        <n v="28803.119999999999"/>
        <n v="61136.3"/>
        <n v="16902.72"/>
        <n v="38257.17"/>
        <n v="3021.01"/>
        <n v="171610.81"/>
        <n v="110155.6"/>
        <n v="7979"/>
        <n v="33664.480000000003"/>
        <n v="108715.92"/>
        <n v="2490.2800000000002"/>
        <n v="18265.18"/>
        <n v="109397.8"/>
        <n v="23203.35"/>
        <n v="6937.77"/>
        <n v="12072"/>
        <n v="6291.25"/>
        <n v="9693.75"/>
        <n v="112313.76"/>
        <n v="237085.7"/>
        <n v="284021.3"/>
        <n v="29127.7"/>
        <n v="19494.080000000002"/>
        <n v="31277.75"/>
        <n v="75369.100000000006"/>
        <n v="20092.900000000001"/>
        <n v="61940.05"/>
        <n v="2980.66"/>
        <n v="203718.1"/>
        <n v="50291.91"/>
        <n v="5576.22"/>
        <n v="2467.0700000000002"/>
        <n v="11206.3"/>
        <n v="226033.5"/>
        <n v="34114.36"/>
        <n v="6237.72"/>
        <n v="2950.32"/>
        <n v="2543.6799999999998"/>
        <n v="25064.85"/>
        <n v="10297.23"/>
        <n v="340011.72"/>
        <n v="80922.899999999994"/>
        <n v="17201.7"/>
        <n v="15207.84"/>
        <n v="28282.48"/>
        <n v="53255.199999999997"/>
        <n v="47035.08"/>
        <n v="55583.22"/>
        <n v="12087.8"/>
        <n v="33343.26"/>
        <n v="41742.6"/>
        <n v="4074.87"/>
        <n v="7556.55"/>
        <n v="202495.1"/>
        <n v="58958"/>
        <n v="41095.9"/>
        <n v="18945.43"/>
        <n v="42494.07"/>
        <n v="138754.76999999999"/>
        <n v="59327.35"/>
        <n v="5739.96"/>
        <n v="13728.4"/>
        <n v="16220.97"/>
        <n v="2273.1"/>
        <n v="37797.449999999997"/>
        <n v="82769.279999999999"/>
        <n v="15294.55"/>
        <n v="46940.7"/>
        <n v="3201.52"/>
        <n v="7909.28"/>
        <n v="1705.4"/>
        <n v="19412.8"/>
        <n v="83518.399999999994"/>
        <n v="47847.24"/>
        <n v="16845.349999999999"/>
        <n v="1094.1600000000001"/>
        <n v="100220.26"/>
        <n v="81144.679999999993"/>
        <n v="33369.160000000003"/>
        <n v="161744.16"/>
        <n v="51026.57"/>
        <n v="12930.5"/>
        <n v="55679.82"/>
        <n v="59662.239999999998"/>
        <n v="201675.81"/>
        <n v="15928.7"/>
        <n v="37064.04"/>
        <n v="66228.399999999994"/>
        <n v="209850.08"/>
        <n v="10842.6"/>
        <n v="15755.48"/>
        <n v="31704.09"/>
        <n v="36124.9"/>
        <n v="24059.54"/>
        <n v="2807.61"/>
        <n v="55794.6"/>
        <n v="29945.599999999999"/>
        <n v="23169.360000000001"/>
        <n v="57357.599999999999"/>
        <n v="192738.49"/>
        <n v="23310.720000000001"/>
        <n v="227618.72"/>
        <n v="29971.62"/>
        <n v="401619.51"/>
        <n v="7249.96"/>
        <n v="15568.86"/>
        <n v="5978.96"/>
        <n v="9376.7199999999993"/>
        <n v="75786.42"/>
        <n v="2255.42"/>
        <n v="3126.04"/>
        <n v="16138.5"/>
        <n v="2409.12"/>
        <n v="26544.15"/>
        <n v="84004.35"/>
        <n v="67964.160000000003"/>
        <n v="13014.6"/>
        <n v="105865"/>
        <n v="54377.279999999999"/>
        <n v="20030.64"/>
        <n v="2711.61"/>
        <n v="19031.25"/>
        <n v="21456.47"/>
        <n v="1610.73"/>
        <n v="44788.08"/>
        <n v="5641.7"/>
        <n v="4803.7"/>
        <n v="1443.86"/>
        <n v="18092.82"/>
        <n v="4731.96"/>
        <n v="7554.71"/>
        <n v="23130"/>
        <n v="24645.51"/>
        <n v="28398.92"/>
        <n v="88941.23"/>
        <n v="16847.88"/>
        <n v="120933.57"/>
        <n v="51519.3"/>
        <n v="764727.5"/>
        <n v="5861.94"/>
        <n v="17074.169999999998"/>
        <n v="358398"/>
        <n v="32533.95"/>
        <n v="10498.47"/>
        <n v="21698.34"/>
        <n v="52616.41"/>
        <n v="14324.1"/>
        <n v="32400.16"/>
        <n v="289037.44"/>
        <n v="16796.46"/>
        <n v="39991.300000000003"/>
        <n v="45026.94"/>
        <n v="39616.32"/>
        <n v="9991.92"/>
        <n v="24510.3"/>
        <n v="79791.520000000004"/>
        <n v="6882"/>
        <n v="11507.16"/>
        <n v="40108"/>
        <n v="24743.52"/>
        <n v="130770.75"/>
        <n v="396331.62"/>
        <n v="24952.959999999999"/>
        <n v="6216.93"/>
        <n v="515946.88"/>
        <n v="9888.9599999999991"/>
        <n v="22746.1"/>
        <n v="69417.240000000005"/>
        <n v="13241.72"/>
        <n v="82670.77"/>
        <n v="95981.64"/>
        <n v="59185.36"/>
        <n v="76004.39"/>
        <n v="6370.22"/>
        <n v="161318.39999999999"/>
        <n v="9380.64"/>
        <n v="5921.79"/>
        <n v="5857.67"/>
        <n v="9745.83"/>
        <n v="123382.92"/>
        <n v="7156.5"/>
        <n v="3607.64"/>
        <n v="12482.48"/>
        <n v="54750.400000000001"/>
        <n v="2218.35"/>
        <n v="60262.3"/>
        <n v="4056.95"/>
        <n v="119798.1"/>
        <n v="1774.94"/>
        <n v="174688.85"/>
        <n v="10641.53"/>
        <n v="8556"/>
        <n v="181953.8"/>
        <n v="36506.339999999997"/>
        <n v="10113.39"/>
        <n v="78611.64"/>
        <n v="14449.5"/>
        <n v="11785.56"/>
        <n v="4119.51"/>
        <n v="28680.57"/>
        <n v="15334.44"/>
        <n v="24694.6"/>
        <n v="107905.04"/>
        <n v="47810"/>
        <n v="2434.87"/>
        <n v="47721.17"/>
        <n v="11711.36"/>
        <n v="45312.4"/>
        <n v="34412.04"/>
        <n v="31838.38"/>
        <n v="30269.96"/>
        <n v="72686.880000000005"/>
        <n v="4819.3"/>
        <n v="16114.25"/>
        <n v="25313.67"/>
        <n v="3858.12"/>
        <n v="81983.67"/>
        <n v="15870.32"/>
        <n v="198333.76"/>
        <n v="27519.48"/>
        <n v="33185.18"/>
        <n v="9404.99"/>
        <n v="61168.2"/>
        <n v="16863.240000000002"/>
        <n v="33594.03"/>
        <n v="12266.6"/>
        <n v="74772.33"/>
        <n v="205669.2"/>
        <n v="8984.4599999999991"/>
        <n v="24441.41"/>
        <n v="84297.919999999998"/>
        <n v="24196.44"/>
        <n v="3820.66"/>
        <n v="15612.12"/>
        <n v="8304.7199999999993"/>
        <n v="14169.25"/>
        <n v="47390.8"/>
        <n v="46175.35"/>
        <n v="7762.74"/>
        <n v="9536.85"/>
        <n v="3592.48"/>
        <n v="41310.6"/>
        <n v="8489.65"/>
        <n v="22818.7"/>
        <n v="8368.74"/>
        <n v="34896.199999999997"/>
        <n v="6591.97"/>
        <n v="480565.12"/>
        <n v="33305.760000000002"/>
        <n v="19966.52"/>
        <n v="46196.04"/>
        <n v="46553.64"/>
        <n v="30657.439999999999"/>
        <n v="63402.99"/>
        <n v="28180.85"/>
        <n v="21004.76"/>
        <n v="186443.04"/>
        <n v="264280"/>
        <n v="22175.51"/>
        <n v="42560.32"/>
        <n v="83256.039999999994"/>
        <n v="51565.68"/>
        <n v="37907.97"/>
        <n v="41726.089999999997"/>
        <n v="2754.83"/>
        <n v="8526.27"/>
        <n v="2595.81"/>
        <n v="18204.12"/>
        <n v="53540.24"/>
        <n v="1941.04"/>
        <n v="12689.9"/>
        <n v="13686.32"/>
        <n v="25519.86"/>
        <n v="9449.5400000000009"/>
        <n v="3973.6"/>
        <n v="36449.46"/>
        <n v="36029.32"/>
        <n v="40633"/>
        <n v="150691.20000000001"/>
        <n v="102752.28"/>
        <n v="32622.48"/>
        <n v="169227"/>
        <n v="75586"/>
        <n v="22909.11"/>
        <n v="31954.62"/>
        <n v="17927.5"/>
        <n v="24110.240000000002"/>
        <n v="13773.08"/>
        <n v="162544.79999999999"/>
        <n v="41656.199999999997"/>
        <n v="54472.56"/>
        <n v="907.62"/>
        <n v="24377.1"/>
        <n v="225258.72"/>
        <n v="49140.2"/>
        <n v="13317.56"/>
        <n v="48850.1"/>
        <n v="38864.68"/>
        <n v="62344.800000000003"/>
        <n v="589174.38"/>
        <n v="17511.39"/>
        <n v="15262.38"/>
        <n v="503251.7"/>
        <n v="84118.85"/>
        <n v="8603.5"/>
        <n v="67918.16"/>
        <n v="3954.84"/>
        <n v="5400.63"/>
        <n v="8105.19"/>
        <n v="22801.03"/>
        <n v="891.95"/>
        <n v="53011.839999999997"/>
        <n v="33118.35"/>
        <n v="8539.2900000000009"/>
        <n v="20160.12"/>
        <n v="8741.7199999999993"/>
        <n v="21857.84"/>
        <n v="94281.32"/>
        <n v="51839"/>
        <n v="36986.6"/>
        <n v="105129.7"/>
        <n v="3604.3"/>
        <n v="25187.57"/>
        <n v="25135.56"/>
        <n v="21867.48"/>
        <n v="239405.76"/>
        <n v="3237.03"/>
        <n v="53257.33"/>
        <n v="7630.2"/>
        <n v="34238.6"/>
        <n v="16324.96"/>
        <n v="2631.99"/>
        <n v="2528.4299999999998"/>
        <n v="33401.279999999999"/>
        <n v="8527.83"/>
        <n v="19936.400000000001"/>
        <n v="59331.3"/>
        <n v="12161.28"/>
        <n v="15275.37"/>
        <n v="5711.34"/>
        <n v="42648.25"/>
        <n v="3431.34"/>
        <n v="6345.76"/>
        <n v="18898"/>
        <n v="1664.36"/>
        <n v="26945.55"/>
        <n v="23127.7"/>
        <n v="114910.74"/>
        <n v="43710.32"/>
        <n v="15170.67"/>
        <n v="20148.060000000001"/>
        <n v="443032.2"/>
        <n v="105331.44"/>
        <n v="401154.3"/>
        <n v="25973.08"/>
        <n v="10963.62"/>
        <n v="108622"/>
        <n v="12755.56"/>
        <n v="19671.689999999999"/>
        <n v="15602.16"/>
        <n v="227457.12"/>
        <n v="19716.27"/>
        <n v="7013.8"/>
        <n v="52331.06"/>
        <n v="12189.38"/>
        <n v="199229.12"/>
        <n v="6434.85"/>
        <n v="10253.6"/>
        <n v="88225.83"/>
        <n v="1178.21"/>
        <n v="4172.01"/>
        <n v="33830.76"/>
        <n v="47453.4"/>
        <n v="3306"/>
        <n v="280995.3"/>
        <n v="6479.58"/>
        <n v="66543.42"/>
        <n v="37040.9"/>
        <n v="98799.75"/>
        <n v="19157.849999999999"/>
        <n v="24622.2"/>
        <n v="8229.44"/>
        <n v="338958.7"/>
        <n v="22395.759999999998"/>
        <n v="15140.1"/>
        <n v="7758.84"/>
        <n v="84939.66"/>
        <n v="195733.83"/>
        <n v="39858.99"/>
        <n v="14020.36"/>
        <n v="16709.34"/>
        <n v="29648.1"/>
        <n v="13524"/>
        <n v="41440.14"/>
        <n v="8302.7099999999991"/>
        <n v="42987.76"/>
        <n v="9936.4500000000007"/>
        <n v="13096.44"/>
        <n v="657990"/>
        <n v="31726.1"/>
        <n v="19042.3"/>
        <n v="62100.2"/>
        <n v="4977.3900000000003"/>
        <n v="36403.839999999997"/>
        <n v="19625.349999999999"/>
        <n v="10513.62"/>
        <n v="114766.68"/>
        <n v="136382.39999999999"/>
        <n v="51475.76"/>
        <n v="42152.85"/>
        <n v="99785.2"/>
        <n v="31364.799999999999"/>
        <n v="18577.439999999999"/>
        <n v="59067.05"/>
        <n v="187929.65"/>
        <n v="23457.52"/>
        <n v="50621.13"/>
        <n v="5200.68"/>
        <n v="4029.14"/>
        <n v="15873.48"/>
        <n v="16770.93"/>
        <n v="3348.08"/>
        <n v="53801.760000000002"/>
        <n v="25867.84"/>
        <n v="4732.26"/>
        <n v="149388.28"/>
        <n v="13554.4"/>
        <n v="41046.639999999999"/>
        <n v="22101.759999999998"/>
        <n v="20969.46"/>
        <n v="23302.560000000001"/>
        <n v="3922"/>
        <n v="7352.5"/>
        <n v="569240.64"/>
        <n v="4901.1000000000004"/>
        <n v="126058.9"/>
        <n v="176943.34"/>
        <n v="114222.9"/>
        <n v="25745.87"/>
        <n v="111870.72"/>
        <n v="2650.9"/>
        <n v="48839.28"/>
        <n v="57527.05"/>
        <n v="14324.04"/>
        <n v="1226.22"/>
        <n v="14619.18"/>
        <n v="21225.68"/>
        <n v="68342.33"/>
        <n v="5165.45"/>
        <n v="86123.199999999997"/>
        <n v="9137.4500000000007"/>
        <n v="44383.23"/>
        <n v="2920.8"/>
        <n v="9270.8799999999992"/>
        <n v="18470.52"/>
        <n v="11130.63"/>
        <n v="18207.25"/>
        <n v="24741.88"/>
        <n v="273601.26"/>
        <n v="396412.65"/>
        <n v="6925.3"/>
        <n v="3731.86"/>
        <n v="9824.61"/>
        <n v="10943.04"/>
        <n v="6339.05"/>
        <n v="26673.23"/>
        <n v="3325.28"/>
        <n v="7962.42"/>
        <n v="299008.5"/>
        <n v="153733.95000000001"/>
        <n v="42375.040000000001"/>
        <n v="19205.46"/>
        <n v="86548.95"/>
        <n v="29850.639999999999"/>
        <n v="39972.79"/>
        <n v="6897.84"/>
        <n v="24987.48"/>
        <n v="14162.58"/>
        <n v="72127.8"/>
        <n v="47379.839999999997"/>
        <n v="3244.49"/>
        <n v="8114.76"/>
        <n v="34256.400000000001"/>
        <n v="85345.52"/>
        <n v="14778"/>
        <n v="12232.62"/>
        <n v="444172.4"/>
        <n v="240505.5"/>
        <n v="414459.8"/>
        <n v="26851.68"/>
        <n v="1192.8399999999999"/>
        <n v="76027.649999999994"/>
        <n v="4004.95"/>
        <n v="28040.6"/>
        <n v="103356.5"/>
        <n v="28456.79"/>
        <n v="179676.9"/>
        <n v="27071.8"/>
        <n v="33427.86"/>
        <n v="36547.519999999997"/>
        <n v="165570.79999999999"/>
        <n v="27476.1"/>
        <n v="5014.1400000000003"/>
        <n v="9261.24"/>
        <n v="31190.67"/>
        <n v="52266.78"/>
        <n v="1361.49"/>
        <n v="51061.86"/>
        <n v="13341.45"/>
        <n v="19331.82"/>
        <n v="86958.13"/>
        <n v="6093.84"/>
        <n v="53620"/>
        <n v="11151.12"/>
        <n v="3413.72"/>
        <n v="8821"/>
        <n v="35804.800000000003"/>
        <n v="25526.6"/>
        <n v="154765.35999999999"/>
        <n v="105128.52"/>
        <n v="22151.759999999998"/>
        <n v="70828.240000000005"/>
        <n v="138834.35999999999"/>
        <n v="184193.01"/>
        <n v="16341.63"/>
        <n v="11786.73"/>
        <n v="40657.050000000003"/>
        <n v="38754.879999999997"/>
        <n v="27957.79"/>
        <n v="11163.5"/>
        <n v="7511.89"/>
        <n v="6716.04"/>
        <n v="23565.06"/>
        <n v="53403.76"/>
        <n v="57438.8"/>
        <n v="224943.44"/>
        <n v="10003.44"/>
        <n v="34710.839999999997"/>
        <n v="112296.4"/>
        <n v="5149.4799999999996"/>
        <n v="1704.66"/>
        <n v="5062.32"/>
        <n v="40838.35"/>
        <n v="82218.559999999998"/>
        <n v="1556.02"/>
        <n v="30012.400000000001"/>
        <n v="68072.22"/>
        <n v="17082.54"/>
        <n v="23347.439999999999"/>
        <n v="68457.33"/>
        <n v="33395.760000000002"/>
        <n v="12513.13"/>
        <n v="4725.58"/>
        <n v="15150.54"/>
        <n v="155475.51999999999"/>
        <n v="21768.48"/>
        <n v="30186.12"/>
        <n v="23095.8"/>
        <n v="78355.8"/>
        <n v="4362.8999999999996"/>
        <n v="183320.4"/>
        <n v="127287.36"/>
        <n v="4037.2"/>
        <n v="60233.8"/>
        <n v="285463.40000000002"/>
        <n v="13150.92"/>
        <n v="21029.18"/>
        <n v="177540.24"/>
        <n v="75536.19"/>
        <n v="208594.2"/>
        <n v="26765.279999999999"/>
        <n v="4612.62"/>
        <n v="5168.33"/>
        <n v="13319.97"/>
        <n v="8810.7199999999993"/>
        <n v="9572.16"/>
        <n v="220873.41"/>
        <n v="45415.15"/>
        <n v="158034.42000000001"/>
        <n v="421942.5"/>
        <n v="26109.919999999998"/>
        <n v="2388.65"/>
        <n v="169049.28"/>
        <n v="11794.23"/>
        <n v="12578.65"/>
        <n v="40617.449999999997"/>
        <n v="118258.74"/>
        <n v="8181.45"/>
        <n v="12350.56"/>
        <n v="22597.62"/>
        <n v="48081.279999999999"/>
        <n v="81970.02"/>
        <n v="6524.64"/>
        <n v="90371.54"/>
        <n v="1475.16"/>
        <n v="35355.879999999997"/>
        <n v="26584.16"/>
        <n v="420894.04"/>
        <n v="20942.560000000001"/>
        <n v="74589.8"/>
        <n v="2936.29"/>
        <n v="9554.7999999999993"/>
        <n v="46728.28"/>
        <n v="11032.84"/>
        <n v="28594.68"/>
        <n v="32716.47"/>
        <n v="135359.1"/>
        <n v="27244.77"/>
        <n v="69481.710000000006"/>
        <n v="127018.3"/>
        <n v="46043.76"/>
        <n v="26956.71"/>
        <n v="12692.43"/>
        <n v="73160.320000000007"/>
        <n v="18112.900000000001"/>
        <n v="31842"/>
        <n v="25261.83"/>
        <n v="15189.3"/>
        <n v="4712.45"/>
        <n v="116943.54"/>
        <n v="54377.68"/>
        <n v="2890.16"/>
        <n v="33878.32"/>
        <n v="45329.7"/>
        <n v="1407.36"/>
        <n v="30978.639999999999"/>
        <n v="28501"/>
        <n v="2800.21"/>
        <n v="13755.6"/>
        <n v="5233.12"/>
        <n v="16222.36"/>
        <n v="36437.919999999998"/>
        <n v="3100.63"/>
        <n v="32351.9"/>
        <n v="251024.4"/>
        <n v="32251.47"/>
        <n v="51259.77"/>
        <n v="45995.25"/>
        <n v="15611.9"/>
        <n v="87908.2"/>
        <n v="24123.9"/>
        <n v="3571.5"/>
        <n v="404332.16"/>
        <n v="7039.34"/>
        <n v="274007.15999999997"/>
        <n v="41574.959999999999"/>
        <n v="18070.3"/>
        <n v="9867.4"/>
        <n v="29626.98"/>
        <n v="51572.78"/>
        <n v="60254.82"/>
        <n v="28935.66"/>
        <n v="77410.8"/>
        <n v="6316.02"/>
        <n v="45176.46"/>
        <n v="71886.009999999995"/>
        <n v="7276.74"/>
        <n v="171696.42"/>
        <n v="30928.32"/>
        <n v="15733.2"/>
        <n v="12059.82"/>
        <n v="5846.1"/>
        <n v="143549.1"/>
        <n v="39997.35"/>
        <n v="7475.56"/>
        <n v="898.78"/>
        <n v="30326.720000000001"/>
        <n v="46625.599999999999"/>
        <n v="40510.559999999998"/>
        <n v="32676.36"/>
        <n v="29120.94"/>
        <n v="62642.61"/>
        <n v="71085.149999999994"/>
        <n v="11286.9"/>
        <n v="20525.759999999998"/>
        <n v="39521.9"/>
        <n v="22514.28"/>
        <n v="28806.9"/>
        <n v="192670.87"/>
        <n v="45303.9"/>
        <n v="8324.5"/>
        <n v="14673.51"/>
        <n v="7546.32"/>
        <n v="2751.2"/>
        <n v="16041.92"/>
        <n v="6977.1"/>
        <n v="53645.82"/>
        <n v="99928.71"/>
        <n v="37296.54"/>
        <n v="9937.99"/>
        <n v="2073.86"/>
        <n v="46911.96"/>
        <n v="7096.48"/>
        <n v="65656.600000000006"/>
        <n v="6401.43"/>
        <n v="69548.570000000007"/>
        <n v="78788.759999999995"/>
        <n v="5827.12"/>
        <n v="130669.42"/>
        <n v="8834.56"/>
        <n v="12406.5"/>
        <n v="16540.16"/>
        <n v="31653.200000000001"/>
        <n v="234973.8"/>
        <n v="23806.26"/>
        <n v="65386.559999999998"/>
        <n v="82201.08"/>
        <n v="50035.199999999997"/>
        <n v="62948.24"/>
        <n v="39517.15"/>
        <n v="881.77"/>
        <n v="36872.519999999997"/>
        <n v="18381.650000000001"/>
        <n v="23270.67"/>
        <n v="40242.519999999997"/>
        <n v="18450.439999999999"/>
        <n v="51322.720000000001"/>
        <n v="23612.5"/>
        <n v="70587.86"/>
        <n v="3178.72"/>
        <n v="11569.28"/>
        <n v="26310.65"/>
        <n v="27986.28"/>
        <n v="16473.900000000001"/>
        <n v="47665.22"/>
        <n v="189960.66"/>
        <n v="72681.3"/>
        <n v="8011.26"/>
        <n v="18847.28"/>
        <n v="19983.55"/>
        <n v="77628.600000000006"/>
        <n v="878.56"/>
        <n v="2569.0500000000002"/>
        <n v="6010.14"/>
        <n v="6094.04"/>
        <n v="23128.560000000001"/>
        <n v="3505.36"/>
        <n v="4239.76"/>
        <n v="167697.12"/>
        <n v="139162.26"/>
        <n v="78795.7"/>
        <n v="3555.6"/>
        <n v="6206"/>
        <n v="67983.33"/>
        <n v="261846.52"/>
        <n v="11161.9"/>
        <n v="12400.6"/>
        <n v="1646.7"/>
        <n v="50355.9"/>
        <n v="296082.2"/>
        <n v="6255.4"/>
        <n v="2495.39"/>
        <n v="38095.949999999997"/>
        <n v="23618.94"/>
        <n v="7322.3"/>
        <n v="8822.8799999999992"/>
        <n v="70716.53"/>
        <n v="4689.33"/>
        <n v="79231.600000000006"/>
        <n v="18400.400000000001"/>
        <n v="131842.95000000001"/>
        <n v="76079.490000000005"/>
        <n v="1288.47"/>
        <n v="30195.84"/>
        <n v="270347.3"/>
        <n v="202943.7"/>
        <n v="22705.47"/>
        <n v="21887.1"/>
        <n v="111152.61"/>
        <n v="18545.310000000001"/>
        <n v="348849.99"/>
        <n v="175559.43"/>
        <n v="4930.5600000000004"/>
        <n v="95733.75"/>
        <n v="26940.9"/>
        <n v="34028.300000000003"/>
        <n v="80108.759999999995"/>
        <n v="76937.58"/>
        <n v="856.44"/>
        <n v="19779.28"/>
        <n v="3188.82"/>
        <n v="34808.550000000003"/>
        <n v="24147.94"/>
        <n v="2500.5"/>
        <n v="50925.49"/>
        <n v="43004.28"/>
        <n v="16471.98"/>
        <n v="24448.06"/>
        <n v="17254.09"/>
        <n v="13450.53"/>
        <n v="485196.6"/>
        <n v="9011.52"/>
        <n v="29511.72"/>
        <n v="3040.8"/>
        <n v="76800.78"/>
        <n v="1322.68"/>
        <n v="659508.39"/>
        <n v="37407.5"/>
        <n v="11253.78"/>
        <n v="191857.96"/>
        <n v="20961.400000000001"/>
        <n v="23757.78"/>
        <n v="18357.29"/>
        <n v="6961.59"/>
        <n v="45957.66"/>
        <n v="22758.6"/>
        <n v="9752.5"/>
        <n v="18056.900000000001"/>
        <n v="57315.78"/>
        <n v="2759.56"/>
        <n v="10998.81"/>
        <n v="138879.4"/>
        <n v="76710.58"/>
        <n v="5639.37"/>
        <n v="2909"/>
        <n v="32621.279999999999"/>
        <n v="7657.2"/>
        <n v="22319.48"/>
        <n v="6503.28"/>
        <n v="47737"/>
        <n v="1890.42"/>
        <n v="30822.959999999999"/>
        <n v="101028.56"/>
        <n v="198179.55"/>
        <n v="51619.54"/>
        <n v="51037.84"/>
        <n v="4983.4799999999996"/>
        <n v="10490.61"/>
        <n v="3012.02"/>
        <n v="60804.88"/>
        <n v="5556.33"/>
        <n v="7398.96"/>
        <n v="11931.08"/>
        <n v="7979.6"/>
        <n v="5807.33"/>
        <n v="4594.92"/>
        <n v="897.7"/>
        <n v="133249.04999999999"/>
        <n v="29230.86"/>
        <n v="35714.58"/>
        <n v="5962.32"/>
        <n v="18228.84"/>
        <n v="1734.13"/>
        <n v="19480.349999999999"/>
        <n v="80070.7"/>
        <n v="8471.2000000000007"/>
        <n v="102048.8"/>
        <n v="79603.02"/>
        <n v="84052.36"/>
        <n v="13036.4"/>
        <n v="36776.58"/>
        <n v="27773.040000000001"/>
        <n v="122162.1"/>
        <n v="90467.12"/>
        <n v="12727.87"/>
        <n v="291023.56"/>
        <n v="15399.75"/>
        <n v="698091.1"/>
        <n v="15548.48"/>
        <n v="26180.84"/>
        <n v="10161.35"/>
        <n v="27595.9"/>
        <n v="34385.040000000001"/>
        <n v="188509"/>
        <n v="36739.279999999999"/>
        <n v="29181.96"/>
        <n v="48026.3"/>
        <n v="13888.53"/>
        <n v="39255.120000000003"/>
        <n v="18507.55"/>
        <n v="3363.88"/>
        <n v="6559.66"/>
        <n v="222398.16"/>
        <n v="266494.32"/>
        <n v="81718.559999999998"/>
        <n v="34258.559999999998"/>
        <n v="6689.94"/>
        <n v="3985.92"/>
        <n v="51384.4"/>
        <n v="56275.360000000001"/>
        <n v="1362.25"/>
        <n v="37529.910000000003"/>
        <n v="47354.05"/>
        <n v="7445.8"/>
        <n v="172302.41"/>
        <n v="5701.86"/>
        <n v="286969.2"/>
        <n v="30062.2"/>
        <n v="65610.02"/>
        <n v="123712.72"/>
        <n v="18166.240000000002"/>
        <n v="115049.64"/>
        <n v="4091.9"/>
        <n v="189767.85"/>
        <n v="63985.5"/>
        <n v="21111.5"/>
        <n v="75782.34"/>
        <n v="47248.480000000003"/>
        <n v="19067.37"/>
        <n v="19245.52"/>
        <n v="4145.1000000000004"/>
        <n v="20621.34"/>
        <n v="1673.61"/>
        <n v="2371.5"/>
        <n v="48979.199999999997"/>
        <n v="26634.16"/>
        <n v="267429.3"/>
        <n v="42422.46"/>
        <n v="44716.59"/>
        <n v="38466.81"/>
        <n v="39828.879999999997"/>
        <n v="99127.02"/>
        <n v="185266.41"/>
        <n v="189249.35"/>
        <n v="75072.2"/>
        <n v="65341.9"/>
        <n v="2353.54"/>
        <n v="66036.7"/>
        <n v="181544.86"/>
        <n v="11510.76"/>
        <n v="9511.92"/>
        <n v="208694.85"/>
        <n v="16624.62"/>
        <n v="122908.32"/>
        <n v="4583.68"/>
        <n v="17208.099999999999"/>
        <n v="660401.55000000005"/>
        <n v="9845.8799999999992"/>
        <n v="80706.899999999994"/>
        <n v="25889.16"/>
        <n v="64352.65"/>
        <n v="9748.65"/>
        <n v="18323.060000000001"/>
        <n v="3054.42"/>
        <n v="21051.59"/>
        <n v="575736.56999999995"/>
        <n v="12957.9"/>
        <n v="2040.89"/>
        <n v="300252.3"/>
        <n v="60988"/>
        <n v="134788.70000000001"/>
        <n v="158812.5"/>
        <n v="87195.15"/>
        <n v="280598.24"/>
        <n v="10051.200000000001"/>
        <n v="24558.080000000002"/>
        <n v="18932.939999999999"/>
        <n v="5276.46"/>
        <n v="8892.7800000000007"/>
        <n v="7406.15"/>
        <n v="45932.88"/>
        <n v="8411.32"/>
        <n v="50470.38"/>
        <n v="39039.5"/>
        <n v="56322.7"/>
        <n v="7284.26"/>
        <n v="40013.46"/>
        <n v="3962.44"/>
        <n v="7249.44"/>
        <n v="136762.70000000001"/>
        <n v="57548.91"/>
        <n v="10495.98"/>
        <n v="59521.5"/>
        <n v="35258.400000000001"/>
        <n v="10309.52"/>
        <n v="2492"/>
        <n v="5400.95"/>
        <n v="16832.3"/>
        <n v="4116.38"/>
        <n v="208474.08"/>
        <n v="27428.87"/>
        <n v="437634.18"/>
        <n v="78777.240000000005"/>
        <n v="101303.73"/>
        <n v="5017.71"/>
        <n v="33993.300000000003"/>
        <n v="50364"/>
        <n v="23909.41"/>
        <n v="10673.31"/>
        <n v="3498.72"/>
        <n v="23966.32"/>
        <n v="206373.72"/>
        <n v="116950.68"/>
        <n v="14141.16"/>
        <n v="9993.7800000000007"/>
        <n v="1644.64"/>
        <n v="20270.560000000001"/>
        <n v="38585.879999999997"/>
        <n v="5016.72"/>
        <n v="68964.600000000006"/>
        <n v="10053.200000000001"/>
        <n v="12338.94"/>
        <n v="4039.11"/>
        <n v="38558.46"/>
        <n v="39885.599999999999"/>
        <n v="16866.36"/>
        <n v="9218.0499999999993"/>
        <n v="77158.8"/>
        <n v="189207.1"/>
        <n v="104377.9"/>
        <n v="271533.56"/>
        <n v="80192"/>
        <n v="18970.55"/>
        <n v="5451.36"/>
        <n v="5113.62"/>
        <n v="25392.3"/>
        <n v="21304.89"/>
        <n v="30706.560000000001"/>
        <n v="6976.88"/>
        <n v="19071.88"/>
        <n v="10938.4"/>
        <n v="275644.92"/>
        <n v="40680.080000000002"/>
        <n v="33317.599999999999"/>
        <n v="19659.61"/>
        <n v="25054.04"/>
        <n v="507958.56"/>
        <n v="7318.1"/>
        <n v="12274.2"/>
        <n v="4055.2"/>
        <n v="88292.800000000003"/>
        <n v="28814.94"/>
        <n v="128918.34"/>
        <n v="80627.61"/>
        <n v="8169.35"/>
        <n v="18908.560000000001"/>
        <n v="39431.15"/>
        <n v="8254.5499999999993"/>
        <n v="281335.48"/>
        <n v="34154.239999999998"/>
        <n v="76623.87"/>
        <n v="64146.5"/>
        <n v="19774.14"/>
        <n v="36019.199999999997"/>
        <n v="27366.84"/>
        <n v="37669.86"/>
        <n v="26511.27"/>
        <n v="27347.85"/>
        <n v="60888.72"/>
        <n v="54375.51"/>
        <n v="3679.41"/>
        <n v="55956.84"/>
        <n v="36678.199999999997"/>
        <n v="44807.44"/>
        <n v="9765.5"/>
        <n v="13320.56"/>
        <n v="8424.4500000000007"/>
        <n v="36090.81"/>
        <n v="106607.6"/>
        <n v="51795.519999999997"/>
        <n v="22677.84"/>
        <n v="42510.86"/>
        <n v="164228.70000000001"/>
        <n v="56948.88"/>
        <n v="24456.2"/>
        <n v="6345.49"/>
        <n v="301733.2"/>
        <n v="27145.279999999999"/>
        <n v="7707.46"/>
        <n v="7296.58"/>
        <n v="33642.699999999997"/>
        <n v="35644.92"/>
        <n v="33861.4"/>
        <n v="53799.6"/>
        <n v="14684.28"/>
        <n v="135006.25"/>
        <n v="71113.59"/>
        <n v="258726.78"/>
        <n v="252275.4"/>
        <n v="6095.4"/>
        <n v="13588.65"/>
        <n v="1534.01"/>
        <n v="1201.0999999999999"/>
        <n v="171736.8"/>
        <n v="923.44"/>
        <n v="291636.87"/>
        <n v="22107.78"/>
        <n v="724.12"/>
        <n v="34553.440000000002"/>
        <n v="11622.2"/>
        <n v="32647.3"/>
        <n v="128197.6"/>
        <n v="8775.48"/>
        <n v="4106.99"/>
        <n v="32539.01"/>
        <n v="58604.6"/>
        <n v="16406.599999999999"/>
        <n v="45641.46"/>
        <n v="13119.19"/>
        <n v="6365.52"/>
        <n v="78830.78"/>
        <n v="25178.799999999999"/>
        <n v="221999.13"/>
        <n v="35117.360000000001"/>
        <n v="198956.79999999999"/>
        <n v="139019.34"/>
        <n v="34822.300000000003"/>
        <n v="62798.16"/>
        <n v="197841.21"/>
        <n v="138358.92000000001"/>
        <n v="17654.14"/>
        <n v="29659.29"/>
        <n v="11121.21"/>
        <n v="9036.7999999999993"/>
        <n v="77344.539999999994"/>
        <n v="4381.8"/>
        <n v="79361.59"/>
        <n v="109133.91"/>
        <n v="3102.3"/>
        <n v="4100.6000000000004"/>
        <n v="7737.04"/>
        <n v="19681.400000000001"/>
        <n v="14462.94"/>
        <n v="16810.7"/>
        <n v="13714.65"/>
        <n v="144835.5"/>
        <n v="8687.35"/>
        <n v="19432.86"/>
        <n v="28092.959999999999"/>
        <n v="159729.43"/>
        <n v="12489.12"/>
        <n v="12967.64"/>
        <n v="11018.96"/>
        <n v="54377.66"/>
        <n v="6726.94"/>
        <n v="36985.199999999997"/>
        <n v="2757.78"/>
        <n v="3586.4"/>
        <n v="5089.59"/>
        <n v="16212.77"/>
        <n v="16851.599999999999"/>
        <n v="38454.39"/>
        <n v="19792.2"/>
        <n v="24512.49"/>
        <n v="27954.57"/>
        <n v="50855.7"/>
        <n v="12846.72"/>
        <n v="77869.8"/>
        <n v="33175.9"/>
        <n v="355526.04"/>
        <n v="4177.8"/>
        <n v="2292.2399999999998"/>
        <n v="5349.78"/>
        <n v="39272.879999999997"/>
        <n v="89250"/>
        <n v="3038.88"/>
        <n v="99455.94"/>
        <n v="20584.98"/>
        <n v="264430.8"/>
        <n v="78827.320000000007"/>
        <n v="279252.90000000002"/>
        <n v="22951.439999999999"/>
        <n v="74034.880000000005"/>
        <n v="35858.46"/>
        <n v="1431.19"/>
        <n v="27275.52"/>
        <n v="8215.59"/>
        <n v="11888.37"/>
        <n v="96398.88"/>
        <n v="24709.200000000001"/>
        <n v="60082.82"/>
        <n v="10097.68"/>
        <n v="67974.559999999998"/>
        <n v="18401.580000000002"/>
        <n v="157356.78"/>
        <n v="48137.94"/>
        <n v="9762.06"/>
        <n v="30394.89"/>
        <n v="45363.16"/>
        <n v="106323.2"/>
        <n v="4114.3500000000004"/>
        <n v="193410.25"/>
        <n v="5107.5"/>
        <n v="2811.56"/>
        <n v="33850.6"/>
        <n v="62769.52"/>
        <n v="38567.279999999999"/>
        <n v="18917.68"/>
        <n v="4683.6000000000004"/>
        <n v="54694.84"/>
        <n v="95227.6"/>
        <n v="2981.76"/>
        <n v="111536.2"/>
        <n v="51233"/>
        <n v="89260.24"/>
        <n v="38053"/>
        <n v="7262.73"/>
        <n v="27334.47"/>
        <n v="2824.43"/>
        <n v="3394.56"/>
        <n v="17089.2"/>
        <n v="21844.42"/>
        <n v="16062.6"/>
        <n v="7943.67"/>
        <n v="5257.62"/>
        <n v="97919.64"/>
        <n v="2482.7199999999998"/>
        <n v="80872"/>
        <n v="238891.51999999999"/>
        <n v="2489.96"/>
        <n v="10089.200000000001"/>
        <n v="4439.84"/>
        <n v="140667.9"/>
        <n v="9878.7800000000007"/>
        <n v="7299.39"/>
        <n v="938.29"/>
        <n v="19393.09"/>
        <n v="56313.72"/>
        <n v="14333.7"/>
        <n v="27424.5"/>
        <n v="8514.84"/>
        <n v="30317.040000000001"/>
        <n v="43575.519999999997"/>
        <n v="56784.5"/>
        <n v="6857.5"/>
        <n v="21330.63"/>
        <n v="61439.49"/>
        <n v="10837.8"/>
        <n v="3947.16"/>
        <n v="47904.800000000003"/>
        <n v="40472.199999999997"/>
        <n v="11071.92"/>
        <n v="137722.1"/>
        <n v="216034.41"/>
        <n v="166051.20000000001"/>
        <n v="7984.72"/>
        <n v="238725.4"/>
        <n v="221817.7"/>
        <n v="3316.39"/>
        <n v="8965.11"/>
        <n v="16705.45"/>
        <n v="6037.52"/>
        <n v="12870.72"/>
        <n v="115769.3"/>
        <n v="46512.24"/>
        <n v="180396.93"/>
        <n v="34057.800000000003"/>
        <n v="120375.42"/>
        <n v="52693.7"/>
        <n v="41603.599999999999"/>
        <n v="10024.950000000001"/>
        <n v="40486.35"/>
        <n v="62188.91"/>
        <n v="12450.72"/>
        <n v="78778.100000000006"/>
        <n v="6983.92"/>
        <n v="87620.3"/>
        <n v="12777.3"/>
        <n v="80329.320000000007"/>
        <n v="25863.18"/>
        <n v="72685.41"/>
        <n v="23186.52"/>
        <n v="7831.62"/>
        <n v="28048.720000000001"/>
        <n v="22253.77"/>
        <n v="103832.46"/>
        <n v="71242.570000000007"/>
        <n v="9424.52"/>
        <n v="7394.56"/>
        <n v="96983.4"/>
        <n v="53496.7"/>
        <n v="5427.36"/>
        <n v="2243.4"/>
        <n v="7979.26"/>
        <n v="3817.22"/>
        <n v="181740.2"/>
        <n v="14574.1"/>
        <n v="26367.360000000001"/>
        <n v="193478.18"/>
        <n v="856.41"/>
        <n v="7073.7"/>
        <n v="74650.61"/>
        <n v="5951.8"/>
        <n v="5823.48"/>
        <n v="57428"/>
        <n v="21690.560000000001"/>
        <n v="8439.84"/>
        <n v="36683.58"/>
        <n v="23772.42"/>
        <n v="7503.96"/>
        <n v="243810.8"/>
        <n v="2469.81"/>
        <n v="12680.3"/>
        <n v="19506.27"/>
        <n v="10325.959999999999"/>
        <n v="151610.76"/>
        <n v="87592.7"/>
        <n v="6612.62"/>
        <n v="58753.38"/>
        <n v="23641.5"/>
        <n v="44738.1"/>
        <n v="171423.21"/>
        <n v="176332.95"/>
        <n v="61978.98"/>
        <n v="45980.800000000003"/>
        <n v="3104.37"/>
        <n v="273466.40000000002"/>
        <n v="78208.2"/>
        <n v="123733"/>
        <n v="175741.72"/>
        <n v="8948.16"/>
        <n v="7832.7"/>
        <n v="14202.3"/>
        <n v="49259.55"/>
        <n v="11734.29"/>
        <n v="28105.03"/>
        <n v="2664.06"/>
        <n v="3435.96"/>
        <n v="92835.87"/>
        <n v="87769.919999999998"/>
        <n v="1945.11"/>
        <n v="3127.67"/>
        <n v="51983.75"/>
        <n v="79245.48"/>
        <n v="65789.259999999995"/>
        <n v="24035.4"/>
        <n v="3720.5"/>
        <n v="17620.900000000001"/>
        <n v="275753.64"/>
        <n v="87235.9"/>
        <n v="102890.92"/>
        <n v="139118.25"/>
        <n v="13303.12"/>
        <n v="11194.44"/>
        <n v="11443.64"/>
        <n v="2946.15"/>
        <n v="3637.05"/>
        <n v="9671.76"/>
        <n v="9525.9599999999991"/>
        <n v="3399.42"/>
        <n v="13660.6"/>
        <n v="88085.440000000002"/>
        <n v="164549.68"/>
        <n v="40928.400000000001"/>
        <n v="169858.71"/>
        <n v="8621.27"/>
        <n v="405709.47"/>
        <n v="94204.7"/>
        <n v="9229.68"/>
        <n v="51919.3"/>
        <n v="57484.89"/>
        <n v="13909.77"/>
        <n v="364157.84"/>
        <n v="11861.16"/>
        <n v="15480.06"/>
        <n v="14483.07"/>
        <n v="68977.62"/>
        <n v="74511.929999999993"/>
        <n v="23772.66"/>
        <n v="93013.97"/>
        <n v="186050.41"/>
        <n v="45547.5"/>
        <n v="6176.22"/>
        <n v="14412.4"/>
        <n v="5218.1000000000004"/>
        <n v="11715.48"/>
        <n v="8590.2999999999993"/>
        <n v="37337.25"/>
        <n v="23022.27"/>
        <n v="17475.28"/>
        <n v="8436.18"/>
        <n v="4314.08"/>
        <n v="44473.45"/>
        <n v="9492.07"/>
        <n v="1589.78"/>
        <n v="573165.19999999995"/>
        <n v="3476.74"/>
        <n v="20514.84"/>
        <n v="2957.64"/>
        <n v="17000.900000000001"/>
        <n v="40239.57"/>
        <n v="9705.36"/>
        <n v="18245.919999999998"/>
        <n v="120136.25"/>
        <n v="18146.16"/>
        <n v="141853.9"/>
        <n v="60058.65"/>
        <n v="63616.959999999999"/>
        <n v="90661"/>
        <n v="115148.94"/>
        <n v="22138.48"/>
        <n v="204732.2"/>
        <n v="43245.36"/>
        <n v="115213.77"/>
        <n v="15387.93"/>
        <n v="272661.24"/>
        <n v="202470"/>
        <n v="95100.18"/>
        <n v="27849.16"/>
        <n v="11515.05"/>
        <n v="36185.050000000003"/>
        <n v="52328.08"/>
        <n v="30146.12"/>
        <n v="6818.07"/>
        <n v="47134.7"/>
        <n v="387726.03"/>
        <n v="195304.2"/>
        <n v="6125.14"/>
        <n v="10109.65"/>
        <n v="12967.5"/>
        <n v="1702.1"/>
        <n v="56589.35"/>
        <n v="14763.42"/>
        <n v="76630.740000000005"/>
        <n v="17661.68"/>
        <n v="23911.759999999998"/>
        <n v="30864.84"/>
        <n v="7778.88"/>
        <n v="4994.34"/>
        <n v="3246.66"/>
        <n v="34704.99"/>
        <n v="10770.24"/>
        <n v="54244.33"/>
        <n v="54002.34"/>
        <n v="4626.42"/>
        <n v="26219.040000000001"/>
        <n v="17107.16"/>
        <n v="44225.919999999998"/>
        <n v="34110.1"/>
        <n v="32807.01"/>
        <n v="32826.400000000001"/>
        <n v="185411.17"/>
        <n v="7381.2"/>
        <n v="8708.2000000000007"/>
        <n v="22855.919999999998"/>
        <n v="33384.28"/>
        <n v="15754.76"/>
        <n v="6919.1"/>
        <n v="1220.5899999999999"/>
        <n v="53739.360000000001"/>
        <n v="45833.65"/>
        <n v="23186.16"/>
        <n v="9814.32"/>
        <n v="12435.44"/>
        <n v="84729.3"/>
        <n v="60679.519999999997"/>
        <n v="21843.42"/>
        <n v="25908.69"/>
        <n v="7191.69"/>
        <n v="123077.6"/>
        <n v="228538.4"/>
        <n v="30559.5"/>
        <n v="12062.16"/>
        <n v="17108.46"/>
        <n v="120938.5"/>
        <n v="25805.07"/>
        <n v="129702.95"/>
        <n v="95966.24"/>
        <n v="90713.08"/>
        <n v="191116.79999999999"/>
        <n v="14902.23"/>
        <n v="3913.94"/>
        <n v="15580.6"/>
        <n v="52751.61"/>
        <n v="13665.9"/>
        <n v="6894.8"/>
        <n v="26852.880000000001"/>
        <n v="14128.44"/>
        <n v="29525.040000000001"/>
        <n v="880.02"/>
        <n v="6731.65"/>
        <n v="100014.92"/>
        <n v="165359.20000000001"/>
        <n v="37239.519999999997"/>
        <n v="63330.61"/>
        <n v="44194.04"/>
        <n v="36301.040000000001"/>
        <n v="6702.92"/>
        <n v="14386.08"/>
        <n v="3082.78"/>
        <n v="9479.1"/>
        <n v="24899.94"/>
        <n v="10824.88"/>
        <n v="4868.04"/>
        <n v="7658.08"/>
        <n v="8755.49"/>
        <n v="24784.65"/>
        <n v="219263.2"/>
        <n v="8733.52"/>
        <n v="170126.95"/>
        <n v="45235.5"/>
        <n v="50520.24"/>
        <n v="70621.39"/>
        <n v="117934.25"/>
        <n v="138216.6"/>
        <n v="112277.6"/>
        <n v="21071.360000000001"/>
        <n v="38937.65"/>
        <n v="93697.12"/>
        <n v="1391.27"/>
        <n v="52095.14"/>
        <n v="4769.28"/>
        <n v="100237"/>
        <n v="2142.66"/>
        <n v="24996.79"/>
        <n v="47905.279999999999"/>
        <n v="35764.120000000003"/>
        <n v="4643.08"/>
        <n v="2800.5"/>
        <n v="6552.88"/>
        <n v="38153.07"/>
        <n v="127140.64"/>
        <n v="128563.47"/>
        <n v="12446.38"/>
        <n v="13983.3"/>
        <n v="54169.08"/>
        <n v="23840.76"/>
        <n v="195749.68"/>
        <n v="97670.25"/>
        <n v="1666.39"/>
        <n v="8020.44"/>
        <n v="40075.919999999998"/>
        <n v="177800.58"/>
        <n v="13074.5"/>
        <n v="3817.56"/>
        <n v="173317.48"/>
        <n v="5856.4"/>
        <n v="64451.12"/>
        <n v="30941"/>
        <n v="8365.68"/>
        <n v="25449.4"/>
        <n v="5689.14"/>
        <n v="30548.240000000002"/>
        <n v="56230.86"/>
        <n v="11678.59"/>
        <n v="60475.519999999997"/>
        <n v="18681.5"/>
        <n v="112522"/>
        <n v="13140.75"/>
        <n v="70713.45"/>
        <n v="337240.35"/>
        <n v="2965.86"/>
        <n v="20286.080000000002"/>
        <n v="44821.91"/>
        <n v="658685.97"/>
        <n v="4461.3999999999996"/>
        <n v="9932.86"/>
        <n v="197223.65"/>
        <n v="133817.20000000001"/>
        <n v="1837.4"/>
        <n v="184421.52"/>
        <n v="20058.54"/>
        <n v="648422.80000000005"/>
        <n v="153056.84"/>
        <n v="8202.6"/>
        <n v="2846.88"/>
        <n v="12457.62"/>
        <n v="20017.89"/>
        <n v="50052.480000000003"/>
        <n v="304230.84999999998"/>
        <n v="23890.77"/>
        <n v="26845.99"/>
        <n v="62719.02"/>
        <n v="2852.46"/>
        <n v="16898.3"/>
        <n v="81823.08"/>
        <n v="19239.48"/>
        <n v="170387.21"/>
        <n v="312133.2"/>
        <n v="14844.96"/>
        <n v="14177.24"/>
        <n v="26324.34"/>
        <n v="5096.9399999999996"/>
        <n v="7604.4"/>
        <n v="15237.81"/>
        <n v="9923.11"/>
        <n v="8919.1200000000008"/>
        <n v="4015.12"/>
        <n v="65266.02"/>
        <n v="39016.449999999997"/>
        <n v="195175.12"/>
        <n v="3426.31"/>
        <n v="11206.72"/>
        <n v="13026"/>
        <n v="37404.6"/>
        <n v="25600.05"/>
        <n v="10007.280000000001"/>
        <n v="10102.32"/>
        <n v="107763.84"/>
        <n v="81674.600000000006"/>
        <n v="5443.8"/>
        <n v="366440.2"/>
        <n v="78497.100000000006"/>
        <n v="18955.849999999999"/>
        <n v="16721.32"/>
        <n v="6706.68"/>
        <n v="110550.48"/>
        <n v="34183.68"/>
        <n v="11833.05"/>
        <n v="8166.05"/>
        <n v="32083.45"/>
        <n v="69698.320000000007"/>
        <n v="28100.639999999999"/>
        <n v="8594.8799999999992"/>
        <n v="8461.6"/>
        <n v="23538.66"/>
        <n v="4245.8500000000004"/>
        <n v="21547.200000000001"/>
        <n v="35348.660000000003"/>
        <n v="4988.37"/>
        <n v="25630"/>
        <n v="128406.8"/>
        <n v="40176.78"/>
        <n v="262505.90000000002"/>
        <n v="19931.490000000002"/>
        <n v="5141.3999999999996"/>
        <n v="24976.34"/>
        <n v="2460.06"/>
        <n v="5819.94"/>
        <n v="411352.02"/>
        <n v="4776.8900000000003"/>
        <n v="2998.14"/>
        <n v="16125.1"/>
        <n v="27462"/>
        <n v="97571.36"/>
        <n v="99852"/>
        <n v="698636.2"/>
        <n v="53091.22"/>
        <n v="67996.92"/>
        <n v="328944.96000000002"/>
        <n v="4988.4799999999996"/>
        <n v="25632.81"/>
        <n v="106804.89"/>
        <n v="245497.41"/>
        <n v="16592.45"/>
        <n v="272021.3"/>
        <n v="34736.879999999997"/>
        <n v="18634.04"/>
        <n v="7945.2"/>
        <n v="33285.26"/>
        <n v="53804.59"/>
        <n v="22027.42"/>
        <n v="72802.880000000005"/>
        <n v="73238.880000000005"/>
        <n v="13090.56"/>
        <n v="28469.14"/>
        <n v="55703.41"/>
        <n v="81575.520000000004"/>
        <n v="13905.83"/>
        <n v="25053.18"/>
        <n v="31141.64"/>
        <n v="11316.84"/>
        <n v="13394.55"/>
        <n v="365684.08"/>
        <n v="14937.33"/>
        <n v="5778.8"/>
        <n v="11138.47"/>
        <n v="57798.81"/>
        <n v="100571.48"/>
        <n v="46836"/>
        <n v="144601.5"/>
        <n v="7815.5"/>
        <n v="283158"/>
        <n v="464179.24"/>
        <n v="23496.03"/>
        <n v="3726.74"/>
        <n v="6650.44"/>
        <n v="12681.5"/>
        <n v="18008.900000000001"/>
        <n v="69520.77"/>
        <n v="25794.5"/>
        <n v="49572.68"/>
        <n v="15262.6"/>
        <n v="33086.519999999997"/>
        <n v="32981.4"/>
        <n v="21115.38"/>
        <n v="167140.07999999999"/>
        <n v="3324.84"/>
        <n v="14153.2"/>
        <n v="16229.08"/>
        <n v="15674.24"/>
        <n v="27522.240000000002"/>
        <n v="178375.12"/>
        <n v="30483.63"/>
        <n v="20475.599999999999"/>
        <n v="87580.98"/>
        <n v="27376.45"/>
        <n v="7747.74"/>
        <n v="53861.36"/>
        <n v="3268.04"/>
        <n v="20814.990000000002"/>
        <n v="54543.93"/>
        <n v="24631.75"/>
        <n v="17043.650000000001"/>
        <n v="5534.88"/>
        <n v="2536.66"/>
        <n v="2950.94"/>
        <n v="130267.86"/>
        <n v="172753.42"/>
        <n v="71416.240000000005"/>
        <n v="71910.880000000005"/>
        <n v="55369.3"/>
        <n v="102865.77"/>
        <n v="19877.79"/>
        <n v="63736.4"/>
        <n v="1201"/>
        <n v="31999.05"/>
        <n v="104754.72"/>
        <n v="16059.24"/>
        <n v="27042.44"/>
        <n v="27292.77"/>
        <n v="171869.76"/>
        <n v="4063.33"/>
        <n v="116188.38"/>
        <n v="22441.98"/>
        <n v="8192.0499999999993"/>
        <n v="11558.4"/>
        <n v="25227.96"/>
        <n v="3168.45"/>
        <n v="29957.59"/>
        <n v="81574.320000000007"/>
        <n v="36266.51"/>
        <n v="217711.62"/>
        <n v="283069.71000000002"/>
        <n v="19349.54"/>
        <n v="9406.75"/>
        <n v="17417.759999999998"/>
        <n v="54374.05"/>
        <n v="1119.76"/>
        <n v="63932.08"/>
        <n v="16505.400000000001"/>
        <n v="44867.79"/>
        <n v="4194.3500000000004"/>
        <n v="45464.959999999999"/>
        <n v="54138.58"/>
        <n v="900.55"/>
        <n v="7053.84"/>
        <n v="13423.23"/>
        <n v="215103.84"/>
        <n v="40695.72"/>
        <n v="96650.6"/>
        <n v="1620.14"/>
        <n v="68739.66"/>
        <n v="172637.73"/>
        <n v="10966.36"/>
        <n v="29400.87"/>
        <n v="144012.66"/>
        <n v="101274.57"/>
        <n v="103097.97"/>
        <n v="12059.58"/>
        <n v="871.46"/>
        <n v="3899.52"/>
        <n v="29170"/>
        <n v="117442"/>
        <n v="73782.81"/>
        <n v="19304.490000000002"/>
        <n v="143511.6"/>
        <n v="211022"/>
        <n v="17275.5"/>
        <n v="14192.46"/>
        <n v="10019.700000000001"/>
        <n v="5330.58"/>
        <n v="199070.9"/>
        <n v="5916.05"/>
        <n v="5499.78"/>
        <n v="34871.1"/>
        <n v="58874.19"/>
        <n v="128928.7"/>
        <n v="95851"/>
        <n v="118080.8"/>
        <n v="64816.56"/>
        <n v="9334.08"/>
        <n v="111526.02"/>
        <n v="14610.1"/>
        <n v="39662.699999999997"/>
        <n v="4626.4399999999996"/>
        <n v="36834.300000000003"/>
        <n v="18259"/>
        <n v="11917.5"/>
        <n v="53477.54"/>
        <n v="7400.72"/>
        <n v="6680.79"/>
        <n v="306287.03999999998"/>
        <n v="134996.79999999999"/>
        <n v="26237.26"/>
        <n v="40420.71"/>
        <n v="9141.2000000000007"/>
        <n v="2625.66"/>
        <n v="6356.95"/>
        <n v="255306.17"/>
        <n v="6598.69"/>
        <n v="25367.93"/>
        <n v="178993.95"/>
        <n v="51818.66"/>
        <n v="22642.880000000001"/>
        <n v="12971"/>
        <n v="267296.09999999998"/>
        <n v="113197.77"/>
        <n v="9883.9699999999993"/>
        <n v="5942.64"/>
        <n v="27459.81"/>
        <n v="138034.74"/>
        <n v="14171.05"/>
        <n v="29621.94"/>
        <n v="4847.04"/>
        <n v="20923.28"/>
        <n v="214805.16"/>
        <n v="14505.64"/>
        <n v="34299.120000000003"/>
        <n v="10747.38"/>
        <n v="48193.120000000003"/>
        <n v="5258.94"/>
        <n v="20275.150000000001"/>
        <n v="15195.6"/>
        <n v="24239.4"/>
        <n v="6435.16"/>
        <n v="25531.1"/>
        <n v="7014.08"/>
        <n v="12886.84"/>
        <n v="24711.56"/>
        <n v="3669.59"/>
        <n v="13483.2"/>
        <n v="16817.099999999999"/>
        <n v="53783.94"/>
        <n v="16086.77"/>
        <n v="6643.64"/>
        <n v="14663.85"/>
        <n v="63194"/>
        <n v="690343.9"/>
        <n v="29701"/>
        <n v="9751.65"/>
        <n v="210696"/>
        <n v="42684.9"/>
        <n v="118166.13"/>
        <n v="99375.5"/>
        <n v="264507.3"/>
        <n v="37629.9"/>
        <n v="19678.89"/>
        <n v="107869.41"/>
        <n v="7799.67"/>
        <n v="64956.2"/>
        <n v="4781.9399999999996"/>
        <n v="19751.650000000001"/>
        <n v="11167.48"/>
        <n v="3052.64"/>
        <n v="103017.84"/>
        <n v="38665.74"/>
        <n v="59831.94"/>
        <n v="26949.360000000001"/>
        <n v="16429.45"/>
        <n v="78153"/>
        <n v="2015.14"/>
        <n v="4095"/>
        <n v="36389.279999999999"/>
        <n v="80427.7"/>
        <n v="13714.08"/>
        <n v="2593.2600000000002"/>
        <n v="32815.26"/>
        <n v="17325.2"/>
        <n v="5260.12"/>
        <n v="8752.7999999999993"/>
        <n v="6411.8"/>
        <n v="6664.56"/>
        <n v="90779.76"/>
        <n v="20451.2"/>
        <n v="23211.24"/>
        <n v="5039.05"/>
        <n v="157143.06"/>
        <n v="52144.4"/>
        <n v="4108.9799999999996"/>
        <n v="63391.72"/>
        <n v="10021.459999999999"/>
        <n v="3224.38"/>
        <n v="19792.88"/>
        <n v="24696.84"/>
        <n v="35859.24"/>
        <n v="13419.65"/>
        <n v="22073.65"/>
        <n v="8799.48"/>
        <n v="15953.2"/>
        <n v="6838.45"/>
        <n v="5365.56"/>
        <n v="25375.119999999999"/>
        <n v="961.01"/>
        <n v="2731.11"/>
        <n v="15932"/>
        <n v="22328.16"/>
        <n v="72123.59"/>
        <n v="115744.9"/>
        <n v="9308.74"/>
        <n v="103537.52"/>
        <n v="73695.399999999994"/>
        <n v="67287.570000000007"/>
        <n v="16881.5"/>
        <n v="28439.64"/>
        <n v="79082.8"/>
        <n v="79785.84"/>
        <n v="5128.08"/>
        <n v="79014.64"/>
        <n v="237860.68"/>
        <n v="352501.1"/>
        <n v="8104.4"/>
        <n v="157678.24"/>
        <n v="14723.61"/>
        <n v="1625.85"/>
        <n v="9651.2000000000007"/>
        <n v="10138.6"/>
        <n v="19376.98"/>
        <n v="10791.69"/>
        <n v="10887.38"/>
        <n v="17251.009999999998"/>
        <n v="3193.77"/>
        <n v="197236.76"/>
        <n v="31675.86"/>
        <n v="37187.4"/>
        <n v="74731.72"/>
        <n v="7603.5"/>
        <n v="11935.06"/>
        <n v="91019.96"/>
        <n v="36955.1"/>
        <n v="23732.04"/>
        <n v="15797.04"/>
        <n v="11244.64"/>
        <n v="30740.76"/>
        <n v="79535.8"/>
        <n v="11461"/>
        <n v="11401.28"/>
        <n v="18900.900000000001"/>
        <n v="15640.4"/>
        <n v="26422.2"/>
        <n v="15186.56"/>
        <n v="20073.12"/>
        <n v="149362.01999999999"/>
        <n v="31117.7"/>
        <n v="7360.4"/>
        <n v="23828.49"/>
        <n v="8729.76"/>
        <n v="57808.03"/>
        <n v="303387.3"/>
        <n v="3174.62"/>
        <n v="16421.599999999999"/>
        <n v="32997.199999999997"/>
        <n v="398997"/>
        <n v="12252.96"/>
        <n v="13765.8"/>
        <n v="17214.2"/>
        <n v="9309.15"/>
        <n v="31433.4"/>
        <n v="6799.76"/>
        <n v="1905.56"/>
        <n v="831.1"/>
        <n v="32751.09"/>
        <n v="41361.11"/>
        <n v="1325.51"/>
        <n v="358397.19"/>
        <n v="15807.7"/>
        <n v="23551.11"/>
        <n v="92160.66"/>
        <n v="5861.44"/>
        <n v="9156.16"/>
        <n v="7091.84"/>
        <n v="26904.6"/>
        <n v="4463.49"/>
        <n v="103095"/>
        <n v="17526.330000000002"/>
        <n v="67874.45"/>
        <n v="166160.64000000001"/>
        <n v="7288.68"/>
        <n v="11874.9"/>
        <n v="20094.66"/>
        <n v="19616.16"/>
        <n v="17208.060000000001"/>
        <n v="54749.52"/>
        <n v="5077.7"/>
        <n v="2397.6"/>
        <n v="552786.96"/>
        <n v="31242.48"/>
        <n v="245603.97"/>
        <n v="78536.210000000006"/>
        <n v="21738.720000000001"/>
        <n v="26502.48"/>
        <n v="3688.17"/>
        <n v="27032.1"/>
        <n v="18131.7"/>
        <n v="132090.6"/>
        <n v="114319.76"/>
        <n v="27670.05"/>
        <n v="71957.94"/>
        <n v="33149.879999999997"/>
        <n v="65964.149999999994"/>
        <n v="8457.42"/>
        <n v="42199.15"/>
        <n v="13450.4"/>
        <n v="10203.52"/>
        <n v="16318.8"/>
        <n v="167243.4"/>
        <n v="12260.63"/>
        <n v="6506.56"/>
        <n v="579645.04"/>
        <n v="5314.1"/>
        <n v="72023.22"/>
        <n v="17571.439999999999"/>
        <n v="6691.04"/>
        <n v="42212.9"/>
        <n v="12479.85"/>
        <n v="8425.14"/>
        <n v="11701.75"/>
        <n v="38159.4"/>
        <n v="10286.02"/>
        <n v="4469.45"/>
        <n v="420962.92"/>
        <n v="9587.5499999999993"/>
        <n v="7155.54"/>
        <n v="2638.6"/>
        <n v="194712.48"/>
        <n v="48296.44"/>
        <n v="83048.039999999994"/>
        <n v="30038.400000000001"/>
        <n v="108219"/>
        <n v="50823.040000000001"/>
        <n v="237174.72"/>
        <n v="56652.2"/>
        <n v="29070.32"/>
        <n v="21229.38"/>
        <n v="134610.70000000001"/>
        <n v="370368.6"/>
        <n v="63399.35"/>
        <n v="18401.5"/>
        <n v="7292.7"/>
        <n v="9644.52"/>
        <n v="7695.26"/>
        <n v="8219.43"/>
        <n v="62970.400000000001"/>
        <n v="1737.08"/>
        <n v="23541.84"/>
        <n v="293242.2"/>
        <n v="59504.800000000003"/>
        <n v="5714.16"/>
        <n v="80421.36"/>
        <n v="6793.39"/>
        <n v="40398.03"/>
        <n v="31907.55"/>
        <n v="26330.5"/>
        <n v="17941.07"/>
        <n v="2632.76"/>
        <n v="819.14"/>
        <n v="21049.919999999998"/>
        <n v="23741.94"/>
        <n v="3961.5"/>
        <n v="109498.41"/>
        <n v="15544.62"/>
        <n v="12480.58"/>
        <n v="5843.46"/>
        <n v="80568.81"/>
        <n v="238058.58"/>
        <n v="16721.900000000001"/>
        <n v="3452.22"/>
        <n v="10115.82"/>
        <n v="78493.8"/>
        <n v="7814.25"/>
        <n v="9969.43"/>
        <n v="17104.64"/>
        <n v="65868.7"/>
        <n v="1463.32"/>
        <n v="5176.76"/>
        <n v="25560.240000000002"/>
        <n v="6980.33"/>
        <n v="364090.4"/>
        <n v="32801.58"/>
        <n v="116954.28"/>
        <n v="317888.69"/>
        <n v="33092.5"/>
        <n v="181688.48"/>
        <n v="10892.17"/>
        <n v="33449.71"/>
        <n v="2193.1"/>
        <n v="25564.14"/>
        <n v="6210.52"/>
        <n v="67936.100000000006"/>
        <n v="1829.24"/>
        <n v="8873.5"/>
        <n v="27711.99"/>
        <n v="43854.7"/>
        <n v="25238.07"/>
        <n v="17829.48"/>
        <n v="320815.76"/>
        <n v="80273.52"/>
        <n v="13657.65"/>
        <n v="13505.89"/>
        <n v="9845.2999999999993"/>
        <n v="41482.800000000003"/>
        <n v="5637.96"/>
        <n v="9471.91"/>
        <n v="36193.86"/>
        <n v="51563.360000000001"/>
        <n v="95060.479999999996"/>
        <n v="2555.13"/>
        <n v="114756.3"/>
        <n v="84843.25"/>
        <n v="280417.77"/>
        <n v="25732.76"/>
        <n v="1648.36"/>
        <n v="10724.21"/>
        <n v="6492.56"/>
        <n v="555010.24"/>
        <n v="2669.04"/>
        <n v="3392.88"/>
        <n v="177321"/>
        <n v="5056.32"/>
        <n v="35408.239999999998"/>
        <n v="8733.15"/>
        <n v="45536.6"/>
        <n v="26158.36"/>
        <n v="46588.92"/>
        <n v="40026.800000000003"/>
        <n v="7884.55"/>
        <n v="141503"/>
        <n v="1944.45"/>
        <n v="5389.44"/>
        <n v="33533.01"/>
        <n v="11492.8"/>
        <n v="101204.34"/>
        <n v="444846.57"/>
        <n v="1679.55"/>
        <n v="5684.58"/>
        <n v="55657.2"/>
        <n v="90497"/>
        <n v="100067.12"/>
        <n v="26894.82"/>
        <n v="39011.050000000003"/>
        <n v="26350.45"/>
        <n v="18417.2"/>
        <n v="29553.8"/>
        <n v="293942.34000000003"/>
        <n v="31475"/>
        <n v="306595.44"/>
        <n v="55522.05"/>
        <n v="82774.7"/>
        <n v="12949.85"/>
        <n v="8506.2999999999993"/>
        <n v="205021"/>
        <n v="135327.22"/>
        <n v="14702.79"/>
        <n v="15555.68"/>
        <n v="104228.2"/>
        <n v="19314"/>
        <n v="5128.6499999999996"/>
        <n v="9802.1"/>
        <n v="5037.42"/>
        <n v="30151.56"/>
        <n v="36344.769999999997"/>
        <n v="125570.83"/>
        <n v="16369.85"/>
        <n v="603200.06999999995"/>
        <n v="24580.99"/>
        <n v="344617.76"/>
        <n v="27343.1"/>
        <n v="29421"/>
        <n v="38830.83"/>
        <n v="9522.6299999999992"/>
        <n v="68818.95"/>
        <n v="10925.52"/>
        <n v="24666.75"/>
        <n v="24922.05"/>
        <n v="13756.44"/>
        <n v="7414.35"/>
        <n v="12027.95"/>
        <n v="28325"/>
        <n v="163440.84"/>
        <n v="26731.29"/>
        <n v="109569.1"/>
        <n v="53647.35"/>
        <n v="39370.15"/>
        <n v="19196.14"/>
        <n v="9208.56"/>
        <n v="43358.28"/>
        <n v="41802.629999999997"/>
        <n v="36687.32"/>
        <n v="4414.6499999999996"/>
        <n v="82437.38"/>
        <n v="84446.39"/>
        <n v="13108.53"/>
        <n v="23785.26"/>
        <n v="787.36"/>
        <n v="41791.160000000003"/>
        <n v="45420.6"/>
        <n v="95781.759999999995"/>
        <n v="2538.06"/>
        <n v="2306.58"/>
        <n v="113575.56"/>
        <n v="20363.14"/>
        <n v="8819.2999999999993"/>
        <n v="720413.3"/>
        <n v="26313.279999999999"/>
        <n v="76843.44"/>
        <n v="3693.25"/>
        <n v="3127.28"/>
        <n v="266782.3"/>
        <n v="1564.7"/>
        <n v="70318.17"/>
        <n v="484454.74"/>
        <n v="65858.399999999994"/>
        <n v="4218.25"/>
        <n v="46331.8"/>
        <n v="13177.01"/>
        <n v="55308.32"/>
        <n v="5356.8"/>
        <n v="417773.34"/>
        <n v="36213.199999999997"/>
        <n v="44768.15"/>
        <n v="10168.24"/>
        <n v="3809.31"/>
        <n v="62932.75"/>
        <n v="51892.639999999999"/>
        <n v="125711.6"/>
        <n v="86117.6"/>
        <n v="5901.42"/>
        <n v="158407.72"/>
        <n v="144268.32"/>
        <n v="29532.240000000002"/>
        <n v="127810.53"/>
        <n v="93614.29"/>
        <n v="10233.040000000001"/>
        <n v="225870.56"/>
        <n v="33398.550000000003"/>
        <n v="15954.32"/>
        <n v="34940"/>
        <n v="90773.440000000002"/>
        <n v="5775.8"/>
        <n v="39942.699999999997"/>
        <n v="2089.46"/>
        <n v="3222.77"/>
        <n v="30381.119999999999"/>
        <n v="4558.6000000000004"/>
        <n v="6399"/>
        <n v="14237.4"/>
        <n v="133048.18"/>
        <n v="52573.86"/>
        <n v="20019.93"/>
        <n v="28847.14"/>
        <n v="184080.33"/>
        <n v="9682.8799999999992"/>
        <n v="143027.70000000001"/>
        <n v="15263.5"/>
        <n v="241252.3"/>
        <n v="5109.78"/>
        <n v="61134.43"/>
        <n v="8218.4"/>
        <n v="48931.02"/>
        <n v="69198.240000000005"/>
        <n v="11315.19"/>
        <n v="15656.2"/>
        <n v="90821.78"/>
        <n v="118700.19"/>
        <n v="3889.32"/>
        <n v="261818.46"/>
        <n v="2424.5"/>
        <n v="226445.4"/>
        <n v="29735.759999999998"/>
        <n v="14753.97"/>
        <n v="19027.259999999998"/>
        <n v="44879.76"/>
        <n v="9621.36"/>
        <n v="2434.44"/>
        <n v="26973.68"/>
        <n v="82451.179999999993"/>
        <n v="895.53"/>
        <n v="702795.87"/>
        <n v="24838.45"/>
        <n v="7225.57"/>
        <n v="22161.93"/>
        <n v="57257.64"/>
        <n v="267477.98"/>
        <n v="7444.1"/>
        <n v="17952.91"/>
        <n v="69973.11"/>
        <n v="17059.560000000001"/>
        <n v="24545.5"/>
        <n v="9156.4"/>
        <n v="163864.74"/>
        <n v="131792.4"/>
        <n v="59677.35"/>
        <n v="54700.86"/>
        <n v="440426.64"/>
        <n v="23881.56"/>
        <n v="14089"/>
        <n v="45357.39"/>
        <n v="90280.56"/>
        <n v="17174.580000000002"/>
        <n v="6577.88"/>
        <n v="10590.8"/>
        <n v="50407.839999999997"/>
        <n v="15972.36"/>
        <n v="56634.03"/>
        <n v="576665.12"/>
        <n v="310461.03999999998"/>
        <n v="232915.4"/>
        <n v="14434.02"/>
        <n v="5850.72"/>
        <n v="27349.65"/>
        <n v="99235.199999999997"/>
        <n v="137406.5"/>
        <n v="17855.900000000001"/>
        <n v="29892"/>
        <n v="18360.2"/>
        <n v="159140.25"/>
        <n v="70167.42"/>
        <n v="9854.4599999999991"/>
        <n v="37425.4"/>
        <n v="53667.12"/>
        <n v="28132.02"/>
        <n v="107887.4"/>
        <n v="36643.9"/>
        <n v="147479.92000000001"/>
        <n v="51532.26"/>
        <n v="193048.7"/>
        <n v="23352.12"/>
        <n v="5206.9799999999996"/>
        <n v="192573.84"/>
        <n v="43993.2"/>
        <n v="253910.5"/>
        <n v="30344.639999999999"/>
        <n v="13083.44"/>
        <n v="1701.3"/>
        <n v="11994.99"/>
        <n v="14194.26"/>
        <n v="50118.720000000001"/>
        <n v="18537.97"/>
        <n v="13565.1"/>
        <n v="6600.68"/>
        <n v="5695.24"/>
        <n v="31587"/>
        <n v="4869.12"/>
      </sharedItems>
    </cacheField>
    <cacheField name="Total_Sales" numFmtId="0">
      <sharedItems containsSemiMixedTypes="0" containsString="0" containsNumber="1" minValue="579.29999999999995" maxValue="784570.8"/>
    </cacheField>
    <cacheField name="Month" numFmtId="0">
      <sharedItems count="12">
        <s v="August"/>
        <s v="April"/>
        <s v="February"/>
        <s v="December"/>
        <s v="October"/>
        <s v="June"/>
        <s v="March"/>
        <s v="September"/>
        <s v="November"/>
        <s v="May"/>
        <s v="January"/>
        <s v="July"/>
      </sharedItems>
    </cacheField>
    <cacheField name="Year" numFmtId="0">
      <sharedItems containsSemiMixedTypes="0" containsString="0" containsNumber="1" containsInteger="1" minValue="2024" maxValue="2025"/>
    </cacheField>
    <cacheField name="Field1" numFmtId="0" formula="Total_Sales/Transaction_ID" databaseField="0"/>
    <cacheField name="Field2" numFmtId="0" formula="Total_Sales/Transaction_ID" databaseField="0"/>
    <cacheField name="Field3" numFmtId="0" formula="Total_Sales/Transaction_ID" databaseField="0"/>
    <cacheField name="Field4" numFmtId="0" formula="Total_Sales/Transaction_ID" databaseField="0"/>
    <cacheField name="Field5" numFmtId="0" formula="Total_Sales/Transaction_ID" databaseField="0"/>
  </cacheFields>
  <extLst>
    <ext xmlns:x14="http://schemas.microsoft.com/office/spreadsheetml/2009/9/main" uri="{725AE2AE-9491-48be-B2B4-4EB974FC3084}">
      <x14:pivotCacheDefinition pivotCacheId="5557733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Sudha" refreshedDate="46150.482909953702" createdVersion="8" refreshedVersion="8" minRefreshableVersion="3" recordCount="15" xr:uid="{0AE47CDF-3419-4800-BA47-9DFD43FC26DB}">
  <cacheSource type="worksheet">
    <worksheetSource ref="BM3:BP18" sheet="pivot table"/>
  </cacheSource>
  <cacheFields count="5">
    <cacheField name="Customer Name" numFmtId="0">
      <sharedItems count="15">
        <s v="Aarav Sharma"/>
        <s v="Aditya Roy"/>
        <s v="Ananya Das"/>
        <s v="Arjun Mehta"/>
        <s v="Kavya Nair"/>
        <s v="Manish Kumar"/>
        <s v="Neha Gupta"/>
        <s v="Pooja Malhotra"/>
        <s v="Priya Verma"/>
        <s v="Rahul Singh"/>
        <s v="Rohan Patel"/>
        <s v="Simran Kaur"/>
        <s v="Sneha Kapoor"/>
        <s v="Vikram Joshi"/>
        <s v="Yash Jain"/>
      </sharedItems>
    </cacheField>
    <cacheField name="Total Sales" numFmtId="165">
      <sharedItems containsSemiMixedTypes="0" containsString="0" containsNumber="1" minValue="12869930.759999992" maxValue="17732962.829999998"/>
    </cacheField>
    <cacheField name="Count of Transaction Id" numFmtId="165">
      <sharedItems containsSemiMixedTypes="0" containsString="0" containsNumber="1" containsInteger="1" minValue="240" maxValue="303" count="13">
        <n v="252"/>
        <n v="270"/>
        <n v="262"/>
        <n v="268"/>
        <n v="303"/>
        <n v="251"/>
        <n v="256"/>
        <n v="260"/>
        <n v="292"/>
        <n v="279"/>
        <n v="240"/>
        <n v="274"/>
        <n v="263"/>
      </sharedItems>
    </cacheField>
    <cacheField name="Average Order Value" numFmtId="166">
      <sharedItems containsSemiMixedTypes="0" containsString="0" containsNumber="1" minValue="47666.410222222192" maxValue="63148.262686567105"/>
    </cacheField>
    <cacheField name="Field1" numFmtId="0" formula="'Total Sales'/'Count of Transaction Id'"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TXN00001"/>
    <x v="0"/>
    <x v="0"/>
    <x v="0"/>
    <x v="0"/>
    <d v="2024-08-16T00:00:00"/>
    <x v="0"/>
    <n v="70467.66"/>
    <n v="20"/>
    <x v="0"/>
    <n v="42280.6"/>
    <x v="0"/>
    <n v="169122.38"/>
    <x v="0"/>
    <n v="2024"/>
  </r>
  <r>
    <s v="TXN00002"/>
    <x v="1"/>
    <x v="0"/>
    <x v="1"/>
    <x v="1"/>
    <d v="2024-04-05T00:00:00"/>
    <x v="1"/>
    <n v="2874.5"/>
    <n v="20"/>
    <x v="1"/>
    <n v="2299.6"/>
    <x v="1"/>
    <n v="9198.4"/>
    <x v="1"/>
    <n v="2024"/>
  </r>
  <r>
    <s v="TXN00003"/>
    <x v="2"/>
    <x v="0"/>
    <x v="1"/>
    <x v="2"/>
    <d v="2024-08-13T00:00:00"/>
    <x v="2"/>
    <n v="3141.95"/>
    <n v="0"/>
    <x v="2"/>
    <n v="0"/>
    <x v="2"/>
    <n v="25135.599999999999"/>
    <x v="0"/>
    <n v="2024"/>
  </r>
  <r>
    <s v="TXN00004"/>
    <x v="3"/>
    <x v="1"/>
    <x v="2"/>
    <x v="0"/>
    <d v="2024-08-08T00:00:00"/>
    <x v="3"/>
    <n v="23138.81"/>
    <n v="15"/>
    <x v="3"/>
    <n v="20824.93"/>
    <x v="3"/>
    <n v="118007.93"/>
    <x v="0"/>
    <n v="2024"/>
  </r>
  <r>
    <s v="TXN00005"/>
    <x v="4"/>
    <x v="0"/>
    <x v="3"/>
    <x v="0"/>
    <d v="2024-02-14T00:00:00"/>
    <x v="2"/>
    <n v="18613.03"/>
    <n v="15"/>
    <x v="4"/>
    <n v="22335.64"/>
    <x v="4"/>
    <n v="126568.6"/>
    <x v="2"/>
    <n v="2024"/>
  </r>
  <r>
    <s v="TXN00006"/>
    <x v="5"/>
    <x v="0"/>
    <x v="1"/>
    <x v="3"/>
    <d v="2025-08-14T00:00:00"/>
    <x v="1"/>
    <n v="3228.43"/>
    <n v="0"/>
    <x v="5"/>
    <n v="0"/>
    <x v="5"/>
    <n v="12913.72"/>
    <x v="0"/>
    <n v="2025"/>
  </r>
  <r>
    <s v="TXN00007"/>
    <x v="6"/>
    <x v="1"/>
    <x v="4"/>
    <x v="3"/>
    <d v="2024-04-13T00:00:00"/>
    <x v="4"/>
    <n v="7755.95"/>
    <n v="10"/>
    <x v="0"/>
    <n v="5429.17"/>
    <x v="6"/>
    <n v="48862.48"/>
    <x v="1"/>
    <n v="2024"/>
  </r>
  <r>
    <s v="TXN00008"/>
    <x v="3"/>
    <x v="1"/>
    <x v="4"/>
    <x v="4"/>
    <d v="2025-12-19T00:00:00"/>
    <x v="5"/>
    <n v="9260.09"/>
    <n v="5"/>
    <x v="4"/>
    <n v="926.01"/>
    <x v="7"/>
    <n v="17594.169999999998"/>
    <x v="3"/>
    <n v="2025"/>
  </r>
  <r>
    <s v="TXN00009"/>
    <x v="7"/>
    <x v="2"/>
    <x v="5"/>
    <x v="5"/>
    <d v="2024-10-03T00:00:00"/>
    <x v="6"/>
    <n v="1260.47"/>
    <n v="10"/>
    <x v="2"/>
    <n v="1134.42"/>
    <x v="8"/>
    <n v="10209.81"/>
    <x v="4"/>
    <n v="2024"/>
  </r>
  <r>
    <s v="TXN00010"/>
    <x v="4"/>
    <x v="0"/>
    <x v="6"/>
    <x v="1"/>
    <d v="2025-02-14T00:00:00"/>
    <x v="7"/>
    <n v="22913.68"/>
    <n v="20"/>
    <x v="5"/>
    <n v="22913.68"/>
    <x v="9"/>
    <n v="91654.720000000001"/>
    <x v="2"/>
    <n v="2025"/>
  </r>
  <r>
    <s v="TXN00011"/>
    <x v="8"/>
    <x v="3"/>
    <x v="7"/>
    <x v="5"/>
    <d v="2025-10-20T00:00:00"/>
    <x v="2"/>
    <n v="1852.72"/>
    <n v="5"/>
    <x v="2"/>
    <n v="741.09"/>
    <x v="10"/>
    <n v="14080.67"/>
    <x v="4"/>
    <n v="2025"/>
  </r>
  <r>
    <s v="TXN00012"/>
    <x v="9"/>
    <x v="1"/>
    <x v="8"/>
    <x v="0"/>
    <d v="2025-08-20T00:00:00"/>
    <x v="4"/>
    <n v="39619.96"/>
    <n v="5"/>
    <x v="2"/>
    <n v="13866.99"/>
    <x v="11"/>
    <n v="263472.73"/>
    <x v="0"/>
    <n v="2025"/>
  </r>
  <r>
    <s v="TXN00013"/>
    <x v="6"/>
    <x v="2"/>
    <x v="9"/>
    <x v="3"/>
    <d v="2024-04-22T00:00:00"/>
    <x v="0"/>
    <n v="4755.88"/>
    <n v="15"/>
    <x v="1"/>
    <n v="2140.15"/>
    <x v="12"/>
    <n v="12127.49"/>
    <x v="1"/>
    <n v="2024"/>
  </r>
  <r>
    <s v="TXN00014"/>
    <x v="1"/>
    <x v="2"/>
    <x v="10"/>
    <x v="5"/>
    <d v="2025-06-25T00:00:00"/>
    <x v="7"/>
    <n v="2856.92"/>
    <n v="0"/>
    <x v="6"/>
    <n v="0"/>
    <x v="13"/>
    <n v="14284.6"/>
    <x v="5"/>
    <n v="2025"/>
  </r>
  <r>
    <s v="TXN00015"/>
    <x v="10"/>
    <x v="0"/>
    <x v="1"/>
    <x v="0"/>
    <d v="2024-04-24T00:00:00"/>
    <x v="7"/>
    <n v="3026.07"/>
    <n v="15"/>
    <x v="5"/>
    <n v="2269.5500000000002"/>
    <x v="14"/>
    <n v="12860.8"/>
    <x v="1"/>
    <n v="2024"/>
  </r>
  <r>
    <s v="TXN00016"/>
    <x v="9"/>
    <x v="0"/>
    <x v="3"/>
    <x v="3"/>
    <d v="2025-06-03T00:00:00"/>
    <x v="5"/>
    <n v="20117.330000000002"/>
    <n v="10"/>
    <x v="3"/>
    <n v="4023.47"/>
    <x v="15"/>
    <n v="36211.19"/>
    <x v="5"/>
    <n v="2025"/>
  </r>
  <r>
    <s v="TXN00017"/>
    <x v="2"/>
    <x v="2"/>
    <x v="11"/>
    <x v="4"/>
    <d v="2024-06-14T00:00:00"/>
    <x v="6"/>
    <n v="5691.87"/>
    <n v="20"/>
    <x v="5"/>
    <n v="10245.370000000001"/>
    <x v="16"/>
    <n v="40981.46"/>
    <x v="5"/>
    <n v="2024"/>
  </r>
  <r>
    <s v="TXN00018"/>
    <x v="3"/>
    <x v="0"/>
    <x v="1"/>
    <x v="5"/>
    <d v="2024-04-24T00:00:00"/>
    <x v="3"/>
    <n v="3359.04"/>
    <n v="10"/>
    <x v="1"/>
    <n v="2015.42"/>
    <x v="17"/>
    <n v="18138.82"/>
    <x v="1"/>
    <n v="2024"/>
  </r>
  <r>
    <s v="TXN00019"/>
    <x v="2"/>
    <x v="1"/>
    <x v="12"/>
    <x v="6"/>
    <d v="2024-03-28T00:00:00"/>
    <x v="2"/>
    <n v="6624.03"/>
    <n v="20"/>
    <x v="7"/>
    <n v="10598.45"/>
    <x v="18"/>
    <n v="42393.79"/>
    <x v="6"/>
    <n v="2024"/>
  </r>
  <r>
    <s v="TXN00020"/>
    <x v="8"/>
    <x v="1"/>
    <x v="13"/>
    <x v="5"/>
    <d v="2024-09-28T00:00:00"/>
    <x v="6"/>
    <n v="13417.3"/>
    <n v="15"/>
    <x v="3"/>
    <n v="18113.349999999999"/>
    <x v="19"/>
    <n v="102642.35"/>
    <x v="7"/>
    <n v="2024"/>
  </r>
  <r>
    <s v="TXN00021"/>
    <x v="10"/>
    <x v="1"/>
    <x v="8"/>
    <x v="2"/>
    <d v="2025-12-31T00:00:00"/>
    <x v="7"/>
    <n v="43988.92"/>
    <n v="10"/>
    <x v="0"/>
    <n v="21994.46"/>
    <x v="20"/>
    <n v="197950.14"/>
    <x v="3"/>
    <n v="2025"/>
  </r>
  <r>
    <s v="TXN00022"/>
    <x v="11"/>
    <x v="4"/>
    <x v="14"/>
    <x v="1"/>
    <d v="2024-08-18T00:00:00"/>
    <x v="5"/>
    <n v="1476.78"/>
    <n v="20"/>
    <x v="0"/>
    <n v="590.71"/>
    <x v="21"/>
    <n v="2362.85"/>
    <x v="0"/>
    <n v="2024"/>
  </r>
  <r>
    <s v="TXN00023"/>
    <x v="12"/>
    <x v="2"/>
    <x v="5"/>
    <x v="4"/>
    <d v="2024-03-13T00:00:00"/>
    <x v="8"/>
    <n v="1148.68"/>
    <n v="0"/>
    <x v="1"/>
    <n v="0"/>
    <x v="22"/>
    <n v="1148.68"/>
    <x v="6"/>
    <n v="2024"/>
  </r>
  <r>
    <s v="TXN00024"/>
    <x v="9"/>
    <x v="3"/>
    <x v="15"/>
    <x v="4"/>
    <d v="2025-11-16T00:00:00"/>
    <x v="2"/>
    <n v="839.13"/>
    <n v="5"/>
    <x v="4"/>
    <n v="335.65"/>
    <x v="23"/>
    <n v="6377.39"/>
    <x v="8"/>
    <n v="2025"/>
  </r>
  <r>
    <s v="TXN00025"/>
    <x v="11"/>
    <x v="2"/>
    <x v="11"/>
    <x v="4"/>
    <d v="2025-02-20T00:00:00"/>
    <x v="1"/>
    <n v="4617.91"/>
    <n v="15"/>
    <x v="6"/>
    <n v="2770.75"/>
    <x v="24"/>
    <n v="15700.89"/>
    <x v="2"/>
    <n v="2025"/>
  </r>
  <r>
    <s v="TXN00026"/>
    <x v="1"/>
    <x v="3"/>
    <x v="16"/>
    <x v="5"/>
    <d v="2025-11-20T00:00:00"/>
    <x v="5"/>
    <n v="1510"/>
    <n v="10"/>
    <x v="1"/>
    <n v="302"/>
    <x v="25"/>
    <n v="2718"/>
    <x v="8"/>
    <n v="2025"/>
  </r>
  <r>
    <s v="TXN00027"/>
    <x v="2"/>
    <x v="0"/>
    <x v="6"/>
    <x v="4"/>
    <d v="2024-05-23T00:00:00"/>
    <x v="4"/>
    <n v="23646.799999999999"/>
    <n v="15"/>
    <x v="6"/>
    <n v="24829.14"/>
    <x v="26"/>
    <n v="140698.46"/>
    <x v="9"/>
    <n v="2024"/>
  </r>
  <r>
    <s v="TXN00028"/>
    <x v="11"/>
    <x v="1"/>
    <x v="12"/>
    <x v="3"/>
    <d v="2024-02-21T00:00:00"/>
    <x v="6"/>
    <n v="6654.04"/>
    <n v="0"/>
    <x v="7"/>
    <n v="0"/>
    <x v="27"/>
    <n v="59886.36"/>
    <x v="2"/>
    <n v="2024"/>
  </r>
  <r>
    <s v="TXN00029"/>
    <x v="1"/>
    <x v="1"/>
    <x v="13"/>
    <x v="5"/>
    <d v="2024-08-06T00:00:00"/>
    <x v="4"/>
    <n v="13507.33"/>
    <n v="5"/>
    <x v="6"/>
    <n v="4727.57"/>
    <x v="28"/>
    <n v="89823.74"/>
    <x v="0"/>
    <n v="2024"/>
  </r>
  <r>
    <s v="TXN00030"/>
    <x v="1"/>
    <x v="4"/>
    <x v="17"/>
    <x v="0"/>
    <d v="2024-10-19T00:00:00"/>
    <x v="4"/>
    <n v="4135.47"/>
    <n v="20"/>
    <x v="6"/>
    <n v="5789.66"/>
    <x v="29"/>
    <n v="23158.63"/>
    <x v="4"/>
    <n v="2024"/>
  </r>
  <r>
    <s v="TXN00031"/>
    <x v="2"/>
    <x v="4"/>
    <x v="18"/>
    <x v="0"/>
    <d v="2024-02-29T00:00:00"/>
    <x v="9"/>
    <n v="13007.21"/>
    <n v="0"/>
    <x v="0"/>
    <n v="0"/>
    <x v="30"/>
    <n v="130072.1"/>
    <x v="2"/>
    <n v="2024"/>
  </r>
  <r>
    <s v="TXN00032"/>
    <x v="13"/>
    <x v="3"/>
    <x v="15"/>
    <x v="6"/>
    <d v="2025-05-29T00:00:00"/>
    <x v="6"/>
    <n v="751.49"/>
    <n v="20"/>
    <x v="6"/>
    <n v="1352.68"/>
    <x v="31"/>
    <n v="5410.73"/>
    <x v="9"/>
    <n v="2025"/>
  </r>
  <r>
    <s v="TXN00033"/>
    <x v="6"/>
    <x v="0"/>
    <x v="6"/>
    <x v="6"/>
    <d v="2025-11-22T00:00:00"/>
    <x v="1"/>
    <n v="27525.96"/>
    <n v="20"/>
    <x v="7"/>
    <n v="22020.77"/>
    <x v="32"/>
    <n v="88083.07"/>
    <x v="8"/>
    <n v="2025"/>
  </r>
  <r>
    <s v="TXN00034"/>
    <x v="12"/>
    <x v="1"/>
    <x v="8"/>
    <x v="1"/>
    <d v="2025-03-05T00:00:00"/>
    <x v="9"/>
    <n v="41652.269999999997"/>
    <n v="10"/>
    <x v="7"/>
    <n v="41652.269999999997"/>
    <x v="33"/>
    <n v="374870.43"/>
    <x v="6"/>
    <n v="2025"/>
  </r>
  <r>
    <s v="TXN00035"/>
    <x v="8"/>
    <x v="3"/>
    <x v="7"/>
    <x v="2"/>
    <d v="2024-09-01T00:00:00"/>
    <x v="7"/>
    <n v="1798.1"/>
    <n v="10"/>
    <x v="5"/>
    <n v="899.05"/>
    <x v="34"/>
    <n v="8091.45"/>
    <x v="7"/>
    <n v="2024"/>
  </r>
  <r>
    <s v="TXN00036"/>
    <x v="14"/>
    <x v="4"/>
    <x v="19"/>
    <x v="3"/>
    <d v="2024-01-10T00:00:00"/>
    <x v="2"/>
    <n v="8442.32"/>
    <n v="20"/>
    <x v="7"/>
    <n v="13507.71"/>
    <x v="35"/>
    <n v="54030.85"/>
    <x v="10"/>
    <n v="2024"/>
  </r>
  <r>
    <s v="TXN00037"/>
    <x v="9"/>
    <x v="0"/>
    <x v="0"/>
    <x v="4"/>
    <d v="2024-05-15T00:00:00"/>
    <x v="3"/>
    <n v="72814.039999999994"/>
    <n v="5"/>
    <x v="4"/>
    <n v="21844.21"/>
    <x v="36"/>
    <n v="415040.03"/>
    <x v="9"/>
    <n v="2024"/>
  </r>
  <r>
    <s v="TXN00038"/>
    <x v="7"/>
    <x v="3"/>
    <x v="20"/>
    <x v="5"/>
    <d v="2025-09-18T00:00:00"/>
    <x v="6"/>
    <n v="3156.85"/>
    <n v="20"/>
    <x v="4"/>
    <n v="5682.33"/>
    <x v="37"/>
    <n v="22729.32"/>
    <x v="7"/>
    <n v="2025"/>
  </r>
  <r>
    <s v="TXN00039"/>
    <x v="14"/>
    <x v="3"/>
    <x v="15"/>
    <x v="4"/>
    <d v="2024-04-28T00:00:00"/>
    <x v="5"/>
    <n v="868.48"/>
    <n v="5"/>
    <x v="4"/>
    <n v="86.85"/>
    <x v="38"/>
    <n v="1650.11"/>
    <x v="1"/>
    <n v="2024"/>
  </r>
  <r>
    <s v="TXN00040"/>
    <x v="12"/>
    <x v="3"/>
    <x v="20"/>
    <x v="4"/>
    <d v="2024-07-27T00:00:00"/>
    <x v="7"/>
    <n v="3592.23"/>
    <n v="10"/>
    <x v="5"/>
    <n v="1796.12"/>
    <x v="39"/>
    <n v="16165.03"/>
    <x v="11"/>
    <n v="2024"/>
  </r>
  <r>
    <s v="TXN00041"/>
    <x v="8"/>
    <x v="0"/>
    <x v="0"/>
    <x v="5"/>
    <d v="2024-02-15T00:00:00"/>
    <x v="8"/>
    <n v="63920.29"/>
    <n v="5"/>
    <x v="4"/>
    <n v="3196.01"/>
    <x v="40"/>
    <n v="60724.28"/>
    <x v="2"/>
    <n v="2024"/>
  </r>
  <r>
    <s v="TXN00042"/>
    <x v="0"/>
    <x v="3"/>
    <x v="7"/>
    <x v="5"/>
    <d v="2025-07-28T00:00:00"/>
    <x v="8"/>
    <n v="1670.34"/>
    <n v="5"/>
    <x v="2"/>
    <n v="83.52"/>
    <x v="41"/>
    <n v="1586.82"/>
    <x v="11"/>
    <n v="2025"/>
  </r>
  <r>
    <s v="TXN00043"/>
    <x v="4"/>
    <x v="2"/>
    <x v="10"/>
    <x v="0"/>
    <d v="2025-03-16T00:00:00"/>
    <x v="0"/>
    <n v="2276.14"/>
    <n v="10"/>
    <x v="3"/>
    <n v="682.84"/>
    <x v="42"/>
    <n v="6145.58"/>
    <x v="6"/>
    <n v="2025"/>
  </r>
  <r>
    <s v="TXN00044"/>
    <x v="2"/>
    <x v="0"/>
    <x v="3"/>
    <x v="2"/>
    <d v="2025-11-13T00:00:00"/>
    <x v="5"/>
    <n v="19570.71"/>
    <n v="20"/>
    <x v="0"/>
    <n v="7828.28"/>
    <x v="43"/>
    <n v="31313.14"/>
    <x v="8"/>
    <n v="2025"/>
  </r>
  <r>
    <s v="TXN00045"/>
    <x v="0"/>
    <x v="4"/>
    <x v="14"/>
    <x v="4"/>
    <d v="2024-06-15T00:00:00"/>
    <x v="0"/>
    <n v="1680.53"/>
    <n v="0"/>
    <x v="0"/>
    <n v="0"/>
    <x v="44"/>
    <n v="5041.59"/>
    <x v="5"/>
    <n v="2024"/>
  </r>
  <r>
    <s v="TXN00046"/>
    <x v="10"/>
    <x v="1"/>
    <x v="4"/>
    <x v="5"/>
    <d v="2024-09-30T00:00:00"/>
    <x v="0"/>
    <n v="8774.75"/>
    <n v="0"/>
    <x v="0"/>
    <n v="0"/>
    <x v="45"/>
    <n v="26324.25"/>
    <x v="7"/>
    <n v="2024"/>
  </r>
  <r>
    <s v="TXN00047"/>
    <x v="4"/>
    <x v="4"/>
    <x v="17"/>
    <x v="5"/>
    <d v="2024-07-23T00:00:00"/>
    <x v="2"/>
    <n v="3455.95"/>
    <n v="5"/>
    <x v="0"/>
    <n v="1382.38"/>
    <x v="46"/>
    <n v="26265.22"/>
    <x v="11"/>
    <n v="2024"/>
  </r>
  <r>
    <s v="TXN00048"/>
    <x v="8"/>
    <x v="1"/>
    <x v="12"/>
    <x v="4"/>
    <d v="2024-12-02T00:00:00"/>
    <x v="7"/>
    <n v="7366.18"/>
    <n v="10"/>
    <x v="2"/>
    <n v="3683.09"/>
    <x v="47"/>
    <n v="33147.81"/>
    <x v="3"/>
    <n v="2024"/>
  </r>
  <r>
    <s v="TXN00049"/>
    <x v="1"/>
    <x v="3"/>
    <x v="21"/>
    <x v="2"/>
    <d v="2024-01-29T00:00:00"/>
    <x v="5"/>
    <n v="2798.15"/>
    <n v="10"/>
    <x v="5"/>
    <n v="559.63"/>
    <x v="48"/>
    <n v="5036.67"/>
    <x v="10"/>
    <n v="2024"/>
  </r>
  <r>
    <s v="TXN00050"/>
    <x v="5"/>
    <x v="1"/>
    <x v="8"/>
    <x v="1"/>
    <d v="2025-09-02T00:00:00"/>
    <x v="4"/>
    <n v="39456.870000000003"/>
    <n v="10"/>
    <x v="7"/>
    <n v="27619.81"/>
    <x v="49"/>
    <n v="248578.28"/>
    <x v="7"/>
    <n v="2025"/>
  </r>
  <r>
    <s v="TXN00051"/>
    <x v="9"/>
    <x v="4"/>
    <x v="14"/>
    <x v="1"/>
    <d v="2025-08-13T00:00:00"/>
    <x v="1"/>
    <n v="1445.52"/>
    <n v="15"/>
    <x v="2"/>
    <n v="867.31"/>
    <x v="50"/>
    <n v="4914.7700000000004"/>
    <x v="0"/>
    <n v="2025"/>
  </r>
  <r>
    <s v="TXN00052"/>
    <x v="14"/>
    <x v="0"/>
    <x v="1"/>
    <x v="3"/>
    <d v="2025-01-07T00:00:00"/>
    <x v="4"/>
    <n v="2752.48"/>
    <n v="10"/>
    <x v="0"/>
    <n v="1926.74"/>
    <x v="51"/>
    <n v="17340.62"/>
    <x v="10"/>
    <n v="2025"/>
  </r>
  <r>
    <s v="TXN00053"/>
    <x v="8"/>
    <x v="2"/>
    <x v="22"/>
    <x v="3"/>
    <d v="2024-11-03T00:00:00"/>
    <x v="6"/>
    <n v="967.55"/>
    <n v="15"/>
    <x v="7"/>
    <n v="1306.19"/>
    <x v="52"/>
    <n v="7401.76"/>
    <x v="8"/>
    <n v="2024"/>
  </r>
  <r>
    <s v="TXN00054"/>
    <x v="0"/>
    <x v="3"/>
    <x v="16"/>
    <x v="0"/>
    <d v="2024-07-15T00:00:00"/>
    <x v="4"/>
    <n v="1599.35"/>
    <n v="15"/>
    <x v="3"/>
    <n v="1679.32"/>
    <x v="53"/>
    <n v="9516.1299999999992"/>
    <x v="11"/>
    <n v="2024"/>
  </r>
  <r>
    <s v="TXN00055"/>
    <x v="12"/>
    <x v="1"/>
    <x v="8"/>
    <x v="0"/>
    <d v="2025-07-15T00:00:00"/>
    <x v="8"/>
    <n v="39038.75"/>
    <n v="5"/>
    <x v="2"/>
    <n v="1951.94"/>
    <x v="54"/>
    <n v="37086.81"/>
    <x v="11"/>
    <n v="2025"/>
  </r>
  <r>
    <s v="TXN00056"/>
    <x v="12"/>
    <x v="4"/>
    <x v="14"/>
    <x v="2"/>
    <d v="2025-04-21T00:00:00"/>
    <x v="2"/>
    <n v="1515.81"/>
    <n v="5"/>
    <x v="5"/>
    <n v="606.32000000000005"/>
    <x v="55"/>
    <n v="11520.16"/>
    <x v="1"/>
    <n v="2025"/>
  </r>
  <r>
    <s v="TXN00057"/>
    <x v="10"/>
    <x v="2"/>
    <x v="9"/>
    <x v="3"/>
    <d v="2025-11-05T00:00:00"/>
    <x v="5"/>
    <n v="4806.1899999999996"/>
    <n v="20"/>
    <x v="3"/>
    <n v="1922.48"/>
    <x v="56"/>
    <n v="7689.9"/>
    <x v="8"/>
    <n v="2025"/>
  </r>
  <r>
    <s v="TXN00058"/>
    <x v="4"/>
    <x v="3"/>
    <x v="15"/>
    <x v="3"/>
    <d v="2025-11-19T00:00:00"/>
    <x v="7"/>
    <n v="841.42"/>
    <n v="5"/>
    <x v="0"/>
    <n v="210.36"/>
    <x v="57"/>
    <n v="3996.74"/>
    <x v="8"/>
    <n v="2025"/>
  </r>
  <r>
    <s v="TXN00059"/>
    <x v="13"/>
    <x v="1"/>
    <x v="12"/>
    <x v="4"/>
    <d v="2025-09-17T00:00:00"/>
    <x v="5"/>
    <n v="6083.12"/>
    <n v="20"/>
    <x v="6"/>
    <n v="2433.25"/>
    <x v="58"/>
    <n v="9732.99"/>
    <x v="7"/>
    <n v="2025"/>
  </r>
  <r>
    <s v="TXN00060"/>
    <x v="11"/>
    <x v="1"/>
    <x v="2"/>
    <x v="5"/>
    <d v="2024-05-31T00:00:00"/>
    <x v="8"/>
    <n v="28079.119999999999"/>
    <n v="0"/>
    <x v="0"/>
    <n v="0"/>
    <x v="59"/>
    <n v="28079.119999999999"/>
    <x v="9"/>
    <n v="2024"/>
  </r>
  <r>
    <s v="TXN00061"/>
    <x v="7"/>
    <x v="4"/>
    <x v="18"/>
    <x v="3"/>
    <d v="2024-02-21T00:00:00"/>
    <x v="6"/>
    <n v="11547.59"/>
    <n v="0"/>
    <x v="6"/>
    <n v="0"/>
    <x v="60"/>
    <n v="103928.31"/>
    <x v="2"/>
    <n v="2024"/>
  </r>
  <r>
    <s v="TXN00062"/>
    <x v="10"/>
    <x v="4"/>
    <x v="18"/>
    <x v="5"/>
    <d v="2025-03-29T00:00:00"/>
    <x v="9"/>
    <n v="13245.02"/>
    <n v="20"/>
    <x v="5"/>
    <n v="26490.04"/>
    <x v="61"/>
    <n v="105960.16"/>
    <x v="6"/>
    <n v="2025"/>
  </r>
  <r>
    <s v="TXN00063"/>
    <x v="11"/>
    <x v="4"/>
    <x v="14"/>
    <x v="4"/>
    <d v="2025-04-05T00:00:00"/>
    <x v="7"/>
    <n v="1631.92"/>
    <n v="10"/>
    <x v="6"/>
    <n v="815.96"/>
    <x v="62"/>
    <n v="7343.64"/>
    <x v="1"/>
    <n v="2025"/>
  </r>
  <r>
    <s v="TXN00064"/>
    <x v="8"/>
    <x v="2"/>
    <x v="9"/>
    <x v="4"/>
    <d v="2025-03-26T00:00:00"/>
    <x v="5"/>
    <n v="4852.74"/>
    <n v="5"/>
    <x v="4"/>
    <n v="485.27"/>
    <x v="63"/>
    <n v="9220.2099999999991"/>
    <x v="6"/>
    <n v="2025"/>
  </r>
  <r>
    <s v="TXN00065"/>
    <x v="3"/>
    <x v="3"/>
    <x v="20"/>
    <x v="6"/>
    <d v="2024-05-21T00:00:00"/>
    <x v="0"/>
    <n v="3352.35"/>
    <n v="5"/>
    <x v="7"/>
    <n v="502.85"/>
    <x v="64"/>
    <n v="9554.2000000000007"/>
    <x v="9"/>
    <n v="2024"/>
  </r>
  <r>
    <s v="TXN00066"/>
    <x v="1"/>
    <x v="1"/>
    <x v="12"/>
    <x v="5"/>
    <d v="2025-07-09T00:00:00"/>
    <x v="2"/>
    <n v="6023.66"/>
    <n v="5"/>
    <x v="5"/>
    <n v="2409.46"/>
    <x v="65"/>
    <n v="45779.82"/>
    <x v="11"/>
    <n v="2025"/>
  </r>
  <r>
    <s v="TXN00067"/>
    <x v="14"/>
    <x v="4"/>
    <x v="23"/>
    <x v="3"/>
    <d v="2025-08-12T00:00:00"/>
    <x v="4"/>
    <n v="10192.450000000001"/>
    <n v="10"/>
    <x v="1"/>
    <n v="7134.72"/>
    <x v="66"/>
    <n v="64212.43"/>
    <x v="0"/>
    <n v="2025"/>
  </r>
  <r>
    <s v="TXN00068"/>
    <x v="4"/>
    <x v="3"/>
    <x v="16"/>
    <x v="3"/>
    <d v="2025-07-05T00:00:00"/>
    <x v="6"/>
    <n v="1649.95"/>
    <n v="5"/>
    <x v="2"/>
    <n v="742.48"/>
    <x v="67"/>
    <n v="14107.07"/>
    <x v="11"/>
    <n v="2025"/>
  </r>
  <r>
    <s v="TXN00069"/>
    <x v="5"/>
    <x v="4"/>
    <x v="18"/>
    <x v="5"/>
    <d v="2024-01-30T00:00:00"/>
    <x v="4"/>
    <n v="11808.39"/>
    <n v="15"/>
    <x v="6"/>
    <n v="12398.81"/>
    <x v="68"/>
    <n v="70259.92"/>
    <x v="10"/>
    <n v="2024"/>
  </r>
  <r>
    <s v="TXN00070"/>
    <x v="14"/>
    <x v="1"/>
    <x v="2"/>
    <x v="4"/>
    <d v="2025-02-07T00:00:00"/>
    <x v="9"/>
    <n v="26027.45"/>
    <n v="0"/>
    <x v="1"/>
    <n v="0"/>
    <x v="69"/>
    <n v="260274.5"/>
    <x v="2"/>
    <n v="2025"/>
  </r>
  <r>
    <s v="TXN00071"/>
    <x v="7"/>
    <x v="0"/>
    <x v="24"/>
    <x v="3"/>
    <d v="2024-07-05T00:00:00"/>
    <x v="8"/>
    <n v="6755.27"/>
    <n v="10"/>
    <x v="6"/>
    <n v="675.53"/>
    <x v="70"/>
    <n v="6079.74"/>
    <x v="11"/>
    <n v="2024"/>
  </r>
  <r>
    <s v="TXN00072"/>
    <x v="3"/>
    <x v="1"/>
    <x v="2"/>
    <x v="0"/>
    <d v="2024-10-11T00:00:00"/>
    <x v="4"/>
    <n v="26484.37"/>
    <n v="0"/>
    <x v="2"/>
    <n v="0"/>
    <x v="71"/>
    <n v="185390.59"/>
    <x v="4"/>
    <n v="2024"/>
  </r>
  <r>
    <s v="TXN00073"/>
    <x v="0"/>
    <x v="4"/>
    <x v="17"/>
    <x v="6"/>
    <d v="2024-12-24T00:00:00"/>
    <x v="1"/>
    <n v="4090.76"/>
    <n v="0"/>
    <x v="1"/>
    <n v="0"/>
    <x v="72"/>
    <n v="16363.04"/>
    <x v="3"/>
    <n v="2024"/>
  </r>
  <r>
    <s v="TXN00074"/>
    <x v="2"/>
    <x v="0"/>
    <x v="6"/>
    <x v="3"/>
    <d v="2025-09-28T00:00:00"/>
    <x v="0"/>
    <n v="23990.91"/>
    <n v="15"/>
    <x v="1"/>
    <n v="10795.91"/>
    <x v="73"/>
    <n v="61176.82"/>
    <x v="7"/>
    <n v="2025"/>
  </r>
  <r>
    <s v="TXN00075"/>
    <x v="2"/>
    <x v="0"/>
    <x v="1"/>
    <x v="5"/>
    <d v="2025-01-12T00:00:00"/>
    <x v="0"/>
    <n v="3154.42"/>
    <n v="0"/>
    <x v="4"/>
    <n v="0"/>
    <x v="74"/>
    <n v="9463.26"/>
    <x v="10"/>
    <n v="2025"/>
  </r>
  <r>
    <s v="TXN00076"/>
    <x v="6"/>
    <x v="1"/>
    <x v="4"/>
    <x v="6"/>
    <d v="2024-11-15T00:00:00"/>
    <x v="9"/>
    <n v="9410.16"/>
    <n v="15"/>
    <x v="1"/>
    <n v="14115.24"/>
    <x v="75"/>
    <n v="79986.36"/>
    <x v="8"/>
    <n v="2024"/>
  </r>
  <r>
    <s v="TXN00077"/>
    <x v="6"/>
    <x v="4"/>
    <x v="18"/>
    <x v="6"/>
    <d v="2024-04-14T00:00:00"/>
    <x v="7"/>
    <n v="13350.88"/>
    <n v="20"/>
    <x v="0"/>
    <n v="13350.88"/>
    <x v="76"/>
    <n v="53403.519999999997"/>
    <x v="1"/>
    <n v="2024"/>
  </r>
  <r>
    <s v="TXN00078"/>
    <x v="10"/>
    <x v="0"/>
    <x v="1"/>
    <x v="1"/>
    <d v="2025-06-29T00:00:00"/>
    <x v="4"/>
    <n v="3196.14"/>
    <n v="0"/>
    <x v="5"/>
    <n v="0"/>
    <x v="77"/>
    <n v="22372.98"/>
    <x v="5"/>
    <n v="2025"/>
  </r>
  <r>
    <s v="TXN00079"/>
    <x v="13"/>
    <x v="2"/>
    <x v="22"/>
    <x v="3"/>
    <d v="2025-05-16T00:00:00"/>
    <x v="5"/>
    <n v="907.54"/>
    <n v="10"/>
    <x v="2"/>
    <n v="181.51"/>
    <x v="78"/>
    <n v="1633.57"/>
    <x v="9"/>
    <n v="2025"/>
  </r>
  <r>
    <s v="TXN00080"/>
    <x v="1"/>
    <x v="4"/>
    <x v="18"/>
    <x v="4"/>
    <d v="2025-09-22T00:00:00"/>
    <x v="6"/>
    <n v="13123.92"/>
    <n v="15"/>
    <x v="4"/>
    <n v="17717.29"/>
    <x v="79"/>
    <n v="100397.99"/>
    <x v="7"/>
    <n v="2025"/>
  </r>
  <r>
    <s v="TXN00081"/>
    <x v="5"/>
    <x v="4"/>
    <x v="14"/>
    <x v="0"/>
    <d v="2024-03-29T00:00:00"/>
    <x v="7"/>
    <n v="1680.61"/>
    <n v="5"/>
    <x v="0"/>
    <n v="420.15"/>
    <x v="80"/>
    <n v="7982.9"/>
    <x v="6"/>
    <n v="2024"/>
  </r>
  <r>
    <s v="TXN00082"/>
    <x v="12"/>
    <x v="4"/>
    <x v="14"/>
    <x v="2"/>
    <d v="2024-12-10T00:00:00"/>
    <x v="8"/>
    <n v="1688.9"/>
    <n v="10"/>
    <x v="2"/>
    <n v="168.89"/>
    <x v="81"/>
    <n v="1520.01"/>
    <x v="3"/>
    <n v="2024"/>
  </r>
  <r>
    <s v="TXN00083"/>
    <x v="2"/>
    <x v="1"/>
    <x v="2"/>
    <x v="0"/>
    <d v="2024-12-14T00:00:00"/>
    <x v="7"/>
    <n v="30802.2"/>
    <n v="10"/>
    <x v="4"/>
    <n v="15401.1"/>
    <x v="82"/>
    <n v="138609.9"/>
    <x v="3"/>
    <n v="2024"/>
  </r>
  <r>
    <s v="TXN00084"/>
    <x v="9"/>
    <x v="2"/>
    <x v="10"/>
    <x v="4"/>
    <d v="2024-09-04T00:00:00"/>
    <x v="4"/>
    <n v="2555.36"/>
    <n v="5"/>
    <x v="7"/>
    <n v="894.38"/>
    <x v="83"/>
    <n v="16993.14"/>
    <x v="7"/>
    <n v="2024"/>
  </r>
  <r>
    <s v="TXN00085"/>
    <x v="11"/>
    <x v="4"/>
    <x v="23"/>
    <x v="3"/>
    <d v="2024-04-05T00:00:00"/>
    <x v="7"/>
    <n v="9553.99"/>
    <n v="5"/>
    <x v="1"/>
    <n v="2388.5"/>
    <x v="84"/>
    <n v="45381.45"/>
    <x v="1"/>
    <n v="2024"/>
  </r>
  <r>
    <s v="TXN00086"/>
    <x v="3"/>
    <x v="3"/>
    <x v="21"/>
    <x v="5"/>
    <d v="2025-03-11T00:00:00"/>
    <x v="6"/>
    <n v="2456.7399999999998"/>
    <n v="15"/>
    <x v="5"/>
    <n v="3316.6"/>
    <x v="85"/>
    <n v="18794.060000000001"/>
    <x v="6"/>
    <n v="2025"/>
  </r>
  <r>
    <s v="TXN00087"/>
    <x v="5"/>
    <x v="3"/>
    <x v="20"/>
    <x v="4"/>
    <d v="2024-07-16T00:00:00"/>
    <x v="3"/>
    <n v="3254.61"/>
    <n v="20"/>
    <x v="7"/>
    <n v="3905.53"/>
    <x v="86"/>
    <n v="15622.13"/>
    <x v="11"/>
    <n v="2024"/>
  </r>
  <r>
    <s v="TXN00088"/>
    <x v="2"/>
    <x v="1"/>
    <x v="13"/>
    <x v="2"/>
    <d v="2024-10-10T00:00:00"/>
    <x v="9"/>
    <n v="15102.8"/>
    <n v="20"/>
    <x v="6"/>
    <n v="30205.599999999999"/>
    <x v="87"/>
    <n v="120822.39999999999"/>
    <x v="4"/>
    <n v="2024"/>
  </r>
  <r>
    <s v="TXN00089"/>
    <x v="6"/>
    <x v="2"/>
    <x v="22"/>
    <x v="3"/>
    <d v="2024-10-30T00:00:00"/>
    <x v="1"/>
    <n v="980.32"/>
    <n v="10"/>
    <x v="0"/>
    <n v="392.13"/>
    <x v="88"/>
    <n v="3529.15"/>
    <x v="4"/>
    <n v="2024"/>
  </r>
  <r>
    <s v="TXN00090"/>
    <x v="7"/>
    <x v="0"/>
    <x v="1"/>
    <x v="0"/>
    <d v="2024-02-25T00:00:00"/>
    <x v="6"/>
    <n v="2919.1"/>
    <n v="5"/>
    <x v="1"/>
    <n v="1313.6"/>
    <x v="89"/>
    <n v="24958.3"/>
    <x v="2"/>
    <n v="2024"/>
  </r>
  <r>
    <s v="TXN00091"/>
    <x v="4"/>
    <x v="4"/>
    <x v="17"/>
    <x v="1"/>
    <d v="2025-04-25T00:00:00"/>
    <x v="2"/>
    <n v="3535.41"/>
    <n v="5"/>
    <x v="4"/>
    <n v="1414.16"/>
    <x v="90"/>
    <n v="26869.119999999999"/>
    <x v="1"/>
    <n v="2025"/>
  </r>
  <r>
    <s v="TXN00092"/>
    <x v="4"/>
    <x v="0"/>
    <x v="3"/>
    <x v="5"/>
    <d v="2024-03-07T00:00:00"/>
    <x v="4"/>
    <n v="18412.86"/>
    <n v="20"/>
    <x v="7"/>
    <n v="25778"/>
    <x v="91"/>
    <n v="103112.02"/>
    <x v="6"/>
    <n v="2024"/>
  </r>
  <r>
    <s v="TXN00093"/>
    <x v="7"/>
    <x v="0"/>
    <x v="6"/>
    <x v="3"/>
    <d v="2024-03-28T00:00:00"/>
    <x v="1"/>
    <n v="23240.32"/>
    <n v="15"/>
    <x v="4"/>
    <n v="13944.19"/>
    <x v="92"/>
    <n v="79017.09"/>
    <x v="6"/>
    <n v="2024"/>
  </r>
  <r>
    <s v="TXN00094"/>
    <x v="10"/>
    <x v="2"/>
    <x v="11"/>
    <x v="6"/>
    <d v="2025-06-19T00:00:00"/>
    <x v="4"/>
    <n v="5063.1400000000003"/>
    <n v="15"/>
    <x v="0"/>
    <n v="5316.3"/>
    <x v="93"/>
    <n v="30125.68"/>
    <x v="5"/>
    <n v="2025"/>
  </r>
  <r>
    <s v="TXN00095"/>
    <x v="1"/>
    <x v="3"/>
    <x v="21"/>
    <x v="0"/>
    <d v="2025-09-16T00:00:00"/>
    <x v="5"/>
    <n v="2842.24"/>
    <n v="5"/>
    <x v="1"/>
    <n v="284.22000000000003"/>
    <x v="94"/>
    <n v="5400.26"/>
    <x v="7"/>
    <n v="2025"/>
  </r>
  <r>
    <s v="TXN00096"/>
    <x v="8"/>
    <x v="1"/>
    <x v="4"/>
    <x v="1"/>
    <d v="2024-09-02T00:00:00"/>
    <x v="0"/>
    <n v="8303.98"/>
    <n v="5"/>
    <x v="3"/>
    <n v="1245.5999999999999"/>
    <x v="95"/>
    <n v="23666.34"/>
    <x v="7"/>
    <n v="2024"/>
  </r>
  <r>
    <s v="TXN00097"/>
    <x v="11"/>
    <x v="0"/>
    <x v="24"/>
    <x v="2"/>
    <d v="2024-10-25T00:00:00"/>
    <x v="8"/>
    <n v="7375.59"/>
    <n v="10"/>
    <x v="6"/>
    <n v="737.56"/>
    <x v="96"/>
    <n v="6638.03"/>
    <x v="4"/>
    <n v="2024"/>
  </r>
  <r>
    <s v="TXN00098"/>
    <x v="8"/>
    <x v="4"/>
    <x v="17"/>
    <x v="4"/>
    <d v="2025-10-02T00:00:00"/>
    <x v="9"/>
    <n v="4101.3900000000003"/>
    <n v="5"/>
    <x v="4"/>
    <n v="2050.6999999999998"/>
    <x v="97"/>
    <n v="38963.199999999997"/>
    <x v="4"/>
    <n v="2025"/>
  </r>
  <r>
    <s v="TXN00099"/>
    <x v="9"/>
    <x v="4"/>
    <x v="17"/>
    <x v="4"/>
    <d v="2024-09-29T00:00:00"/>
    <x v="0"/>
    <n v="3212.48"/>
    <n v="5"/>
    <x v="3"/>
    <n v="481.87"/>
    <x v="98"/>
    <n v="9155.57"/>
    <x v="7"/>
    <n v="2024"/>
  </r>
  <r>
    <s v="TXN00100"/>
    <x v="0"/>
    <x v="3"/>
    <x v="21"/>
    <x v="3"/>
    <d v="2025-03-25T00:00:00"/>
    <x v="5"/>
    <n v="2542.94"/>
    <n v="10"/>
    <x v="4"/>
    <n v="508.59"/>
    <x v="99"/>
    <n v="4577.29"/>
    <x v="6"/>
    <n v="2025"/>
  </r>
  <r>
    <s v="TXN00101"/>
    <x v="9"/>
    <x v="4"/>
    <x v="19"/>
    <x v="6"/>
    <d v="2025-03-24T00:00:00"/>
    <x v="5"/>
    <n v="8396.07"/>
    <n v="15"/>
    <x v="6"/>
    <n v="2518.8200000000002"/>
    <x v="100"/>
    <n v="14273.32"/>
    <x v="6"/>
    <n v="2025"/>
  </r>
  <r>
    <s v="TXN00102"/>
    <x v="5"/>
    <x v="3"/>
    <x v="21"/>
    <x v="1"/>
    <d v="2024-08-22T00:00:00"/>
    <x v="9"/>
    <n v="2616.9499999999998"/>
    <n v="0"/>
    <x v="7"/>
    <n v="0"/>
    <x v="101"/>
    <n v="26169.5"/>
    <x v="0"/>
    <n v="2024"/>
  </r>
  <r>
    <s v="TXN00103"/>
    <x v="13"/>
    <x v="3"/>
    <x v="21"/>
    <x v="3"/>
    <d v="2025-04-26T00:00:00"/>
    <x v="6"/>
    <n v="2657.19"/>
    <n v="10"/>
    <x v="3"/>
    <n v="2391.4699999999998"/>
    <x v="102"/>
    <n v="21523.24"/>
    <x v="1"/>
    <n v="2025"/>
  </r>
  <r>
    <s v="TXN00104"/>
    <x v="1"/>
    <x v="1"/>
    <x v="8"/>
    <x v="2"/>
    <d v="2024-04-03T00:00:00"/>
    <x v="2"/>
    <n v="39479.61"/>
    <n v="10"/>
    <x v="6"/>
    <n v="31583.69"/>
    <x v="103"/>
    <n v="284253.19"/>
    <x v="1"/>
    <n v="2024"/>
  </r>
  <r>
    <s v="TXN00105"/>
    <x v="4"/>
    <x v="3"/>
    <x v="15"/>
    <x v="4"/>
    <d v="2025-02-25T00:00:00"/>
    <x v="2"/>
    <n v="777.64"/>
    <n v="15"/>
    <x v="5"/>
    <n v="933.17"/>
    <x v="104"/>
    <n v="5287.95"/>
    <x v="2"/>
    <n v="2025"/>
  </r>
  <r>
    <s v="TXN00106"/>
    <x v="11"/>
    <x v="2"/>
    <x v="10"/>
    <x v="1"/>
    <d v="2024-09-15T00:00:00"/>
    <x v="3"/>
    <n v="2322.4499999999998"/>
    <n v="15"/>
    <x v="5"/>
    <n v="2090.1999999999998"/>
    <x v="105"/>
    <n v="11844.5"/>
    <x v="7"/>
    <n v="2024"/>
  </r>
  <r>
    <s v="TXN00107"/>
    <x v="8"/>
    <x v="2"/>
    <x v="10"/>
    <x v="3"/>
    <d v="2025-02-27T00:00:00"/>
    <x v="8"/>
    <n v="2367.2399999999998"/>
    <n v="10"/>
    <x v="6"/>
    <n v="236.72"/>
    <x v="106"/>
    <n v="2130.52"/>
    <x v="2"/>
    <n v="2025"/>
  </r>
  <r>
    <s v="TXN00108"/>
    <x v="8"/>
    <x v="2"/>
    <x v="9"/>
    <x v="5"/>
    <d v="2024-07-27T00:00:00"/>
    <x v="7"/>
    <n v="4667.87"/>
    <n v="10"/>
    <x v="1"/>
    <n v="2333.9299999999998"/>
    <x v="107"/>
    <n v="21005.42"/>
    <x v="11"/>
    <n v="2024"/>
  </r>
  <r>
    <s v="TXN00109"/>
    <x v="6"/>
    <x v="4"/>
    <x v="23"/>
    <x v="1"/>
    <d v="2025-12-27T00:00:00"/>
    <x v="0"/>
    <n v="10754.56"/>
    <n v="0"/>
    <x v="0"/>
    <n v="0"/>
    <x v="108"/>
    <n v="32263.68"/>
    <x v="3"/>
    <n v="2025"/>
  </r>
  <r>
    <s v="TXN00110"/>
    <x v="6"/>
    <x v="2"/>
    <x v="9"/>
    <x v="4"/>
    <d v="2025-04-17T00:00:00"/>
    <x v="5"/>
    <n v="4778.67"/>
    <n v="5"/>
    <x v="7"/>
    <n v="477.87"/>
    <x v="109"/>
    <n v="9079.4699999999993"/>
    <x v="1"/>
    <n v="2025"/>
  </r>
  <r>
    <s v="TXN00111"/>
    <x v="9"/>
    <x v="4"/>
    <x v="19"/>
    <x v="2"/>
    <d v="2025-03-01T00:00:00"/>
    <x v="2"/>
    <n v="9160.49"/>
    <n v="5"/>
    <x v="4"/>
    <n v="3664.2"/>
    <x v="110"/>
    <n v="69619.72"/>
    <x v="6"/>
    <n v="2025"/>
  </r>
  <r>
    <s v="TXN00112"/>
    <x v="7"/>
    <x v="4"/>
    <x v="14"/>
    <x v="5"/>
    <d v="2025-09-05T00:00:00"/>
    <x v="6"/>
    <n v="1629.86"/>
    <n v="5"/>
    <x v="0"/>
    <n v="733.44"/>
    <x v="111"/>
    <n v="13935.3"/>
    <x v="7"/>
    <n v="2025"/>
  </r>
  <r>
    <s v="TXN00113"/>
    <x v="10"/>
    <x v="0"/>
    <x v="3"/>
    <x v="3"/>
    <d v="2024-12-14T00:00:00"/>
    <x v="6"/>
    <n v="19142.5"/>
    <n v="0"/>
    <x v="2"/>
    <n v="0"/>
    <x v="112"/>
    <n v="172282.5"/>
    <x v="3"/>
    <n v="2024"/>
  </r>
  <r>
    <s v="TXN00114"/>
    <x v="4"/>
    <x v="3"/>
    <x v="20"/>
    <x v="6"/>
    <d v="2024-06-01T00:00:00"/>
    <x v="2"/>
    <n v="3621.26"/>
    <n v="10"/>
    <x v="6"/>
    <n v="2897.01"/>
    <x v="113"/>
    <n v="26073.07"/>
    <x v="5"/>
    <n v="2024"/>
  </r>
  <r>
    <s v="TXN00115"/>
    <x v="10"/>
    <x v="3"/>
    <x v="21"/>
    <x v="6"/>
    <d v="2025-04-11T00:00:00"/>
    <x v="3"/>
    <n v="2793.5"/>
    <n v="5"/>
    <x v="2"/>
    <n v="838.05"/>
    <x v="114"/>
    <n v="15922.95"/>
    <x v="1"/>
    <n v="2025"/>
  </r>
  <r>
    <s v="TXN00116"/>
    <x v="2"/>
    <x v="2"/>
    <x v="9"/>
    <x v="3"/>
    <d v="2024-02-14T00:00:00"/>
    <x v="3"/>
    <n v="4887.79"/>
    <n v="15"/>
    <x v="2"/>
    <n v="4399.01"/>
    <x v="115"/>
    <n v="24927.73"/>
    <x v="2"/>
    <n v="2024"/>
  </r>
  <r>
    <s v="TXN00117"/>
    <x v="11"/>
    <x v="4"/>
    <x v="18"/>
    <x v="1"/>
    <d v="2025-05-29T00:00:00"/>
    <x v="9"/>
    <n v="11795.98"/>
    <n v="0"/>
    <x v="3"/>
    <n v="0"/>
    <x v="116"/>
    <n v="117959.8"/>
    <x v="9"/>
    <n v="2025"/>
  </r>
  <r>
    <s v="TXN00118"/>
    <x v="9"/>
    <x v="4"/>
    <x v="17"/>
    <x v="5"/>
    <d v="2024-05-27T00:00:00"/>
    <x v="4"/>
    <n v="3912.07"/>
    <n v="5"/>
    <x v="1"/>
    <n v="1369.22"/>
    <x v="117"/>
    <n v="26015.27"/>
    <x v="9"/>
    <n v="2024"/>
  </r>
  <r>
    <s v="TXN00119"/>
    <x v="10"/>
    <x v="0"/>
    <x v="24"/>
    <x v="0"/>
    <d v="2025-09-30T00:00:00"/>
    <x v="4"/>
    <n v="7437.21"/>
    <n v="10"/>
    <x v="5"/>
    <n v="5206.05"/>
    <x v="118"/>
    <n v="46854.42"/>
    <x v="7"/>
    <n v="2025"/>
  </r>
  <r>
    <s v="TXN00120"/>
    <x v="3"/>
    <x v="2"/>
    <x v="9"/>
    <x v="2"/>
    <d v="2025-07-08T00:00:00"/>
    <x v="8"/>
    <n v="4744.6400000000003"/>
    <n v="5"/>
    <x v="6"/>
    <n v="237.23"/>
    <x v="119"/>
    <n v="4507.41"/>
    <x v="11"/>
    <n v="2025"/>
  </r>
  <r>
    <s v="TXN00121"/>
    <x v="0"/>
    <x v="3"/>
    <x v="7"/>
    <x v="1"/>
    <d v="2024-04-10T00:00:00"/>
    <x v="5"/>
    <n v="1819.66"/>
    <n v="10"/>
    <x v="2"/>
    <n v="363.93"/>
    <x v="120"/>
    <n v="3275.39"/>
    <x v="1"/>
    <n v="2024"/>
  </r>
  <r>
    <s v="TXN00122"/>
    <x v="3"/>
    <x v="0"/>
    <x v="0"/>
    <x v="3"/>
    <d v="2024-10-27T00:00:00"/>
    <x v="3"/>
    <n v="71050.28"/>
    <n v="5"/>
    <x v="1"/>
    <n v="21315.08"/>
    <x v="121"/>
    <n v="404986.6"/>
    <x v="4"/>
    <n v="2024"/>
  </r>
  <r>
    <s v="TXN00123"/>
    <x v="1"/>
    <x v="1"/>
    <x v="8"/>
    <x v="6"/>
    <d v="2024-06-23T00:00:00"/>
    <x v="0"/>
    <n v="36789.68"/>
    <n v="15"/>
    <x v="3"/>
    <n v="16555.36"/>
    <x v="122"/>
    <n v="93813.68"/>
    <x v="5"/>
    <n v="2024"/>
  </r>
  <r>
    <s v="TXN00124"/>
    <x v="11"/>
    <x v="2"/>
    <x v="5"/>
    <x v="6"/>
    <d v="2024-08-25T00:00:00"/>
    <x v="2"/>
    <n v="1271.3699999999999"/>
    <n v="15"/>
    <x v="3"/>
    <n v="1525.64"/>
    <x v="123"/>
    <n v="8645.32"/>
    <x v="0"/>
    <n v="2024"/>
  </r>
  <r>
    <s v="TXN00125"/>
    <x v="14"/>
    <x v="3"/>
    <x v="15"/>
    <x v="3"/>
    <d v="2024-10-21T00:00:00"/>
    <x v="6"/>
    <n v="826.75"/>
    <n v="15"/>
    <x v="6"/>
    <n v="1116.1099999999999"/>
    <x v="124"/>
    <n v="6324.64"/>
    <x v="4"/>
    <n v="2024"/>
  </r>
  <r>
    <s v="TXN00126"/>
    <x v="5"/>
    <x v="3"/>
    <x v="21"/>
    <x v="2"/>
    <d v="2025-12-07T00:00:00"/>
    <x v="7"/>
    <n v="2789.07"/>
    <n v="10"/>
    <x v="2"/>
    <n v="1394.54"/>
    <x v="125"/>
    <n v="12550.81"/>
    <x v="3"/>
    <n v="2025"/>
  </r>
  <r>
    <s v="TXN00127"/>
    <x v="4"/>
    <x v="1"/>
    <x v="2"/>
    <x v="5"/>
    <d v="2024-08-30T00:00:00"/>
    <x v="4"/>
    <n v="26074.52"/>
    <n v="20"/>
    <x v="7"/>
    <n v="36504.33"/>
    <x v="126"/>
    <n v="146017.31"/>
    <x v="0"/>
    <n v="2024"/>
  </r>
  <r>
    <s v="TXN00128"/>
    <x v="13"/>
    <x v="3"/>
    <x v="20"/>
    <x v="3"/>
    <d v="2024-10-08T00:00:00"/>
    <x v="8"/>
    <n v="4009.71"/>
    <n v="0"/>
    <x v="2"/>
    <n v="0"/>
    <x v="127"/>
    <n v="4009.71"/>
    <x v="4"/>
    <n v="2024"/>
  </r>
  <r>
    <s v="TXN00129"/>
    <x v="4"/>
    <x v="2"/>
    <x v="9"/>
    <x v="0"/>
    <d v="2025-09-13T00:00:00"/>
    <x v="3"/>
    <n v="4296.38"/>
    <n v="5"/>
    <x v="0"/>
    <n v="1288.9100000000001"/>
    <x v="128"/>
    <n v="24489.37"/>
    <x v="7"/>
    <n v="2025"/>
  </r>
  <r>
    <s v="TXN00130"/>
    <x v="8"/>
    <x v="2"/>
    <x v="22"/>
    <x v="3"/>
    <d v="2025-10-05T00:00:00"/>
    <x v="5"/>
    <n v="1114.5899999999999"/>
    <n v="0"/>
    <x v="3"/>
    <n v="0"/>
    <x v="129"/>
    <n v="2229.1799999999998"/>
    <x v="4"/>
    <n v="2025"/>
  </r>
  <r>
    <s v="TXN00131"/>
    <x v="13"/>
    <x v="3"/>
    <x v="16"/>
    <x v="6"/>
    <d v="2024-05-14T00:00:00"/>
    <x v="5"/>
    <n v="1691.11"/>
    <n v="10"/>
    <x v="5"/>
    <n v="338.22"/>
    <x v="130"/>
    <n v="3044"/>
    <x v="9"/>
    <n v="2024"/>
  </r>
  <r>
    <s v="TXN00132"/>
    <x v="2"/>
    <x v="4"/>
    <x v="18"/>
    <x v="4"/>
    <d v="2025-06-27T00:00:00"/>
    <x v="6"/>
    <n v="13540.46"/>
    <n v="5"/>
    <x v="5"/>
    <n v="6093.21"/>
    <x v="131"/>
    <n v="115770.93"/>
    <x v="5"/>
    <n v="2025"/>
  </r>
  <r>
    <s v="TXN00133"/>
    <x v="10"/>
    <x v="3"/>
    <x v="16"/>
    <x v="0"/>
    <d v="2024-04-27T00:00:00"/>
    <x v="2"/>
    <n v="1711.08"/>
    <n v="5"/>
    <x v="5"/>
    <n v="684.43"/>
    <x v="132"/>
    <n v="13004.21"/>
    <x v="1"/>
    <n v="2024"/>
  </r>
  <r>
    <s v="TXN00134"/>
    <x v="4"/>
    <x v="1"/>
    <x v="2"/>
    <x v="3"/>
    <d v="2024-04-02T00:00:00"/>
    <x v="4"/>
    <n v="22586.99"/>
    <n v="20"/>
    <x v="5"/>
    <n v="31621.79"/>
    <x v="133"/>
    <n v="126487.14"/>
    <x v="1"/>
    <n v="2024"/>
  </r>
  <r>
    <s v="TXN00135"/>
    <x v="3"/>
    <x v="0"/>
    <x v="24"/>
    <x v="2"/>
    <d v="2025-08-21T00:00:00"/>
    <x v="4"/>
    <n v="7739.23"/>
    <n v="10"/>
    <x v="4"/>
    <n v="5417.46"/>
    <x v="134"/>
    <n v="48757.15"/>
    <x v="0"/>
    <n v="2025"/>
  </r>
  <r>
    <s v="TXN00136"/>
    <x v="11"/>
    <x v="0"/>
    <x v="6"/>
    <x v="1"/>
    <d v="2025-09-16T00:00:00"/>
    <x v="1"/>
    <n v="26547.83"/>
    <n v="15"/>
    <x v="5"/>
    <n v="15928.7"/>
    <x v="135"/>
    <n v="90262.62"/>
    <x v="7"/>
    <n v="2025"/>
  </r>
  <r>
    <s v="TXN00137"/>
    <x v="6"/>
    <x v="3"/>
    <x v="16"/>
    <x v="4"/>
    <d v="2024-02-08T00:00:00"/>
    <x v="7"/>
    <n v="1723.47"/>
    <n v="0"/>
    <x v="1"/>
    <n v="0"/>
    <x v="136"/>
    <n v="8617.35"/>
    <x v="2"/>
    <n v="2024"/>
  </r>
  <r>
    <s v="TXN00138"/>
    <x v="14"/>
    <x v="0"/>
    <x v="6"/>
    <x v="6"/>
    <d v="2025-02-01T00:00:00"/>
    <x v="2"/>
    <n v="24818.82"/>
    <n v="20"/>
    <x v="3"/>
    <n v="39710.11"/>
    <x v="137"/>
    <n v="158840.45000000001"/>
    <x v="2"/>
    <n v="2025"/>
  </r>
  <r>
    <s v="TXN00139"/>
    <x v="0"/>
    <x v="4"/>
    <x v="14"/>
    <x v="2"/>
    <d v="2025-02-28T00:00:00"/>
    <x v="5"/>
    <n v="1662.63"/>
    <n v="20"/>
    <x v="3"/>
    <n v="665.05"/>
    <x v="138"/>
    <n v="2660.21"/>
    <x v="2"/>
    <n v="2025"/>
  </r>
  <r>
    <s v="TXN00140"/>
    <x v="13"/>
    <x v="4"/>
    <x v="19"/>
    <x v="2"/>
    <d v="2024-08-10T00:00:00"/>
    <x v="2"/>
    <n v="8089.39"/>
    <n v="5"/>
    <x v="5"/>
    <n v="3235.76"/>
    <x v="139"/>
    <n v="61479.360000000001"/>
    <x v="0"/>
    <n v="2024"/>
  </r>
  <r>
    <s v="TXN00141"/>
    <x v="8"/>
    <x v="3"/>
    <x v="15"/>
    <x v="0"/>
    <d v="2024-03-03T00:00:00"/>
    <x v="4"/>
    <n v="775.18"/>
    <n v="0"/>
    <x v="5"/>
    <n v="0"/>
    <x v="140"/>
    <n v="5426.26"/>
    <x v="6"/>
    <n v="2024"/>
  </r>
  <r>
    <s v="TXN00142"/>
    <x v="8"/>
    <x v="4"/>
    <x v="17"/>
    <x v="4"/>
    <d v="2024-02-21T00:00:00"/>
    <x v="3"/>
    <n v="3363.12"/>
    <n v="5"/>
    <x v="1"/>
    <n v="1008.94"/>
    <x v="141"/>
    <n v="19169.78"/>
    <x v="2"/>
    <n v="2024"/>
  </r>
  <r>
    <s v="TXN00143"/>
    <x v="6"/>
    <x v="2"/>
    <x v="5"/>
    <x v="3"/>
    <d v="2025-08-23T00:00:00"/>
    <x v="1"/>
    <n v="1323.92"/>
    <n v="5"/>
    <x v="0"/>
    <n v="264.77999999999997"/>
    <x v="142"/>
    <n v="5030.8999999999996"/>
    <x v="0"/>
    <n v="2025"/>
  </r>
  <r>
    <s v="TXN00144"/>
    <x v="10"/>
    <x v="3"/>
    <x v="7"/>
    <x v="6"/>
    <d v="2024-10-10T00:00:00"/>
    <x v="0"/>
    <n v="2270.83"/>
    <n v="20"/>
    <x v="1"/>
    <n v="1362.5"/>
    <x v="143"/>
    <n v="5449.99"/>
    <x v="4"/>
    <n v="2024"/>
  </r>
  <r>
    <s v="TXN00145"/>
    <x v="6"/>
    <x v="3"/>
    <x v="7"/>
    <x v="2"/>
    <d v="2024-05-14T00:00:00"/>
    <x v="8"/>
    <n v="1781.21"/>
    <n v="5"/>
    <x v="1"/>
    <n v="89.06"/>
    <x v="144"/>
    <n v="1692.15"/>
    <x v="9"/>
    <n v="2024"/>
  </r>
  <r>
    <s v="TXN00146"/>
    <x v="13"/>
    <x v="2"/>
    <x v="22"/>
    <x v="4"/>
    <d v="2024-02-23T00:00:00"/>
    <x v="0"/>
    <n v="976.89"/>
    <n v="20"/>
    <x v="4"/>
    <n v="586.13"/>
    <x v="145"/>
    <n v="2344.54"/>
    <x v="2"/>
    <n v="2024"/>
  </r>
  <r>
    <s v="TXN00147"/>
    <x v="11"/>
    <x v="0"/>
    <x v="0"/>
    <x v="5"/>
    <d v="2025-06-09T00:00:00"/>
    <x v="9"/>
    <n v="60272.13"/>
    <n v="20"/>
    <x v="5"/>
    <n v="120544.26"/>
    <x v="146"/>
    <n v="482177.04"/>
    <x v="5"/>
    <n v="2025"/>
  </r>
  <r>
    <s v="TXN00148"/>
    <x v="13"/>
    <x v="1"/>
    <x v="8"/>
    <x v="2"/>
    <d v="2025-04-14T00:00:00"/>
    <x v="8"/>
    <n v="36608.25"/>
    <n v="15"/>
    <x v="4"/>
    <n v="5491.24"/>
    <x v="147"/>
    <n v="31117.01"/>
    <x v="1"/>
    <n v="2025"/>
  </r>
  <r>
    <s v="TXN00149"/>
    <x v="8"/>
    <x v="4"/>
    <x v="23"/>
    <x v="1"/>
    <d v="2025-12-30T00:00:00"/>
    <x v="2"/>
    <n v="10102.1"/>
    <n v="0"/>
    <x v="6"/>
    <n v="0"/>
    <x v="148"/>
    <n v="80816.800000000003"/>
    <x v="3"/>
    <n v="2025"/>
  </r>
  <r>
    <s v="TXN00150"/>
    <x v="7"/>
    <x v="3"/>
    <x v="21"/>
    <x v="1"/>
    <d v="2024-10-08T00:00:00"/>
    <x v="9"/>
    <n v="2910.24"/>
    <n v="20"/>
    <x v="3"/>
    <n v="5820.48"/>
    <x v="149"/>
    <n v="23281.919999999998"/>
    <x v="4"/>
    <n v="2024"/>
  </r>
  <r>
    <s v="TXN00151"/>
    <x v="12"/>
    <x v="3"/>
    <x v="16"/>
    <x v="6"/>
    <d v="2025-04-09T00:00:00"/>
    <x v="6"/>
    <n v="1577.04"/>
    <n v="0"/>
    <x v="4"/>
    <n v="0"/>
    <x v="150"/>
    <n v="14193.36"/>
    <x v="1"/>
    <n v="2025"/>
  </r>
  <r>
    <s v="TXN00152"/>
    <x v="0"/>
    <x v="0"/>
    <x v="1"/>
    <x v="3"/>
    <d v="2025-03-16T00:00:00"/>
    <x v="2"/>
    <n v="3366.07"/>
    <n v="15"/>
    <x v="0"/>
    <n v="4039.28"/>
    <x v="151"/>
    <n v="22889.279999999999"/>
    <x v="6"/>
    <n v="2025"/>
  </r>
  <r>
    <s v="TXN00153"/>
    <x v="1"/>
    <x v="3"/>
    <x v="16"/>
    <x v="5"/>
    <d v="2024-11-16T00:00:00"/>
    <x v="4"/>
    <n v="1613.92"/>
    <n v="10"/>
    <x v="7"/>
    <n v="1129.74"/>
    <x v="152"/>
    <n v="10167.700000000001"/>
    <x v="8"/>
    <n v="2024"/>
  </r>
  <r>
    <s v="TXN00154"/>
    <x v="8"/>
    <x v="3"/>
    <x v="7"/>
    <x v="5"/>
    <d v="2024-04-03T00:00:00"/>
    <x v="5"/>
    <n v="1661.95"/>
    <n v="0"/>
    <x v="7"/>
    <n v="0"/>
    <x v="153"/>
    <n v="3323.9"/>
    <x v="1"/>
    <n v="2024"/>
  </r>
  <r>
    <s v="TXN00155"/>
    <x v="9"/>
    <x v="3"/>
    <x v="7"/>
    <x v="1"/>
    <d v="2025-11-17T00:00:00"/>
    <x v="5"/>
    <n v="1985.35"/>
    <n v="15"/>
    <x v="5"/>
    <n v="595.6"/>
    <x v="154"/>
    <n v="3375.1"/>
    <x v="8"/>
    <n v="2025"/>
  </r>
  <r>
    <s v="TXN00156"/>
    <x v="12"/>
    <x v="0"/>
    <x v="3"/>
    <x v="0"/>
    <d v="2024-04-16T00:00:00"/>
    <x v="9"/>
    <n v="18483.36"/>
    <n v="5"/>
    <x v="5"/>
    <n v="9241.68"/>
    <x v="155"/>
    <n v="175591.92"/>
    <x v="1"/>
    <n v="2024"/>
  </r>
  <r>
    <s v="TXN00157"/>
    <x v="4"/>
    <x v="4"/>
    <x v="18"/>
    <x v="1"/>
    <d v="2025-07-23T00:00:00"/>
    <x v="3"/>
    <n v="11144.66"/>
    <n v="10"/>
    <x v="5"/>
    <n v="6686.8"/>
    <x v="156"/>
    <n v="60181.16"/>
    <x v="11"/>
    <n v="2025"/>
  </r>
  <r>
    <s v="TXN00158"/>
    <x v="10"/>
    <x v="2"/>
    <x v="5"/>
    <x v="5"/>
    <d v="2025-09-15T00:00:00"/>
    <x v="7"/>
    <n v="1088.69"/>
    <n v="10"/>
    <x v="1"/>
    <n v="544.35"/>
    <x v="157"/>
    <n v="4899.1000000000004"/>
    <x v="7"/>
    <n v="2025"/>
  </r>
  <r>
    <s v="TXN00159"/>
    <x v="3"/>
    <x v="3"/>
    <x v="20"/>
    <x v="1"/>
    <d v="2024-05-26T00:00:00"/>
    <x v="9"/>
    <n v="3725.18"/>
    <n v="0"/>
    <x v="3"/>
    <n v="0"/>
    <x v="158"/>
    <n v="37251.800000000003"/>
    <x v="9"/>
    <n v="2024"/>
  </r>
  <r>
    <s v="TXN00160"/>
    <x v="6"/>
    <x v="1"/>
    <x v="12"/>
    <x v="2"/>
    <d v="2025-01-20T00:00:00"/>
    <x v="4"/>
    <n v="6080.47"/>
    <n v="5"/>
    <x v="0"/>
    <n v="2128.16"/>
    <x v="159"/>
    <n v="40435.129999999997"/>
    <x v="10"/>
    <n v="2025"/>
  </r>
  <r>
    <s v="TXN00161"/>
    <x v="0"/>
    <x v="3"/>
    <x v="20"/>
    <x v="0"/>
    <d v="2024-02-23T00:00:00"/>
    <x v="0"/>
    <n v="3287.73"/>
    <n v="20"/>
    <x v="7"/>
    <n v="1972.64"/>
    <x v="160"/>
    <n v="7890.55"/>
    <x v="2"/>
    <n v="2024"/>
  </r>
  <r>
    <s v="TXN00162"/>
    <x v="5"/>
    <x v="0"/>
    <x v="0"/>
    <x v="5"/>
    <d v="2025-05-12T00:00:00"/>
    <x v="9"/>
    <n v="65683.22"/>
    <n v="10"/>
    <x v="2"/>
    <n v="65683.22"/>
    <x v="161"/>
    <n v="591148.98"/>
    <x v="9"/>
    <n v="2025"/>
  </r>
  <r>
    <s v="TXN00163"/>
    <x v="6"/>
    <x v="1"/>
    <x v="8"/>
    <x v="0"/>
    <d v="2024-04-23T00:00:00"/>
    <x v="7"/>
    <n v="42782.18"/>
    <n v="20"/>
    <x v="2"/>
    <n v="42782.18"/>
    <x v="162"/>
    <n v="171128.72"/>
    <x v="1"/>
    <n v="2024"/>
  </r>
  <r>
    <s v="TXN00164"/>
    <x v="8"/>
    <x v="4"/>
    <x v="14"/>
    <x v="0"/>
    <d v="2024-08-13T00:00:00"/>
    <x v="4"/>
    <n v="1719.17"/>
    <n v="0"/>
    <x v="1"/>
    <n v="0"/>
    <x v="163"/>
    <n v="12034.19"/>
    <x v="0"/>
    <n v="2024"/>
  </r>
  <r>
    <s v="TXN00165"/>
    <x v="5"/>
    <x v="0"/>
    <x v="6"/>
    <x v="4"/>
    <d v="2024-09-18T00:00:00"/>
    <x v="7"/>
    <n v="24550.76"/>
    <n v="0"/>
    <x v="3"/>
    <n v="0"/>
    <x v="164"/>
    <n v="122753.8"/>
    <x v="7"/>
    <n v="2024"/>
  </r>
  <r>
    <s v="TXN00166"/>
    <x v="7"/>
    <x v="4"/>
    <x v="23"/>
    <x v="4"/>
    <d v="2025-06-29T00:00:00"/>
    <x v="1"/>
    <n v="10250.66"/>
    <n v="10"/>
    <x v="2"/>
    <n v="4100.26"/>
    <x v="165"/>
    <n v="36902.379999999997"/>
    <x v="5"/>
    <n v="2025"/>
  </r>
  <r>
    <s v="TXN00167"/>
    <x v="4"/>
    <x v="0"/>
    <x v="24"/>
    <x v="2"/>
    <d v="2025-03-22T00:00:00"/>
    <x v="8"/>
    <n v="7104.57"/>
    <n v="0"/>
    <x v="1"/>
    <n v="0"/>
    <x v="166"/>
    <n v="7104.57"/>
    <x v="6"/>
    <n v="2025"/>
  </r>
  <r>
    <s v="TXN00168"/>
    <x v="1"/>
    <x v="3"/>
    <x v="21"/>
    <x v="6"/>
    <d v="2025-12-27T00:00:00"/>
    <x v="4"/>
    <n v="2674.04"/>
    <n v="15"/>
    <x v="2"/>
    <n v="2807.74"/>
    <x v="167"/>
    <n v="15910.54"/>
    <x v="3"/>
    <n v="2025"/>
  </r>
  <r>
    <s v="TXN00169"/>
    <x v="7"/>
    <x v="0"/>
    <x v="3"/>
    <x v="3"/>
    <d v="2025-12-07T00:00:00"/>
    <x v="3"/>
    <n v="18256.240000000002"/>
    <n v="0"/>
    <x v="6"/>
    <n v="0"/>
    <x v="168"/>
    <n v="109537.44"/>
    <x v="3"/>
    <n v="2025"/>
  </r>
  <r>
    <s v="TXN00170"/>
    <x v="12"/>
    <x v="1"/>
    <x v="2"/>
    <x v="5"/>
    <d v="2025-02-09T00:00:00"/>
    <x v="7"/>
    <n v="27161.279999999999"/>
    <n v="5"/>
    <x v="7"/>
    <n v="6790.32"/>
    <x v="169"/>
    <n v="129016.08"/>
    <x v="2"/>
    <n v="2025"/>
  </r>
  <r>
    <s v="TXN00171"/>
    <x v="6"/>
    <x v="3"/>
    <x v="7"/>
    <x v="6"/>
    <d v="2025-06-27T00:00:00"/>
    <x v="6"/>
    <n v="1707.26"/>
    <n v="10"/>
    <x v="7"/>
    <n v="1536.53"/>
    <x v="170"/>
    <n v="13828.81"/>
    <x v="5"/>
    <n v="2025"/>
  </r>
  <r>
    <s v="TXN00172"/>
    <x v="2"/>
    <x v="3"/>
    <x v="7"/>
    <x v="1"/>
    <d v="2024-09-19T00:00:00"/>
    <x v="1"/>
    <n v="1698.07"/>
    <n v="5"/>
    <x v="3"/>
    <n v="339.61"/>
    <x v="171"/>
    <n v="6452.67"/>
    <x v="7"/>
    <n v="2024"/>
  </r>
  <r>
    <s v="TXN00173"/>
    <x v="10"/>
    <x v="0"/>
    <x v="6"/>
    <x v="2"/>
    <d v="2025-04-20T00:00:00"/>
    <x v="9"/>
    <n v="27249.23"/>
    <n v="15"/>
    <x v="6"/>
    <n v="40873.839999999997"/>
    <x v="172"/>
    <n v="231618.46"/>
    <x v="1"/>
    <n v="2025"/>
  </r>
  <r>
    <s v="TXN00174"/>
    <x v="3"/>
    <x v="2"/>
    <x v="11"/>
    <x v="3"/>
    <d v="2024-06-03T00:00:00"/>
    <x v="2"/>
    <n v="4585.3599999999997"/>
    <n v="15"/>
    <x v="5"/>
    <n v="5502.43"/>
    <x v="173"/>
    <n v="31180.45"/>
    <x v="5"/>
    <n v="2024"/>
  </r>
  <r>
    <s v="TXN00175"/>
    <x v="12"/>
    <x v="3"/>
    <x v="20"/>
    <x v="1"/>
    <d v="2025-06-03T00:00:00"/>
    <x v="5"/>
    <n v="3421.61"/>
    <n v="15"/>
    <x v="5"/>
    <n v="1026.48"/>
    <x v="174"/>
    <n v="5816.74"/>
    <x v="5"/>
    <n v="2025"/>
  </r>
  <r>
    <s v="TXN00176"/>
    <x v="3"/>
    <x v="0"/>
    <x v="0"/>
    <x v="3"/>
    <d v="2024-03-19T00:00:00"/>
    <x v="5"/>
    <n v="68493.89"/>
    <n v="20"/>
    <x v="4"/>
    <n v="27397.56"/>
    <x v="175"/>
    <n v="109590.22"/>
    <x v="6"/>
    <n v="2024"/>
  </r>
  <r>
    <s v="TXN00177"/>
    <x v="12"/>
    <x v="4"/>
    <x v="23"/>
    <x v="6"/>
    <d v="2025-04-05T00:00:00"/>
    <x v="9"/>
    <n v="10629.59"/>
    <n v="10"/>
    <x v="1"/>
    <n v="10629.59"/>
    <x v="176"/>
    <n v="95666.31"/>
    <x v="1"/>
    <n v="2025"/>
  </r>
  <r>
    <s v="TXN00178"/>
    <x v="9"/>
    <x v="2"/>
    <x v="9"/>
    <x v="4"/>
    <d v="2025-04-06T00:00:00"/>
    <x v="5"/>
    <n v="4962.34"/>
    <n v="10"/>
    <x v="1"/>
    <n v="992.47"/>
    <x v="177"/>
    <n v="8932.2099999999991"/>
    <x v="1"/>
    <n v="2025"/>
  </r>
  <r>
    <s v="TXN00179"/>
    <x v="8"/>
    <x v="0"/>
    <x v="1"/>
    <x v="4"/>
    <d v="2024-09-10T00:00:00"/>
    <x v="2"/>
    <n v="3443.24"/>
    <n v="20"/>
    <x v="1"/>
    <n v="5509.18"/>
    <x v="178"/>
    <n v="22036.74"/>
    <x v="7"/>
    <n v="2024"/>
  </r>
  <r>
    <s v="TXN00180"/>
    <x v="7"/>
    <x v="2"/>
    <x v="11"/>
    <x v="0"/>
    <d v="2024-10-16T00:00:00"/>
    <x v="4"/>
    <n v="5512.06"/>
    <n v="10"/>
    <x v="5"/>
    <n v="3858.44"/>
    <x v="179"/>
    <n v="34725.980000000003"/>
    <x v="4"/>
    <n v="2024"/>
  </r>
  <r>
    <s v="TXN00181"/>
    <x v="10"/>
    <x v="2"/>
    <x v="10"/>
    <x v="2"/>
    <d v="2024-03-08T00:00:00"/>
    <x v="3"/>
    <n v="2309.0700000000002"/>
    <n v="15"/>
    <x v="5"/>
    <n v="2078.16"/>
    <x v="180"/>
    <n v="11776.26"/>
    <x v="6"/>
    <n v="2024"/>
  </r>
  <r>
    <s v="TXN00182"/>
    <x v="0"/>
    <x v="3"/>
    <x v="20"/>
    <x v="3"/>
    <d v="2024-12-07T00:00:00"/>
    <x v="5"/>
    <n v="4025.89"/>
    <n v="5"/>
    <x v="3"/>
    <n v="402.59"/>
    <x v="181"/>
    <n v="7649.19"/>
    <x v="3"/>
    <n v="2024"/>
  </r>
  <r>
    <s v="TXN00183"/>
    <x v="8"/>
    <x v="3"/>
    <x v="20"/>
    <x v="2"/>
    <d v="2024-05-12T00:00:00"/>
    <x v="9"/>
    <n v="3770.23"/>
    <n v="0"/>
    <x v="2"/>
    <n v="0"/>
    <x v="182"/>
    <n v="37702.300000000003"/>
    <x v="9"/>
    <n v="2024"/>
  </r>
  <r>
    <s v="TXN00184"/>
    <x v="1"/>
    <x v="3"/>
    <x v="21"/>
    <x v="2"/>
    <d v="2024-05-10T00:00:00"/>
    <x v="6"/>
    <n v="2308.41"/>
    <n v="15"/>
    <x v="5"/>
    <n v="3116.35"/>
    <x v="183"/>
    <n v="17659.34"/>
    <x v="9"/>
    <n v="2024"/>
  </r>
  <r>
    <s v="TXN00185"/>
    <x v="13"/>
    <x v="2"/>
    <x v="22"/>
    <x v="0"/>
    <d v="2024-07-03T00:00:00"/>
    <x v="1"/>
    <n v="886.89"/>
    <n v="15"/>
    <x v="4"/>
    <n v="532.13"/>
    <x v="184"/>
    <n v="3015.43"/>
    <x v="11"/>
    <n v="2024"/>
  </r>
  <r>
    <s v="TXN00186"/>
    <x v="7"/>
    <x v="1"/>
    <x v="13"/>
    <x v="4"/>
    <d v="2024-10-29T00:00:00"/>
    <x v="5"/>
    <n v="13555.38"/>
    <n v="20"/>
    <x v="7"/>
    <n v="5422.15"/>
    <x v="185"/>
    <n v="21688.61"/>
    <x v="4"/>
    <n v="2024"/>
  </r>
  <r>
    <s v="TXN00187"/>
    <x v="8"/>
    <x v="2"/>
    <x v="10"/>
    <x v="0"/>
    <d v="2025-09-03T00:00:00"/>
    <x v="4"/>
    <n v="2346.41"/>
    <n v="5"/>
    <x v="3"/>
    <n v="821.24"/>
    <x v="186"/>
    <n v="15603.63"/>
    <x v="7"/>
    <n v="2025"/>
  </r>
  <r>
    <s v="TXN00188"/>
    <x v="0"/>
    <x v="2"/>
    <x v="5"/>
    <x v="5"/>
    <d v="2025-02-24T00:00:00"/>
    <x v="3"/>
    <n v="1282.9100000000001"/>
    <n v="5"/>
    <x v="1"/>
    <n v="384.87"/>
    <x v="187"/>
    <n v="7312.59"/>
    <x v="2"/>
    <n v="2025"/>
  </r>
  <r>
    <s v="TXN00189"/>
    <x v="5"/>
    <x v="4"/>
    <x v="14"/>
    <x v="3"/>
    <d v="2024-08-27T00:00:00"/>
    <x v="6"/>
    <n v="1439.69"/>
    <n v="15"/>
    <x v="6"/>
    <n v="1943.58"/>
    <x v="188"/>
    <n v="11013.63"/>
    <x v="0"/>
    <n v="2024"/>
  </r>
  <r>
    <s v="TXN00190"/>
    <x v="8"/>
    <x v="1"/>
    <x v="4"/>
    <x v="6"/>
    <d v="2025-04-17T00:00:00"/>
    <x v="7"/>
    <n v="8756.25"/>
    <n v="20"/>
    <x v="6"/>
    <n v="8756.25"/>
    <x v="189"/>
    <n v="35025"/>
    <x v="1"/>
    <n v="2025"/>
  </r>
  <r>
    <s v="TXN00191"/>
    <x v="7"/>
    <x v="2"/>
    <x v="9"/>
    <x v="3"/>
    <d v="2025-09-11T00:00:00"/>
    <x v="0"/>
    <n v="5032.13"/>
    <n v="0"/>
    <x v="0"/>
    <n v="0"/>
    <x v="190"/>
    <n v="15096.39"/>
    <x v="7"/>
    <n v="2025"/>
  </r>
  <r>
    <s v="TXN00192"/>
    <x v="9"/>
    <x v="4"/>
    <x v="19"/>
    <x v="1"/>
    <d v="2024-10-18T00:00:00"/>
    <x v="5"/>
    <n v="9598.86"/>
    <n v="10"/>
    <x v="7"/>
    <n v="1919.77"/>
    <x v="191"/>
    <n v="17277.95"/>
    <x v="4"/>
    <n v="2024"/>
  </r>
  <r>
    <s v="TXN00193"/>
    <x v="7"/>
    <x v="4"/>
    <x v="14"/>
    <x v="3"/>
    <d v="2024-04-03T00:00:00"/>
    <x v="1"/>
    <n v="1656.26"/>
    <n v="10"/>
    <x v="2"/>
    <n v="662.5"/>
    <x v="192"/>
    <n v="5962.54"/>
    <x v="1"/>
    <n v="2024"/>
  </r>
  <r>
    <s v="TXN00194"/>
    <x v="13"/>
    <x v="0"/>
    <x v="24"/>
    <x v="5"/>
    <d v="2024-08-29T00:00:00"/>
    <x v="4"/>
    <n v="8040.42"/>
    <n v="10"/>
    <x v="5"/>
    <n v="5628.29"/>
    <x v="193"/>
    <n v="50654.65"/>
    <x v="0"/>
    <n v="2024"/>
  </r>
  <r>
    <s v="TXN00195"/>
    <x v="3"/>
    <x v="1"/>
    <x v="12"/>
    <x v="1"/>
    <d v="2024-05-29T00:00:00"/>
    <x v="0"/>
    <n v="5457.45"/>
    <n v="15"/>
    <x v="5"/>
    <n v="2455.85"/>
    <x v="194"/>
    <n v="13916.5"/>
    <x v="9"/>
    <n v="2024"/>
  </r>
  <r>
    <s v="TXN00196"/>
    <x v="11"/>
    <x v="1"/>
    <x v="2"/>
    <x v="6"/>
    <d v="2024-03-22T00:00:00"/>
    <x v="8"/>
    <n v="24099.52"/>
    <n v="5"/>
    <x v="1"/>
    <n v="1204.98"/>
    <x v="195"/>
    <n v="22894.54"/>
    <x v="6"/>
    <n v="2024"/>
  </r>
  <r>
    <s v="TXN00197"/>
    <x v="9"/>
    <x v="2"/>
    <x v="11"/>
    <x v="5"/>
    <d v="2024-10-22T00:00:00"/>
    <x v="1"/>
    <n v="5364.08"/>
    <n v="0"/>
    <x v="7"/>
    <n v="0"/>
    <x v="196"/>
    <n v="21456.32"/>
    <x v="4"/>
    <n v="2024"/>
  </r>
  <r>
    <s v="TXN00198"/>
    <x v="8"/>
    <x v="1"/>
    <x v="2"/>
    <x v="3"/>
    <d v="2024-03-05T00:00:00"/>
    <x v="5"/>
    <n v="27729.3"/>
    <n v="15"/>
    <x v="6"/>
    <n v="8318.7900000000009"/>
    <x v="197"/>
    <n v="47139.81"/>
    <x v="6"/>
    <n v="2024"/>
  </r>
  <r>
    <s v="TXN00199"/>
    <x v="13"/>
    <x v="2"/>
    <x v="11"/>
    <x v="2"/>
    <d v="2024-05-27T00:00:00"/>
    <x v="7"/>
    <n v="5036.55"/>
    <n v="20"/>
    <x v="0"/>
    <n v="5036.55"/>
    <x v="198"/>
    <n v="20146.2"/>
    <x v="9"/>
    <n v="2024"/>
  </r>
  <r>
    <s v="TXN00200"/>
    <x v="12"/>
    <x v="3"/>
    <x v="7"/>
    <x v="5"/>
    <d v="2025-11-11T00:00:00"/>
    <x v="5"/>
    <n v="2041.12"/>
    <n v="10"/>
    <x v="3"/>
    <n v="408.22"/>
    <x v="199"/>
    <n v="3674.02"/>
    <x v="8"/>
    <n v="2025"/>
  </r>
  <r>
    <s v="TXN00201"/>
    <x v="9"/>
    <x v="0"/>
    <x v="1"/>
    <x v="6"/>
    <d v="2025-02-03T00:00:00"/>
    <x v="2"/>
    <n v="2732.65"/>
    <n v="15"/>
    <x v="1"/>
    <n v="3279.18"/>
    <x v="200"/>
    <n v="18582.02"/>
    <x v="2"/>
    <n v="2025"/>
  </r>
  <r>
    <s v="TXN00202"/>
    <x v="0"/>
    <x v="3"/>
    <x v="20"/>
    <x v="1"/>
    <d v="2024-03-10T00:00:00"/>
    <x v="3"/>
    <n v="3360.99"/>
    <n v="0"/>
    <x v="5"/>
    <n v="0"/>
    <x v="201"/>
    <n v="20165.939999999999"/>
    <x v="6"/>
    <n v="2024"/>
  </r>
  <r>
    <s v="TXN00203"/>
    <x v="7"/>
    <x v="2"/>
    <x v="22"/>
    <x v="1"/>
    <d v="2025-07-13T00:00:00"/>
    <x v="3"/>
    <n v="993.04"/>
    <n v="5"/>
    <x v="5"/>
    <n v="297.91000000000003"/>
    <x v="202"/>
    <n v="5660.33"/>
    <x v="11"/>
    <n v="2025"/>
  </r>
  <r>
    <s v="TXN00204"/>
    <x v="8"/>
    <x v="4"/>
    <x v="23"/>
    <x v="4"/>
    <d v="2024-03-05T00:00:00"/>
    <x v="2"/>
    <n v="9092.4599999999991"/>
    <n v="5"/>
    <x v="3"/>
    <n v="3636.98"/>
    <x v="203"/>
    <n v="69102.7"/>
    <x v="6"/>
    <n v="2024"/>
  </r>
  <r>
    <s v="TXN00205"/>
    <x v="14"/>
    <x v="0"/>
    <x v="6"/>
    <x v="1"/>
    <d v="2024-11-13T00:00:00"/>
    <x v="6"/>
    <n v="27487.79"/>
    <n v="20"/>
    <x v="5"/>
    <n v="49478.02"/>
    <x v="204"/>
    <n v="197912.09"/>
    <x v="8"/>
    <n v="2024"/>
  </r>
  <r>
    <s v="TXN00206"/>
    <x v="13"/>
    <x v="4"/>
    <x v="19"/>
    <x v="3"/>
    <d v="2024-10-19T00:00:00"/>
    <x v="3"/>
    <n v="9816.7000000000007"/>
    <n v="0"/>
    <x v="0"/>
    <n v="0"/>
    <x v="205"/>
    <n v="58900.2"/>
    <x v="4"/>
    <n v="2024"/>
  </r>
  <r>
    <s v="TXN00207"/>
    <x v="6"/>
    <x v="3"/>
    <x v="20"/>
    <x v="3"/>
    <d v="2025-03-23T00:00:00"/>
    <x v="4"/>
    <n v="3800.39"/>
    <n v="15"/>
    <x v="5"/>
    <n v="3990.41"/>
    <x v="206"/>
    <n v="22612.32"/>
    <x v="6"/>
    <n v="2025"/>
  </r>
  <r>
    <s v="TXN00208"/>
    <x v="11"/>
    <x v="3"/>
    <x v="7"/>
    <x v="2"/>
    <d v="2025-01-11T00:00:00"/>
    <x v="6"/>
    <n v="1740.02"/>
    <n v="0"/>
    <x v="6"/>
    <n v="0"/>
    <x v="207"/>
    <n v="15660.18"/>
    <x v="10"/>
    <n v="2025"/>
  </r>
  <r>
    <s v="TXN00209"/>
    <x v="1"/>
    <x v="4"/>
    <x v="17"/>
    <x v="6"/>
    <d v="2025-07-12T00:00:00"/>
    <x v="7"/>
    <n v="3431.06"/>
    <n v="0"/>
    <x v="3"/>
    <n v="0"/>
    <x v="208"/>
    <n v="17155.3"/>
    <x v="11"/>
    <n v="2025"/>
  </r>
  <r>
    <s v="TXN00210"/>
    <x v="5"/>
    <x v="3"/>
    <x v="20"/>
    <x v="5"/>
    <d v="2024-06-19T00:00:00"/>
    <x v="2"/>
    <n v="3457.6"/>
    <n v="0"/>
    <x v="2"/>
    <n v="0"/>
    <x v="209"/>
    <n v="27660.799999999999"/>
    <x v="5"/>
    <n v="2024"/>
  </r>
  <r>
    <s v="TXN00211"/>
    <x v="1"/>
    <x v="3"/>
    <x v="21"/>
    <x v="0"/>
    <d v="2024-03-17T00:00:00"/>
    <x v="4"/>
    <n v="2477.0700000000002"/>
    <n v="5"/>
    <x v="1"/>
    <n v="866.97"/>
    <x v="210"/>
    <n v="16472.52"/>
    <x v="6"/>
    <n v="2024"/>
  </r>
  <r>
    <s v="TXN00212"/>
    <x v="4"/>
    <x v="0"/>
    <x v="6"/>
    <x v="6"/>
    <d v="2024-02-05T00:00:00"/>
    <x v="0"/>
    <n v="22920.21"/>
    <n v="10"/>
    <x v="6"/>
    <n v="6876.06"/>
    <x v="211"/>
    <n v="61884.57"/>
    <x v="2"/>
    <n v="2024"/>
  </r>
  <r>
    <s v="TXN00213"/>
    <x v="12"/>
    <x v="3"/>
    <x v="16"/>
    <x v="1"/>
    <d v="2025-11-26T00:00:00"/>
    <x v="2"/>
    <n v="1876.39"/>
    <n v="10"/>
    <x v="3"/>
    <n v="1501.11"/>
    <x v="212"/>
    <n v="13510.01"/>
    <x v="8"/>
    <n v="2025"/>
  </r>
  <r>
    <s v="TXN00214"/>
    <x v="12"/>
    <x v="4"/>
    <x v="17"/>
    <x v="4"/>
    <d v="2025-02-11T00:00:00"/>
    <x v="3"/>
    <n v="3718.37"/>
    <n v="5"/>
    <x v="5"/>
    <n v="1115.51"/>
    <x v="213"/>
    <n v="21194.71"/>
    <x v="2"/>
    <n v="2025"/>
  </r>
  <r>
    <s v="TXN00215"/>
    <x v="0"/>
    <x v="0"/>
    <x v="0"/>
    <x v="4"/>
    <d v="2025-06-14T00:00:00"/>
    <x v="4"/>
    <n v="73345.070000000007"/>
    <n v="0"/>
    <x v="6"/>
    <n v="0"/>
    <x v="214"/>
    <n v="513415.49"/>
    <x v="5"/>
    <n v="2025"/>
  </r>
  <r>
    <s v="TXN00216"/>
    <x v="0"/>
    <x v="3"/>
    <x v="20"/>
    <x v="5"/>
    <d v="2025-09-18T00:00:00"/>
    <x v="7"/>
    <n v="3757.23"/>
    <n v="15"/>
    <x v="0"/>
    <n v="2817.92"/>
    <x v="215"/>
    <n v="15968.23"/>
    <x v="7"/>
    <n v="2025"/>
  </r>
  <r>
    <s v="TXN00217"/>
    <x v="7"/>
    <x v="1"/>
    <x v="12"/>
    <x v="3"/>
    <d v="2025-04-07T00:00:00"/>
    <x v="0"/>
    <n v="6748.02"/>
    <n v="15"/>
    <x v="7"/>
    <n v="3036.61"/>
    <x v="216"/>
    <n v="17207.45"/>
    <x v="1"/>
    <n v="2025"/>
  </r>
  <r>
    <s v="TXN00218"/>
    <x v="8"/>
    <x v="0"/>
    <x v="3"/>
    <x v="0"/>
    <d v="2025-07-17T00:00:00"/>
    <x v="6"/>
    <n v="17506.63"/>
    <n v="10"/>
    <x v="7"/>
    <n v="15755.97"/>
    <x v="217"/>
    <n v="141803.70000000001"/>
    <x v="11"/>
    <n v="2025"/>
  </r>
  <r>
    <s v="TXN00219"/>
    <x v="10"/>
    <x v="1"/>
    <x v="13"/>
    <x v="0"/>
    <d v="2024-05-04T00:00:00"/>
    <x v="1"/>
    <n v="13176.2"/>
    <n v="5"/>
    <x v="0"/>
    <n v="2635.24"/>
    <x v="218"/>
    <n v="50069.56"/>
    <x v="9"/>
    <n v="2024"/>
  </r>
  <r>
    <s v="TXN00220"/>
    <x v="3"/>
    <x v="4"/>
    <x v="17"/>
    <x v="6"/>
    <d v="2025-04-23T00:00:00"/>
    <x v="6"/>
    <n v="3263.55"/>
    <n v="0"/>
    <x v="5"/>
    <n v="0"/>
    <x v="219"/>
    <n v="29371.95"/>
    <x v="1"/>
    <n v="2025"/>
  </r>
  <r>
    <s v="TXN00221"/>
    <x v="1"/>
    <x v="0"/>
    <x v="3"/>
    <x v="2"/>
    <d v="2025-06-22T00:00:00"/>
    <x v="4"/>
    <n v="19661.240000000002"/>
    <n v="20"/>
    <x v="6"/>
    <n v="27525.74"/>
    <x v="220"/>
    <n v="110102.94"/>
    <x v="5"/>
    <n v="2025"/>
  </r>
  <r>
    <s v="TXN00222"/>
    <x v="3"/>
    <x v="0"/>
    <x v="6"/>
    <x v="2"/>
    <d v="2025-04-05T00:00:00"/>
    <x v="2"/>
    <n v="26750.68"/>
    <n v="10"/>
    <x v="7"/>
    <n v="21400.54"/>
    <x v="221"/>
    <n v="192604.9"/>
    <x v="1"/>
    <n v="2025"/>
  </r>
  <r>
    <s v="TXN00223"/>
    <x v="8"/>
    <x v="1"/>
    <x v="8"/>
    <x v="6"/>
    <d v="2024-05-12T00:00:00"/>
    <x v="4"/>
    <n v="41028.639999999999"/>
    <n v="0"/>
    <x v="3"/>
    <n v="0"/>
    <x v="222"/>
    <n v="287200.48"/>
    <x v="9"/>
    <n v="2024"/>
  </r>
  <r>
    <s v="TXN00224"/>
    <x v="7"/>
    <x v="0"/>
    <x v="1"/>
    <x v="0"/>
    <d v="2024-06-14T00:00:00"/>
    <x v="3"/>
    <n v="3401.05"/>
    <n v="5"/>
    <x v="3"/>
    <n v="1020.32"/>
    <x v="223"/>
    <n v="19385.98"/>
    <x v="5"/>
    <n v="2024"/>
  </r>
  <r>
    <s v="TXN00225"/>
    <x v="14"/>
    <x v="3"/>
    <x v="21"/>
    <x v="0"/>
    <d v="2024-09-13T00:00:00"/>
    <x v="1"/>
    <n v="2646.91"/>
    <n v="20"/>
    <x v="7"/>
    <n v="2117.5300000000002"/>
    <x v="224"/>
    <n v="8470.11"/>
    <x v="7"/>
    <n v="2024"/>
  </r>
  <r>
    <s v="TXN00226"/>
    <x v="8"/>
    <x v="3"/>
    <x v="7"/>
    <x v="0"/>
    <d v="2025-05-29T00:00:00"/>
    <x v="0"/>
    <n v="1886.31"/>
    <n v="20"/>
    <x v="7"/>
    <n v="1131.79"/>
    <x v="225"/>
    <n v="4527.1400000000003"/>
    <x v="9"/>
    <n v="2025"/>
  </r>
  <r>
    <s v="TXN00227"/>
    <x v="8"/>
    <x v="1"/>
    <x v="13"/>
    <x v="6"/>
    <d v="2025-07-31T00:00:00"/>
    <x v="8"/>
    <n v="13275.71"/>
    <n v="0"/>
    <x v="5"/>
    <n v="0"/>
    <x v="226"/>
    <n v="13275.71"/>
    <x v="11"/>
    <n v="2025"/>
  </r>
  <r>
    <s v="TXN00228"/>
    <x v="8"/>
    <x v="0"/>
    <x v="0"/>
    <x v="3"/>
    <d v="2025-10-28T00:00:00"/>
    <x v="1"/>
    <n v="78059.39"/>
    <n v="15"/>
    <x v="4"/>
    <n v="46835.63"/>
    <x v="227"/>
    <n v="265401.93"/>
    <x v="4"/>
    <n v="2025"/>
  </r>
  <r>
    <s v="TXN00229"/>
    <x v="11"/>
    <x v="2"/>
    <x v="10"/>
    <x v="2"/>
    <d v="2025-10-19T00:00:00"/>
    <x v="7"/>
    <n v="2807.02"/>
    <n v="15"/>
    <x v="4"/>
    <n v="2105.2600000000002"/>
    <x v="228"/>
    <n v="11929.84"/>
    <x v="4"/>
    <n v="2025"/>
  </r>
  <r>
    <s v="TXN00230"/>
    <x v="6"/>
    <x v="3"/>
    <x v="16"/>
    <x v="2"/>
    <d v="2024-06-10T00:00:00"/>
    <x v="2"/>
    <n v="1505.86"/>
    <n v="15"/>
    <x v="1"/>
    <n v="1807.03"/>
    <x v="229"/>
    <n v="10239.85"/>
    <x v="5"/>
    <n v="2024"/>
  </r>
  <r>
    <s v="TXN00231"/>
    <x v="12"/>
    <x v="1"/>
    <x v="4"/>
    <x v="4"/>
    <d v="2024-11-22T00:00:00"/>
    <x v="3"/>
    <n v="10065.82"/>
    <n v="5"/>
    <x v="5"/>
    <n v="3019.75"/>
    <x v="230"/>
    <n v="57375.17"/>
    <x v="8"/>
    <n v="2024"/>
  </r>
  <r>
    <s v="TXN00232"/>
    <x v="9"/>
    <x v="3"/>
    <x v="21"/>
    <x v="1"/>
    <d v="2024-09-04T00:00:00"/>
    <x v="2"/>
    <n v="2326.58"/>
    <n v="15"/>
    <x v="5"/>
    <n v="2791.9"/>
    <x v="231"/>
    <n v="15820.74"/>
    <x v="7"/>
    <n v="2024"/>
  </r>
  <r>
    <s v="TXN00233"/>
    <x v="6"/>
    <x v="1"/>
    <x v="13"/>
    <x v="1"/>
    <d v="2025-01-28T00:00:00"/>
    <x v="9"/>
    <n v="12054.4"/>
    <n v="5"/>
    <x v="4"/>
    <n v="6027.2"/>
    <x v="232"/>
    <n v="114516.8"/>
    <x v="10"/>
    <n v="2025"/>
  </r>
  <r>
    <s v="TXN00234"/>
    <x v="0"/>
    <x v="3"/>
    <x v="21"/>
    <x v="0"/>
    <d v="2024-06-12T00:00:00"/>
    <x v="2"/>
    <n v="2872.48"/>
    <n v="15"/>
    <x v="0"/>
    <n v="3446.98"/>
    <x v="233"/>
    <n v="19532.86"/>
    <x v="5"/>
    <n v="2024"/>
  </r>
  <r>
    <s v="TXN00235"/>
    <x v="11"/>
    <x v="4"/>
    <x v="19"/>
    <x v="1"/>
    <d v="2025-02-06T00:00:00"/>
    <x v="6"/>
    <n v="8114.46"/>
    <n v="5"/>
    <x v="7"/>
    <n v="3651.51"/>
    <x v="234"/>
    <n v="69378.63"/>
    <x v="2"/>
    <n v="2025"/>
  </r>
  <r>
    <s v="TXN00236"/>
    <x v="3"/>
    <x v="1"/>
    <x v="8"/>
    <x v="1"/>
    <d v="2024-10-15T00:00:00"/>
    <x v="2"/>
    <n v="46172.71"/>
    <n v="15"/>
    <x v="1"/>
    <n v="55407.25"/>
    <x v="235"/>
    <n v="313974.43"/>
    <x v="4"/>
    <n v="2024"/>
  </r>
  <r>
    <s v="TXN00237"/>
    <x v="13"/>
    <x v="3"/>
    <x v="21"/>
    <x v="3"/>
    <d v="2025-03-17T00:00:00"/>
    <x v="0"/>
    <n v="2801.53"/>
    <n v="10"/>
    <x v="7"/>
    <n v="840.46"/>
    <x v="236"/>
    <n v="7564.13"/>
    <x v="6"/>
    <n v="2025"/>
  </r>
  <r>
    <s v="TXN00238"/>
    <x v="13"/>
    <x v="4"/>
    <x v="19"/>
    <x v="5"/>
    <d v="2025-08-06T00:00:00"/>
    <x v="6"/>
    <n v="7589.31"/>
    <n v="20"/>
    <x v="1"/>
    <n v="13660.76"/>
    <x v="237"/>
    <n v="54643.03"/>
    <x v="0"/>
    <n v="2025"/>
  </r>
  <r>
    <s v="TXN00239"/>
    <x v="1"/>
    <x v="3"/>
    <x v="15"/>
    <x v="6"/>
    <d v="2025-07-17T00:00:00"/>
    <x v="7"/>
    <n v="885.06"/>
    <n v="20"/>
    <x v="6"/>
    <n v="885.06"/>
    <x v="238"/>
    <n v="3540.24"/>
    <x v="11"/>
    <n v="2025"/>
  </r>
  <r>
    <s v="TXN00240"/>
    <x v="7"/>
    <x v="2"/>
    <x v="10"/>
    <x v="1"/>
    <d v="2025-01-17T00:00:00"/>
    <x v="3"/>
    <n v="2598.64"/>
    <n v="10"/>
    <x v="2"/>
    <n v="1559.18"/>
    <x v="239"/>
    <n v="14032.66"/>
    <x v="10"/>
    <n v="2025"/>
  </r>
  <r>
    <s v="TXN00241"/>
    <x v="12"/>
    <x v="1"/>
    <x v="13"/>
    <x v="6"/>
    <d v="2025-05-27T00:00:00"/>
    <x v="8"/>
    <n v="10935.91"/>
    <n v="5"/>
    <x v="2"/>
    <n v="546.79999999999995"/>
    <x v="240"/>
    <n v="10389.11"/>
    <x v="9"/>
    <n v="2025"/>
  </r>
  <r>
    <s v="TXN00242"/>
    <x v="9"/>
    <x v="3"/>
    <x v="16"/>
    <x v="5"/>
    <d v="2025-09-12T00:00:00"/>
    <x v="6"/>
    <n v="1402.42"/>
    <n v="20"/>
    <x v="3"/>
    <n v="2524.36"/>
    <x v="241"/>
    <n v="10097.42"/>
    <x v="7"/>
    <n v="2025"/>
  </r>
  <r>
    <s v="TXN00243"/>
    <x v="1"/>
    <x v="3"/>
    <x v="7"/>
    <x v="6"/>
    <d v="2025-08-30T00:00:00"/>
    <x v="3"/>
    <n v="1848.29"/>
    <n v="20"/>
    <x v="4"/>
    <n v="2217.9499999999998"/>
    <x v="242"/>
    <n v="8871.7900000000009"/>
    <x v="0"/>
    <n v="2025"/>
  </r>
  <r>
    <s v="TXN00244"/>
    <x v="0"/>
    <x v="2"/>
    <x v="9"/>
    <x v="6"/>
    <d v="2025-05-01T00:00:00"/>
    <x v="8"/>
    <n v="4464.3999999999996"/>
    <n v="0"/>
    <x v="4"/>
    <n v="0"/>
    <x v="243"/>
    <n v="4464.3999999999996"/>
    <x v="9"/>
    <n v="2025"/>
  </r>
  <r>
    <s v="TXN00245"/>
    <x v="5"/>
    <x v="4"/>
    <x v="14"/>
    <x v="3"/>
    <d v="2025-09-03T00:00:00"/>
    <x v="2"/>
    <n v="1449.57"/>
    <n v="20"/>
    <x v="1"/>
    <n v="2319.31"/>
    <x v="244"/>
    <n v="9277.25"/>
    <x v="7"/>
    <n v="2025"/>
  </r>
  <r>
    <s v="TXN00246"/>
    <x v="0"/>
    <x v="2"/>
    <x v="5"/>
    <x v="1"/>
    <d v="2024-06-23T00:00:00"/>
    <x v="6"/>
    <n v="1268.71"/>
    <n v="20"/>
    <x v="6"/>
    <n v="2283.6799999999998"/>
    <x v="245"/>
    <n v="9134.7099999999991"/>
    <x v="5"/>
    <n v="2024"/>
  </r>
  <r>
    <s v="TXN00247"/>
    <x v="4"/>
    <x v="4"/>
    <x v="18"/>
    <x v="2"/>
    <d v="2024-02-02T00:00:00"/>
    <x v="9"/>
    <n v="13644.62"/>
    <n v="0"/>
    <x v="0"/>
    <n v="0"/>
    <x v="246"/>
    <n v="136446.20000000001"/>
    <x v="2"/>
    <n v="2024"/>
  </r>
  <r>
    <s v="TXN00248"/>
    <x v="11"/>
    <x v="1"/>
    <x v="12"/>
    <x v="0"/>
    <d v="2024-06-04T00:00:00"/>
    <x v="4"/>
    <n v="6435.75"/>
    <n v="15"/>
    <x v="2"/>
    <n v="6757.54"/>
    <x v="247"/>
    <n v="38292.71"/>
    <x v="5"/>
    <n v="2024"/>
  </r>
  <r>
    <s v="TXN00249"/>
    <x v="14"/>
    <x v="2"/>
    <x v="11"/>
    <x v="5"/>
    <d v="2025-12-23T00:00:00"/>
    <x v="0"/>
    <n v="5663.19"/>
    <n v="20"/>
    <x v="1"/>
    <n v="3397.91"/>
    <x v="248"/>
    <n v="13591.66"/>
    <x v="3"/>
    <n v="2025"/>
  </r>
  <r>
    <s v="TXN00250"/>
    <x v="9"/>
    <x v="3"/>
    <x v="16"/>
    <x v="5"/>
    <d v="2024-06-26T00:00:00"/>
    <x v="2"/>
    <n v="1692.05"/>
    <n v="10"/>
    <x v="5"/>
    <n v="1353.64"/>
    <x v="249"/>
    <n v="12182.76"/>
    <x v="5"/>
    <n v="2024"/>
  </r>
  <r>
    <s v="TXN00251"/>
    <x v="8"/>
    <x v="2"/>
    <x v="22"/>
    <x v="3"/>
    <d v="2025-09-16T00:00:00"/>
    <x v="2"/>
    <n v="853.26"/>
    <n v="5"/>
    <x v="4"/>
    <n v="341.3"/>
    <x v="250"/>
    <n v="6484.78"/>
    <x v="7"/>
    <n v="2025"/>
  </r>
  <r>
    <s v="TXN00252"/>
    <x v="5"/>
    <x v="3"/>
    <x v="21"/>
    <x v="4"/>
    <d v="2024-10-22T00:00:00"/>
    <x v="1"/>
    <n v="2949.54"/>
    <n v="15"/>
    <x v="4"/>
    <n v="1769.72"/>
    <x v="251"/>
    <n v="10028.44"/>
    <x v="4"/>
    <n v="2024"/>
  </r>
  <r>
    <s v="TXN00253"/>
    <x v="3"/>
    <x v="3"/>
    <x v="16"/>
    <x v="6"/>
    <d v="2024-10-21T00:00:00"/>
    <x v="5"/>
    <n v="1721.56"/>
    <n v="20"/>
    <x v="4"/>
    <n v="688.62"/>
    <x v="252"/>
    <n v="2754.5"/>
    <x v="4"/>
    <n v="2024"/>
  </r>
  <r>
    <s v="TXN00254"/>
    <x v="4"/>
    <x v="4"/>
    <x v="23"/>
    <x v="0"/>
    <d v="2024-10-24T00:00:00"/>
    <x v="8"/>
    <n v="10690.98"/>
    <n v="0"/>
    <x v="3"/>
    <n v="0"/>
    <x v="253"/>
    <n v="10690.98"/>
    <x v="4"/>
    <n v="2024"/>
  </r>
  <r>
    <s v="TXN00255"/>
    <x v="8"/>
    <x v="3"/>
    <x v="16"/>
    <x v="0"/>
    <d v="2024-08-07T00:00:00"/>
    <x v="1"/>
    <n v="1660.48"/>
    <n v="10"/>
    <x v="6"/>
    <n v="664.19"/>
    <x v="254"/>
    <n v="5977.73"/>
    <x v="0"/>
    <n v="2024"/>
  </r>
  <r>
    <s v="TXN00256"/>
    <x v="7"/>
    <x v="2"/>
    <x v="22"/>
    <x v="1"/>
    <d v="2024-09-05T00:00:00"/>
    <x v="8"/>
    <n v="960.71"/>
    <n v="20"/>
    <x v="0"/>
    <n v="192.14"/>
    <x v="255"/>
    <n v="768.57"/>
    <x v="7"/>
    <n v="2024"/>
  </r>
  <r>
    <s v="TXN00257"/>
    <x v="13"/>
    <x v="1"/>
    <x v="13"/>
    <x v="1"/>
    <d v="2024-12-04T00:00:00"/>
    <x v="2"/>
    <n v="12211.8"/>
    <n v="5"/>
    <x v="2"/>
    <n v="4884.72"/>
    <x v="256"/>
    <n v="92809.68"/>
    <x v="3"/>
    <n v="2024"/>
  </r>
  <r>
    <s v="TXN00258"/>
    <x v="14"/>
    <x v="0"/>
    <x v="1"/>
    <x v="4"/>
    <d v="2025-10-30T00:00:00"/>
    <x v="2"/>
    <n v="3363.9"/>
    <n v="5"/>
    <x v="2"/>
    <n v="1345.56"/>
    <x v="257"/>
    <n v="25565.64"/>
    <x v="4"/>
    <n v="2025"/>
  </r>
  <r>
    <s v="TXN00259"/>
    <x v="5"/>
    <x v="3"/>
    <x v="20"/>
    <x v="2"/>
    <d v="2024-04-01T00:00:00"/>
    <x v="9"/>
    <n v="3353.19"/>
    <n v="0"/>
    <x v="1"/>
    <n v="0"/>
    <x v="258"/>
    <n v="33531.9"/>
    <x v="1"/>
    <n v="2024"/>
  </r>
  <r>
    <s v="TXN00260"/>
    <x v="14"/>
    <x v="1"/>
    <x v="2"/>
    <x v="3"/>
    <d v="2024-02-07T00:00:00"/>
    <x v="4"/>
    <n v="27424.75"/>
    <n v="5"/>
    <x v="3"/>
    <n v="9598.66"/>
    <x v="259"/>
    <n v="182374.59"/>
    <x v="2"/>
    <n v="2024"/>
  </r>
  <r>
    <s v="TXN00261"/>
    <x v="13"/>
    <x v="3"/>
    <x v="15"/>
    <x v="0"/>
    <d v="2024-12-09T00:00:00"/>
    <x v="7"/>
    <n v="891.96"/>
    <n v="20"/>
    <x v="7"/>
    <n v="891.96"/>
    <x v="260"/>
    <n v="3567.84"/>
    <x v="3"/>
    <n v="2024"/>
  </r>
  <r>
    <s v="TXN00262"/>
    <x v="14"/>
    <x v="2"/>
    <x v="9"/>
    <x v="4"/>
    <d v="2024-10-06T00:00:00"/>
    <x v="1"/>
    <n v="5455.91"/>
    <n v="10"/>
    <x v="6"/>
    <n v="2182.36"/>
    <x v="261"/>
    <n v="19641.28"/>
    <x v="4"/>
    <n v="2024"/>
  </r>
  <r>
    <s v="TXN00263"/>
    <x v="8"/>
    <x v="1"/>
    <x v="2"/>
    <x v="0"/>
    <d v="2024-01-15T00:00:00"/>
    <x v="3"/>
    <n v="27442.3"/>
    <n v="20"/>
    <x v="3"/>
    <n v="32930.76"/>
    <x v="262"/>
    <n v="131723.04"/>
    <x v="10"/>
    <n v="2024"/>
  </r>
  <r>
    <s v="TXN00264"/>
    <x v="12"/>
    <x v="1"/>
    <x v="13"/>
    <x v="3"/>
    <d v="2025-03-13T00:00:00"/>
    <x v="6"/>
    <n v="11783.78"/>
    <n v="15"/>
    <x v="2"/>
    <n v="15908.1"/>
    <x v="263"/>
    <n v="90145.919999999998"/>
    <x v="6"/>
    <n v="2025"/>
  </r>
  <r>
    <s v="TXN00265"/>
    <x v="7"/>
    <x v="0"/>
    <x v="6"/>
    <x v="5"/>
    <d v="2024-09-11T00:00:00"/>
    <x v="8"/>
    <n v="24129.91"/>
    <n v="5"/>
    <x v="5"/>
    <n v="1206.5"/>
    <x v="264"/>
    <n v="22923.41"/>
    <x v="7"/>
    <n v="2024"/>
  </r>
  <r>
    <s v="TXN00266"/>
    <x v="3"/>
    <x v="4"/>
    <x v="19"/>
    <x v="0"/>
    <d v="2024-09-24T00:00:00"/>
    <x v="3"/>
    <n v="8585.5400000000009"/>
    <n v="0"/>
    <x v="1"/>
    <n v="0"/>
    <x v="265"/>
    <n v="51513.24"/>
    <x v="7"/>
    <n v="2024"/>
  </r>
  <r>
    <s v="TXN00267"/>
    <x v="5"/>
    <x v="0"/>
    <x v="24"/>
    <x v="4"/>
    <d v="2025-12-03T00:00:00"/>
    <x v="6"/>
    <n v="8706.98"/>
    <n v="10"/>
    <x v="2"/>
    <n v="7836.28"/>
    <x v="266"/>
    <n v="70526.539999999994"/>
    <x v="3"/>
    <n v="2025"/>
  </r>
  <r>
    <s v="TXN00268"/>
    <x v="3"/>
    <x v="0"/>
    <x v="3"/>
    <x v="6"/>
    <d v="2024-08-12T00:00:00"/>
    <x v="0"/>
    <n v="18351.82"/>
    <n v="15"/>
    <x v="0"/>
    <n v="8258.32"/>
    <x v="267"/>
    <n v="46797.14"/>
    <x v="0"/>
    <n v="2024"/>
  </r>
  <r>
    <s v="TXN00269"/>
    <x v="1"/>
    <x v="2"/>
    <x v="22"/>
    <x v="2"/>
    <d v="2025-07-04T00:00:00"/>
    <x v="1"/>
    <n v="981.42"/>
    <n v="20"/>
    <x v="6"/>
    <n v="785.14"/>
    <x v="268"/>
    <n v="3140.54"/>
    <x v="11"/>
    <n v="2025"/>
  </r>
  <r>
    <s v="TXN00270"/>
    <x v="11"/>
    <x v="0"/>
    <x v="1"/>
    <x v="6"/>
    <d v="2024-03-20T00:00:00"/>
    <x v="9"/>
    <n v="2784.16"/>
    <n v="20"/>
    <x v="5"/>
    <n v="5568.32"/>
    <x v="269"/>
    <n v="22273.279999999999"/>
    <x v="6"/>
    <n v="2024"/>
  </r>
  <r>
    <s v="TXN00271"/>
    <x v="12"/>
    <x v="2"/>
    <x v="5"/>
    <x v="6"/>
    <d v="2024-06-17T00:00:00"/>
    <x v="3"/>
    <n v="1336.35"/>
    <n v="15"/>
    <x v="3"/>
    <n v="1202.71"/>
    <x v="270"/>
    <n v="6815.39"/>
    <x v="5"/>
    <n v="2024"/>
  </r>
  <r>
    <s v="TXN00272"/>
    <x v="0"/>
    <x v="0"/>
    <x v="6"/>
    <x v="6"/>
    <d v="2024-04-03T00:00:00"/>
    <x v="6"/>
    <n v="25284.27"/>
    <n v="0"/>
    <x v="6"/>
    <n v="0"/>
    <x v="271"/>
    <n v="227558.43"/>
    <x v="1"/>
    <n v="2024"/>
  </r>
  <r>
    <s v="TXN00273"/>
    <x v="9"/>
    <x v="4"/>
    <x v="18"/>
    <x v="5"/>
    <d v="2025-07-31T00:00:00"/>
    <x v="8"/>
    <n v="12476.39"/>
    <n v="10"/>
    <x v="6"/>
    <n v="1247.6400000000001"/>
    <x v="272"/>
    <n v="11228.75"/>
    <x v="11"/>
    <n v="2025"/>
  </r>
  <r>
    <s v="TXN00274"/>
    <x v="5"/>
    <x v="0"/>
    <x v="24"/>
    <x v="3"/>
    <d v="2024-08-11T00:00:00"/>
    <x v="9"/>
    <n v="6427.8"/>
    <n v="15"/>
    <x v="1"/>
    <n v="9641.7000000000007"/>
    <x v="273"/>
    <n v="54636.3"/>
    <x v="0"/>
    <n v="2024"/>
  </r>
  <r>
    <s v="TXN00275"/>
    <x v="9"/>
    <x v="3"/>
    <x v="15"/>
    <x v="1"/>
    <d v="2025-04-28T00:00:00"/>
    <x v="8"/>
    <n v="777.42"/>
    <n v="5"/>
    <x v="7"/>
    <n v="38.869999999999997"/>
    <x v="274"/>
    <n v="738.55"/>
    <x v="1"/>
    <n v="2025"/>
  </r>
  <r>
    <s v="TXN00276"/>
    <x v="3"/>
    <x v="1"/>
    <x v="2"/>
    <x v="5"/>
    <d v="2025-01-21T00:00:00"/>
    <x v="4"/>
    <n v="23001.56"/>
    <n v="20"/>
    <x v="6"/>
    <n v="32202.18"/>
    <x v="275"/>
    <n v="128808.74"/>
    <x v="10"/>
    <n v="2025"/>
  </r>
  <r>
    <s v="TXN00277"/>
    <x v="6"/>
    <x v="1"/>
    <x v="4"/>
    <x v="4"/>
    <d v="2025-06-25T00:00:00"/>
    <x v="0"/>
    <n v="8655.7199999999993"/>
    <n v="5"/>
    <x v="2"/>
    <n v="1298.3599999999999"/>
    <x v="276"/>
    <n v="24668.799999999999"/>
    <x v="5"/>
    <n v="2025"/>
  </r>
  <r>
    <s v="TXN00278"/>
    <x v="5"/>
    <x v="0"/>
    <x v="0"/>
    <x v="5"/>
    <d v="2025-06-28T00:00:00"/>
    <x v="4"/>
    <n v="71879.61"/>
    <n v="5"/>
    <x v="2"/>
    <n v="25157.86"/>
    <x v="277"/>
    <n v="477999.41"/>
    <x v="5"/>
    <n v="2025"/>
  </r>
  <r>
    <s v="TXN00279"/>
    <x v="7"/>
    <x v="4"/>
    <x v="19"/>
    <x v="0"/>
    <d v="2024-04-25T00:00:00"/>
    <x v="8"/>
    <n v="8818.9599999999991"/>
    <n v="15"/>
    <x v="0"/>
    <n v="1322.84"/>
    <x v="278"/>
    <n v="7496.12"/>
    <x v="1"/>
    <n v="2024"/>
  </r>
  <r>
    <s v="TXN00280"/>
    <x v="2"/>
    <x v="2"/>
    <x v="10"/>
    <x v="4"/>
    <d v="2024-04-13T00:00:00"/>
    <x v="9"/>
    <n v="2270.9899999999998"/>
    <n v="20"/>
    <x v="7"/>
    <n v="4541.9799999999996"/>
    <x v="279"/>
    <n v="18167.919999999998"/>
    <x v="1"/>
    <n v="2024"/>
  </r>
  <r>
    <s v="TXN00281"/>
    <x v="0"/>
    <x v="0"/>
    <x v="6"/>
    <x v="1"/>
    <d v="2025-03-25T00:00:00"/>
    <x v="1"/>
    <n v="25873.5"/>
    <n v="0"/>
    <x v="2"/>
    <n v="0"/>
    <x v="280"/>
    <n v="103494"/>
    <x v="6"/>
    <n v="2025"/>
  </r>
  <r>
    <s v="TXN00282"/>
    <x v="5"/>
    <x v="1"/>
    <x v="8"/>
    <x v="4"/>
    <d v="2025-08-14T00:00:00"/>
    <x v="9"/>
    <n v="43725.38"/>
    <n v="10"/>
    <x v="5"/>
    <n v="43725.38"/>
    <x v="281"/>
    <n v="393528.42"/>
    <x v="0"/>
    <n v="2025"/>
  </r>
  <r>
    <s v="TXN00283"/>
    <x v="14"/>
    <x v="1"/>
    <x v="4"/>
    <x v="4"/>
    <d v="2025-02-27T00:00:00"/>
    <x v="7"/>
    <n v="7750.31"/>
    <n v="20"/>
    <x v="0"/>
    <n v="7750.31"/>
    <x v="282"/>
    <n v="31001.24"/>
    <x v="2"/>
    <n v="2025"/>
  </r>
  <r>
    <s v="TXN00284"/>
    <x v="8"/>
    <x v="2"/>
    <x v="5"/>
    <x v="2"/>
    <d v="2025-07-23T00:00:00"/>
    <x v="2"/>
    <n v="1094.07"/>
    <n v="10"/>
    <x v="2"/>
    <n v="875.26"/>
    <x v="283"/>
    <n v="7877.3"/>
    <x v="11"/>
    <n v="2025"/>
  </r>
  <r>
    <s v="TXN00285"/>
    <x v="3"/>
    <x v="4"/>
    <x v="14"/>
    <x v="2"/>
    <d v="2025-02-22T00:00:00"/>
    <x v="0"/>
    <n v="1462.46"/>
    <n v="5"/>
    <x v="2"/>
    <n v="219.37"/>
    <x v="284"/>
    <n v="4168.01"/>
    <x v="2"/>
    <n v="2025"/>
  </r>
  <r>
    <s v="TXN00286"/>
    <x v="2"/>
    <x v="2"/>
    <x v="9"/>
    <x v="3"/>
    <d v="2024-11-03T00:00:00"/>
    <x v="0"/>
    <n v="5452.15"/>
    <n v="0"/>
    <x v="0"/>
    <n v="0"/>
    <x v="285"/>
    <n v="16356.45"/>
    <x v="8"/>
    <n v="2024"/>
  </r>
  <r>
    <s v="TXN00287"/>
    <x v="1"/>
    <x v="2"/>
    <x v="9"/>
    <x v="6"/>
    <d v="2025-02-01T00:00:00"/>
    <x v="1"/>
    <n v="4336.87"/>
    <n v="10"/>
    <x v="3"/>
    <n v="1734.75"/>
    <x v="286"/>
    <n v="15612.73"/>
    <x v="2"/>
    <n v="2025"/>
  </r>
  <r>
    <s v="TXN00288"/>
    <x v="4"/>
    <x v="0"/>
    <x v="24"/>
    <x v="0"/>
    <d v="2025-07-02T00:00:00"/>
    <x v="1"/>
    <n v="6390.19"/>
    <n v="15"/>
    <x v="7"/>
    <n v="3834.11"/>
    <x v="287"/>
    <n v="21726.65"/>
    <x v="11"/>
    <n v="2025"/>
  </r>
  <r>
    <s v="TXN00289"/>
    <x v="13"/>
    <x v="2"/>
    <x v="11"/>
    <x v="3"/>
    <d v="2024-07-11T00:00:00"/>
    <x v="9"/>
    <n v="5405.38"/>
    <n v="20"/>
    <x v="7"/>
    <n v="10810.76"/>
    <x v="288"/>
    <n v="43243.040000000001"/>
    <x v="11"/>
    <n v="2024"/>
  </r>
  <r>
    <s v="TXN00290"/>
    <x v="2"/>
    <x v="1"/>
    <x v="2"/>
    <x v="3"/>
    <d v="2024-11-06T00:00:00"/>
    <x v="8"/>
    <n v="26206.18"/>
    <n v="5"/>
    <x v="5"/>
    <n v="1310.31"/>
    <x v="289"/>
    <n v="24895.87"/>
    <x v="8"/>
    <n v="2024"/>
  </r>
  <r>
    <s v="TXN00291"/>
    <x v="14"/>
    <x v="0"/>
    <x v="24"/>
    <x v="4"/>
    <d v="2025-02-10T00:00:00"/>
    <x v="1"/>
    <n v="7266.14"/>
    <n v="10"/>
    <x v="0"/>
    <n v="2906.46"/>
    <x v="290"/>
    <n v="26158.1"/>
    <x v="2"/>
    <n v="2025"/>
  </r>
  <r>
    <s v="TXN00292"/>
    <x v="9"/>
    <x v="4"/>
    <x v="23"/>
    <x v="2"/>
    <d v="2024-11-11T00:00:00"/>
    <x v="7"/>
    <n v="10889.02"/>
    <n v="15"/>
    <x v="5"/>
    <n v="8166.76"/>
    <x v="291"/>
    <n v="46278.34"/>
    <x v="8"/>
    <n v="2024"/>
  </r>
  <r>
    <s v="TXN00293"/>
    <x v="10"/>
    <x v="4"/>
    <x v="17"/>
    <x v="2"/>
    <d v="2024-11-23T00:00:00"/>
    <x v="1"/>
    <n v="3821.8"/>
    <n v="15"/>
    <x v="6"/>
    <n v="2293.08"/>
    <x v="292"/>
    <n v="12994.12"/>
    <x v="8"/>
    <n v="2024"/>
  </r>
  <r>
    <s v="TXN00294"/>
    <x v="4"/>
    <x v="0"/>
    <x v="1"/>
    <x v="4"/>
    <d v="2024-01-17T00:00:00"/>
    <x v="7"/>
    <n v="3114.98"/>
    <n v="20"/>
    <x v="3"/>
    <n v="3114.98"/>
    <x v="293"/>
    <n v="12459.92"/>
    <x v="10"/>
    <n v="2024"/>
  </r>
  <r>
    <s v="TXN00295"/>
    <x v="5"/>
    <x v="2"/>
    <x v="9"/>
    <x v="4"/>
    <d v="2024-12-03T00:00:00"/>
    <x v="1"/>
    <n v="4925.05"/>
    <n v="5"/>
    <x v="0"/>
    <n v="985.01"/>
    <x v="294"/>
    <n v="18715.189999999999"/>
    <x v="3"/>
    <n v="2024"/>
  </r>
  <r>
    <s v="TXN00296"/>
    <x v="8"/>
    <x v="4"/>
    <x v="14"/>
    <x v="2"/>
    <d v="2024-09-20T00:00:00"/>
    <x v="2"/>
    <n v="1712.44"/>
    <n v="15"/>
    <x v="5"/>
    <n v="2054.9299999999998"/>
    <x v="295"/>
    <n v="11644.59"/>
    <x v="7"/>
    <n v="2024"/>
  </r>
  <r>
    <s v="TXN00297"/>
    <x v="0"/>
    <x v="4"/>
    <x v="18"/>
    <x v="3"/>
    <d v="2024-06-22T00:00:00"/>
    <x v="0"/>
    <n v="12960.94"/>
    <n v="15"/>
    <x v="5"/>
    <n v="5832.42"/>
    <x v="296"/>
    <n v="33050.400000000001"/>
    <x v="5"/>
    <n v="2024"/>
  </r>
  <r>
    <s v="TXN00298"/>
    <x v="8"/>
    <x v="1"/>
    <x v="8"/>
    <x v="1"/>
    <d v="2024-03-17T00:00:00"/>
    <x v="8"/>
    <n v="43643.39"/>
    <n v="15"/>
    <x v="1"/>
    <n v="6546.51"/>
    <x v="297"/>
    <n v="37096.879999999997"/>
    <x v="6"/>
    <n v="2024"/>
  </r>
  <r>
    <s v="TXN00299"/>
    <x v="6"/>
    <x v="1"/>
    <x v="13"/>
    <x v="2"/>
    <d v="2024-01-10T00:00:00"/>
    <x v="1"/>
    <n v="12317.2"/>
    <n v="10"/>
    <x v="3"/>
    <n v="4926.88"/>
    <x v="298"/>
    <n v="44341.919999999998"/>
    <x v="10"/>
    <n v="2024"/>
  </r>
  <r>
    <s v="TXN00300"/>
    <x v="8"/>
    <x v="0"/>
    <x v="1"/>
    <x v="2"/>
    <d v="2025-11-06T00:00:00"/>
    <x v="2"/>
    <n v="2982.98"/>
    <n v="20"/>
    <x v="6"/>
    <n v="4772.7700000000004"/>
    <x v="299"/>
    <n v="19091.07"/>
    <x v="8"/>
    <n v="2025"/>
  </r>
  <r>
    <s v="TXN00301"/>
    <x v="13"/>
    <x v="2"/>
    <x v="9"/>
    <x v="1"/>
    <d v="2025-07-02T00:00:00"/>
    <x v="7"/>
    <n v="4069.29"/>
    <n v="15"/>
    <x v="4"/>
    <n v="3051.97"/>
    <x v="300"/>
    <n v="17294.48"/>
    <x v="11"/>
    <n v="2025"/>
  </r>
  <r>
    <s v="TXN00302"/>
    <x v="14"/>
    <x v="1"/>
    <x v="12"/>
    <x v="1"/>
    <d v="2024-09-03T00:00:00"/>
    <x v="1"/>
    <n v="6329.67"/>
    <n v="10"/>
    <x v="3"/>
    <n v="2531.87"/>
    <x v="301"/>
    <n v="22786.81"/>
    <x v="7"/>
    <n v="2024"/>
  </r>
  <r>
    <s v="TXN00303"/>
    <x v="10"/>
    <x v="3"/>
    <x v="20"/>
    <x v="5"/>
    <d v="2025-01-17T00:00:00"/>
    <x v="4"/>
    <n v="3551.62"/>
    <n v="5"/>
    <x v="7"/>
    <n v="1243.07"/>
    <x v="302"/>
    <n v="23618.27"/>
    <x v="10"/>
    <n v="2025"/>
  </r>
  <r>
    <s v="TXN00304"/>
    <x v="8"/>
    <x v="1"/>
    <x v="4"/>
    <x v="3"/>
    <d v="2025-10-31T00:00:00"/>
    <x v="8"/>
    <n v="8125.7"/>
    <n v="15"/>
    <x v="7"/>
    <n v="1218.8599999999999"/>
    <x v="303"/>
    <n v="6906.84"/>
    <x v="4"/>
    <n v="2025"/>
  </r>
  <r>
    <s v="TXN00305"/>
    <x v="11"/>
    <x v="4"/>
    <x v="14"/>
    <x v="1"/>
    <d v="2025-12-20T00:00:00"/>
    <x v="0"/>
    <n v="1519.11"/>
    <n v="15"/>
    <x v="1"/>
    <n v="683.6"/>
    <x v="304"/>
    <n v="3873.73"/>
    <x v="3"/>
    <n v="2025"/>
  </r>
  <r>
    <s v="TXN00306"/>
    <x v="4"/>
    <x v="3"/>
    <x v="21"/>
    <x v="1"/>
    <d v="2024-08-23T00:00:00"/>
    <x v="1"/>
    <n v="2813.3"/>
    <n v="20"/>
    <x v="1"/>
    <n v="2250.64"/>
    <x v="305"/>
    <n v="9002.56"/>
    <x v="0"/>
    <n v="2024"/>
  </r>
  <r>
    <s v="TXN00307"/>
    <x v="13"/>
    <x v="4"/>
    <x v="19"/>
    <x v="1"/>
    <d v="2025-07-10T00:00:00"/>
    <x v="9"/>
    <n v="8516.2199999999993"/>
    <n v="5"/>
    <x v="4"/>
    <n v="4258.1099999999997"/>
    <x v="306"/>
    <n v="80904.09"/>
    <x v="11"/>
    <n v="2025"/>
  </r>
  <r>
    <s v="TXN00308"/>
    <x v="2"/>
    <x v="3"/>
    <x v="15"/>
    <x v="6"/>
    <d v="2025-12-30T00:00:00"/>
    <x v="4"/>
    <n v="996.35"/>
    <n v="10"/>
    <x v="3"/>
    <n v="697.45"/>
    <x v="307"/>
    <n v="6277"/>
    <x v="3"/>
    <n v="2025"/>
  </r>
  <r>
    <s v="TXN00309"/>
    <x v="2"/>
    <x v="1"/>
    <x v="8"/>
    <x v="6"/>
    <d v="2025-11-24T00:00:00"/>
    <x v="6"/>
    <n v="43249.03"/>
    <n v="5"/>
    <x v="2"/>
    <n v="19462.060000000001"/>
    <x v="308"/>
    <n v="369779.21"/>
    <x v="8"/>
    <n v="2025"/>
  </r>
  <r>
    <s v="TXN00310"/>
    <x v="0"/>
    <x v="0"/>
    <x v="1"/>
    <x v="0"/>
    <d v="2024-04-10T00:00:00"/>
    <x v="4"/>
    <n v="2874.11"/>
    <n v="0"/>
    <x v="1"/>
    <n v="0"/>
    <x v="309"/>
    <n v="20118.77"/>
    <x v="1"/>
    <n v="2024"/>
  </r>
  <r>
    <s v="TXN00311"/>
    <x v="10"/>
    <x v="3"/>
    <x v="21"/>
    <x v="6"/>
    <d v="2024-11-30T00:00:00"/>
    <x v="8"/>
    <n v="2910.96"/>
    <n v="15"/>
    <x v="2"/>
    <n v="436.64"/>
    <x v="310"/>
    <n v="2474.3200000000002"/>
    <x v="8"/>
    <n v="2024"/>
  </r>
  <r>
    <s v="TXN00312"/>
    <x v="3"/>
    <x v="4"/>
    <x v="18"/>
    <x v="6"/>
    <d v="2025-03-18T00:00:00"/>
    <x v="0"/>
    <n v="12839.08"/>
    <n v="15"/>
    <x v="2"/>
    <n v="5777.59"/>
    <x v="311"/>
    <n v="32739.65"/>
    <x v="6"/>
    <n v="2025"/>
  </r>
  <r>
    <s v="TXN00313"/>
    <x v="5"/>
    <x v="0"/>
    <x v="1"/>
    <x v="3"/>
    <d v="2025-12-31T00:00:00"/>
    <x v="5"/>
    <n v="3037.68"/>
    <n v="5"/>
    <x v="0"/>
    <n v="303.77"/>
    <x v="312"/>
    <n v="5771.59"/>
    <x v="3"/>
    <n v="2025"/>
  </r>
  <r>
    <s v="TXN00314"/>
    <x v="0"/>
    <x v="4"/>
    <x v="18"/>
    <x v="5"/>
    <d v="2025-01-04T00:00:00"/>
    <x v="5"/>
    <n v="11074.56"/>
    <n v="10"/>
    <x v="5"/>
    <n v="2214.91"/>
    <x v="313"/>
    <n v="19934.21"/>
    <x v="10"/>
    <n v="2025"/>
  </r>
  <r>
    <s v="TXN00315"/>
    <x v="10"/>
    <x v="4"/>
    <x v="19"/>
    <x v="0"/>
    <d v="2024-05-15T00:00:00"/>
    <x v="5"/>
    <n v="7574.78"/>
    <n v="15"/>
    <x v="7"/>
    <n v="2272.4299999999998"/>
    <x v="314"/>
    <n v="12877.13"/>
    <x v="9"/>
    <n v="2024"/>
  </r>
  <r>
    <s v="TXN00316"/>
    <x v="9"/>
    <x v="2"/>
    <x v="11"/>
    <x v="5"/>
    <d v="2024-01-27T00:00:00"/>
    <x v="5"/>
    <n v="4942.3900000000003"/>
    <n v="0"/>
    <x v="7"/>
    <n v="0"/>
    <x v="315"/>
    <n v="9884.7800000000007"/>
    <x v="10"/>
    <n v="2024"/>
  </r>
  <r>
    <s v="TXN00317"/>
    <x v="10"/>
    <x v="2"/>
    <x v="11"/>
    <x v="0"/>
    <d v="2024-01-13T00:00:00"/>
    <x v="7"/>
    <n v="5017.26"/>
    <n v="0"/>
    <x v="2"/>
    <n v="0"/>
    <x v="316"/>
    <n v="25086.3"/>
    <x v="10"/>
    <n v="2024"/>
  </r>
  <r>
    <s v="TXN00318"/>
    <x v="12"/>
    <x v="2"/>
    <x v="5"/>
    <x v="6"/>
    <d v="2025-12-02T00:00:00"/>
    <x v="4"/>
    <n v="1243.94"/>
    <n v="10"/>
    <x v="3"/>
    <n v="870.76"/>
    <x v="317"/>
    <n v="7836.82"/>
    <x v="3"/>
    <n v="2025"/>
  </r>
  <r>
    <s v="TXN00319"/>
    <x v="11"/>
    <x v="3"/>
    <x v="20"/>
    <x v="4"/>
    <d v="2024-06-20T00:00:00"/>
    <x v="4"/>
    <n v="3391.47"/>
    <n v="10"/>
    <x v="7"/>
    <n v="2374.0300000000002"/>
    <x v="318"/>
    <n v="21366.26"/>
    <x v="5"/>
    <n v="2024"/>
  </r>
  <r>
    <s v="TXN00320"/>
    <x v="3"/>
    <x v="4"/>
    <x v="17"/>
    <x v="0"/>
    <d v="2025-10-02T00:00:00"/>
    <x v="2"/>
    <n v="4036.54"/>
    <n v="5"/>
    <x v="0"/>
    <n v="1614.62"/>
    <x v="319"/>
    <n v="30677.7"/>
    <x v="4"/>
    <n v="2025"/>
  </r>
  <r>
    <s v="TXN00321"/>
    <x v="7"/>
    <x v="4"/>
    <x v="17"/>
    <x v="0"/>
    <d v="2025-02-09T00:00:00"/>
    <x v="3"/>
    <n v="3886.41"/>
    <n v="15"/>
    <x v="1"/>
    <n v="3497.77"/>
    <x v="320"/>
    <n v="19820.689999999999"/>
    <x v="2"/>
    <n v="2025"/>
  </r>
  <r>
    <s v="TXN00322"/>
    <x v="3"/>
    <x v="3"/>
    <x v="16"/>
    <x v="5"/>
    <d v="2024-11-03T00:00:00"/>
    <x v="3"/>
    <n v="1733.82"/>
    <n v="5"/>
    <x v="3"/>
    <n v="520.15"/>
    <x v="321"/>
    <n v="9882.77"/>
    <x v="8"/>
    <n v="2024"/>
  </r>
  <r>
    <s v="TXN00323"/>
    <x v="7"/>
    <x v="4"/>
    <x v="19"/>
    <x v="5"/>
    <d v="2024-10-25T00:00:00"/>
    <x v="2"/>
    <n v="10049.08"/>
    <n v="5"/>
    <x v="5"/>
    <n v="4019.63"/>
    <x v="322"/>
    <n v="76373.009999999995"/>
    <x v="4"/>
    <n v="2024"/>
  </r>
  <r>
    <s v="TXN00324"/>
    <x v="5"/>
    <x v="3"/>
    <x v="16"/>
    <x v="3"/>
    <d v="2025-01-08T00:00:00"/>
    <x v="5"/>
    <n v="1699.53"/>
    <n v="5"/>
    <x v="2"/>
    <n v="169.95"/>
    <x v="323"/>
    <n v="3229.11"/>
    <x v="10"/>
    <n v="2025"/>
  </r>
  <r>
    <s v="TXN00325"/>
    <x v="7"/>
    <x v="2"/>
    <x v="11"/>
    <x v="2"/>
    <d v="2025-04-17T00:00:00"/>
    <x v="1"/>
    <n v="5048.07"/>
    <n v="10"/>
    <x v="1"/>
    <n v="2019.23"/>
    <x v="324"/>
    <n v="18173.05"/>
    <x v="1"/>
    <n v="2025"/>
  </r>
  <r>
    <s v="TXN00326"/>
    <x v="8"/>
    <x v="0"/>
    <x v="24"/>
    <x v="5"/>
    <d v="2025-10-10T00:00:00"/>
    <x v="7"/>
    <n v="7395.89"/>
    <n v="5"/>
    <x v="3"/>
    <n v="1848.97"/>
    <x v="325"/>
    <n v="35130.480000000003"/>
    <x v="4"/>
    <n v="2025"/>
  </r>
  <r>
    <s v="TXN00327"/>
    <x v="6"/>
    <x v="4"/>
    <x v="23"/>
    <x v="5"/>
    <d v="2025-08-19T00:00:00"/>
    <x v="4"/>
    <n v="10335.92"/>
    <n v="15"/>
    <x v="6"/>
    <n v="10852.72"/>
    <x v="326"/>
    <n v="61498.720000000001"/>
    <x v="0"/>
    <n v="2025"/>
  </r>
  <r>
    <s v="TXN00328"/>
    <x v="10"/>
    <x v="2"/>
    <x v="10"/>
    <x v="0"/>
    <d v="2024-04-21T00:00:00"/>
    <x v="1"/>
    <n v="2661"/>
    <n v="10"/>
    <x v="7"/>
    <n v="1064.4000000000001"/>
    <x v="327"/>
    <n v="9579.6"/>
    <x v="1"/>
    <n v="2024"/>
  </r>
  <r>
    <s v="TXN00329"/>
    <x v="13"/>
    <x v="1"/>
    <x v="8"/>
    <x v="6"/>
    <d v="2024-12-05T00:00:00"/>
    <x v="4"/>
    <n v="40765.39"/>
    <n v="0"/>
    <x v="2"/>
    <n v="0"/>
    <x v="328"/>
    <n v="285357.73"/>
    <x v="3"/>
    <n v="2024"/>
  </r>
  <r>
    <s v="TXN00330"/>
    <x v="9"/>
    <x v="3"/>
    <x v="7"/>
    <x v="2"/>
    <d v="2025-04-01T00:00:00"/>
    <x v="3"/>
    <n v="1796.01"/>
    <n v="20"/>
    <x v="0"/>
    <n v="2155.21"/>
    <x v="329"/>
    <n v="8620.85"/>
    <x v="1"/>
    <n v="2025"/>
  </r>
  <r>
    <s v="TXN00331"/>
    <x v="3"/>
    <x v="2"/>
    <x v="5"/>
    <x v="1"/>
    <d v="2024-04-17T00:00:00"/>
    <x v="7"/>
    <n v="1204.79"/>
    <n v="0"/>
    <x v="6"/>
    <n v="0"/>
    <x v="330"/>
    <n v="6023.95"/>
    <x v="1"/>
    <n v="2024"/>
  </r>
  <r>
    <s v="TXN00332"/>
    <x v="3"/>
    <x v="0"/>
    <x v="6"/>
    <x v="0"/>
    <d v="2025-04-11T00:00:00"/>
    <x v="1"/>
    <n v="25756.97"/>
    <n v="10"/>
    <x v="5"/>
    <n v="10302.790000000001"/>
    <x v="331"/>
    <n v="92725.09"/>
    <x v="1"/>
    <n v="2025"/>
  </r>
  <r>
    <s v="TXN00333"/>
    <x v="11"/>
    <x v="4"/>
    <x v="17"/>
    <x v="2"/>
    <d v="2024-11-22T00:00:00"/>
    <x v="5"/>
    <n v="3754"/>
    <n v="0"/>
    <x v="6"/>
    <n v="0"/>
    <x v="332"/>
    <n v="7508"/>
    <x v="8"/>
    <n v="2024"/>
  </r>
  <r>
    <s v="TXN00334"/>
    <x v="8"/>
    <x v="0"/>
    <x v="3"/>
    <x v="1"/>
    <d v="2024-09-06T00:00:00"/>
    <x v="6"/>
    <n v="16985.04"/>
    <n v="5"/>
    <x v="3"/>
    <n v="7643.27"/>
    <x v="333"/>
    <n v="145222.09"/>
    <x v="7"/>
    <n v="2024"/>
  </r>
  <r>
    <s v="TXN00335"/>
    <x v="1"/>
    <x v="3"/>
    <x v="21"/>
    <x v="5"/>
    <d v="2025-02-18T00:00:00"/>
    <x v="0"/>
    <n v="2366.4899999999998"/>
    <n v="15"/>
    <x v="0"/>
    <n v="1064.92"/>
    <x v="334"/>
    <n v="6034.55"/>
    <x v="2"/>
    <n v="2025"/>
  </r>
  <r>
    <s v="TXN00336"/>
    <x v="0"/>
    <x v="4"/>
    <x v="17"/>
    <x v="6"/>
    <d v="2025-04-05T00:00:00"/>
    <x v="9"/>
    <n v="3525.86"/>
    <n v="0"/>
    <x v="0"/>
    <n v="0"/>
    <x v="335"/>
    <n v="35258.6"/>
    <x v="1"/>
    <n v="2025"/>
  </r>
  <r>
    <s v="TXN00337"/>
    <x v="5"/>
    <x v="1"/>
    <x v="13"/>
    <x v="3"/>
    <d v="2025-08-14T00:00:00"/>
    <x v="5"/>
    <n v="13198.51"/>
    <n v="20"/>
    <x v="7"/>
    <n v="5279.4"/>
    <x v="336"/>
    <n v="21117.62"/>
    <x v="0"/>
    <n v="2025"/>
  </r>
  <r>
    <s v="TXN00338"/>
    <x v="3"/>
    <x v="1"/>
    <x v="4"/>
    <x v="4"/>
    <d v="2024-04-26T00:00:00"/>
    <x v="7"/>
    <n v="8541.4"/>
    <n v="15"/>
    <x v="6"/>
    <n v="6406.05"/>
    <x v="337"/>
    <n v="36300.949999999997"/>
    <x v="1"/>
    <n v="2024"/>
  </r>
  <r>
    <s v="TXN00339"/>
    <x v="12"/>
    <x v="2"/>
    <x v="22"/>
    <x v="5"/>
    <d v="2025-08-24T00:00:00"/>
    <x v="5"/>
    <n v="888.28"/>
    <n v="15"/>
    <x v="2"/>
    <n v="266.48"/>
    <x v="338"/>
    <n v="1510.08"/>
    <x v="0"/>
    <n v="2025"/>
  </r>
  <r>
    <s v="TXN00340"/>
    <x v="4"/>
    <x v="2"/>
    <x v="5"/>
    <x v="2"/>
    <d v="2025-09-21T00:00:00"/>
    <x v="9"/>
    <n v="1105.43"/>
    <n v="5"/>
    <x v="4"/>
    <n v="552.72"/>
    <x v="339"/>
    <n v="10501.58"/>
    <x v="7"/>
    <n v="2025"/>
  </r>
  <r>
    <s v="TXN00341"/>
    <x v="2"/>
    <x v="3"/>
    <x v="15"/>
    <x v="0"/>
    <d v="2024-07-06T00:00:00"/>
    <x v="3"/>
    <n v="858.69"/>
    <n v="20"/>
    <x v="7"/>
    <n v="1030.43"/>
    <x v="340"/>
    <n v="4121.71"/>
    <x v="11"/>
    <n v="2024"/>
  </r>
  <r>
    <s v="TXN00342"/>
    <x v="12"/>
    <x v="4"/>
    <x v="23"/>
    <x v="4"/>
    <d v="2025-03-09T00:00:00"/>
    <x v="0"/>
    <n v="10216.68"/>
    <n v="20"/>
    <x v="2"/>
    <n v="6130.01"/>
    <x v="341"/>
    <n v="24520.03"/>
    <x v="6"/>
    <n v="2025"/>
  </r>
  <r>
    <s v="TXN00343"/>
    <x v="7"/>
    <x v="1"/>
    <x v="8"/>
    <x v="5"/>
    <d v="2024-05-23T00:00:00"/>
    <x v="0"/>
    <n v="39145.800000000003"/>
    <n v="15"/>
    <x v="4"/>
    <n v="17615.61"/>
    <x v="342"/>
    <n v="99821.79"/>
    <x v="9"/>
    <n v="2024"/>
  </r>
  <r>
    <s v="TXN00344"/>
    <x v="4"/>
    <x v="2"/>
    <x v="10"/>
    <x v="0"/>
    <d v="2025-05-11T00:00:00"/>
    <x v="0"/>
    <n v="2371.96"/>
    <n v="15"/>
    <x v="1"/>
    <n v="1067.3800000000001"/>
    <x v="343"/>
    <n v="6048.5"/>
    <x v="9"/>
    <n v="2025"/>
  </r>
  <r>
    <s v="TXN00345"/>
    <x v="8"/>
    <x v="2"/>
    <x v="11"/>
    <x v="5"/>
    <d v="2025-12-02T00:00:00"/>
    <x v="2"/>
    <n v="5521.49"/>
    <n v="15"/>
    <x v="2"/>
    <n v="6625.79"/>
    <x v="344"/>
    <n v="37546.129999999997"/>
    <x v="3"/>
    <n v="2025"/>
  </r>
  <r>
    <s v="TXN00346"/>
    <x v="6"/>
    <x v="4"/>
    <x v="18"/>
    <x v="6"/>
    <d v="2024-08-13T00:00:00"/>
    <x v="7"/>
    <n v="10898.09"/>
    <n v="5"/>
    <x v="1"/>
    <n v="2724.52"/>
    <x v="345"/>
    <n v="51765.93"/>
    <x v="0"/>
    <n v="2024"/>
  </r>
  <r>
    <s v="TXN00347"/>
    <x v="7"/>
    <x v="2"/>
    <x v="22"/>
    <x v="3"/>
    <d v="2025-08-02T00:00:00"/>
    <x v="2"/>
    <n v="933.69"/>
    <n v="0"/>
    <x v="6"/>
    <n v="0"/>
    <x v="346"/>
    <n v="7469.52"/>
    <x v="0"/>
    <n v="2025"/>
  </r>
  <r>
    <s v="TXN00348"/>
    <x v="5"/>
    <x v="2"/>
    <x v="10"/>
    <x v="3"/>
    <d v="2025-07-09T00:00:00"/>
    <x v="8"/>
    <n v="2725"/>
    <n v="15"/>
    <x v="5"/>
    <n v="408.75"/>
    <x v="347"/>
    <n v="2316.25"/>
    <x v="11"/>
    <n v="2025"/>
  </r>
  <r>
    <s v="TXN00349"/>
    <x v="1"/>
    <x v="2"/>
    <x v="5"/>
    <x v="1"/>
    <d v="2024-10-31T00:00:00"/>
    <x v="8"/>
    <n v="1336.41"/>
    <n v="10"/>
    <x v="0"/>
    <n v="133.63999999999999"/>
    <x v="348"/>
    <n v="1202.77"/>
    <x v="4"/>
    <n v="2024"/>
  </r>
  <r>
    <s v="TXN00350"/>
    <x v="4"/>
    <x v="0"/>
    <x v="24"/>
    <x v="1"/>
    <d v="2024-08-02T00:00:00"/>
    <x v="9"/>
    <n v="7505.98"/>
    <n v="20"/>
    <x v="0"/>
    <n v="15011.96"/>
    <x v="349"/>
    <n v="60047.839999999997"/>
    <x v="0"/>
    <n v="2024"/>
  </r>
  <r>
    <s v="TXN00351"/>
    <x v="12"/>
    <x v="4"/>
    <x v="18"/>
    <x v="4"/>
    <d v="2024-07-30T00:00:00"/>
    <x v="8"/>
    <n v="12510.22"/>
    <n v="20"/>
    <x v="0"/>
    <n v="2502.04"/>
    <x v="350"/>
    <n v="10008.18"/>
    <x v="11"/>
    <n v="2024"/>
  </r>
  <r>
    <s v="TXN00352"/>
    <x v="9"/>
    <x v="3"/>
    <x v="21"/>
    <x v="4"/>
    <d v="2025-12-21T00:00:00"/>
    <x v="7"/>
    <n v="2673.92"/>
    <n v="10"/>
    <x v="5"/>
    <n v="1336.96"/>
    <x v="351"/>
    <n v="12032.64"/>
    <x v="3"/>
    <n v="2025"/>
  </r>
  <r>
    <s v="TXN00353"/>
    <x v="7"/>
    <x v="2"/>
    <x v="10"/>
    <x v="3"/>
    <d v="2024-03-01T00:00:00"/>
    <x v="7"/>
    <n v="2791.9"/>
    <n v="5"/>
    <x v="2"/>
    <n v="697.98"/>
    <x v="352"/>
    <n v="13261.52"/>
    <x v="6"/>
    <n v="2024"/>
  </r>
  <r>
    <s v="TXN00354"/>
    <x v="7"/>
    <x v="1"/>
    <x v="13"/>
    <x v="2"/>
    <d v="2024-09-10T00:00:00"/>
    <x v="4"/>
    <n v="12268.38"/>
    <n v="20"/>
    <x v="5"/>
    <n v="17175.73"/>
    <x v="353"/>
    <n v="68702.929999999993"/>
    <x v="7"/>
    <n v="2024"/>
  </r>
  <r>
    <s v="TXN00355"/>
    <x v="1"/>
    <x v="3"/>
    <x v="16"/>
    <x v="5"/>
    <d v="2025-10-10T00:00:00"/>
    <x v="5"/>
    <n v="1651.18"/>
    <n v="10"/>
    <x v="7"/>
    <n v="330.24"/>
    <x v="354"/>
    <n v="2972.12"/>
    <x v="4"/>
    <n v="2025"/>
  </r>
  <r>
    <s v="TXN00356"/>
    <x v="11"/>
    <x v="3"/>
    <x v="16"/>
    <x v="0"/>
    <d v="2024-04-05T00:00:00"/>
    <x v="2"/>
    <n v="1588.07"/>
    <n v="10"/>
    <x v="1"/>
    <n v="1270.46"/>
    <x v="355"/>
    <n v="11434.1"/>
    <x v="1"/>
    <n v="2024"/>
  </r>
  <r>
    <s v="TXN00357"/>
    <x v="1"/>
    <x v="0"/>
    <x v="1"/>
    <x v="4"/>
    <d v="2024-08-04T00:00:00"/>
    <x v="2"/>
    <n v="2901.4"/>
    <n v="10"/>
    <x v="2"/>
    <n v="2321.12"/>
    <x v="356"/>
    <n v="20890.080000000002"/>
    <x v="0"/>
    <n v="2024"/>
  </r>
  <r>
    <s v="TXN00358"/>
    <x v="12"/>
    <x v="3"/>
    <x v="21"/>
    <x v="4"/>
    <d v="2024-12-17T00:00:00"/>
    <x v="8"/>
    <n v="2506.59"/>
    <n v="15"/>
    <x v="6"/>
    <n v="375.99"/>
    <x v="357"/>
    <n v="2130.6"/>
    <x v="3"/>
    <n v="2024"/>
  </r>
  <r>
    <s v="TXN00359"/>
    <x v="14"/>
    <x v="0"/>
    <x v="0"/>
    <x v="3"/>
    <d v="2025-03-27T00:00:00"/>
    <x v="2"/>
    <n v="58510.98"/>
    <n v="15"/>
    <x v="3"/>
    <n v="70213.179999999993"/>
    <x v="358"/>
    <n v="397874.66"/>
    <x v="6"/>
    <n v="2025"/>
  </r>
  <r>
    <s v="TXN00360"/>
    <x v="14"/>
    <x v="1"/>
    <x v="13"/>
    <x v="2"/>
    <d v="2024-06-11T00:00:00"/>
    <x v="7"/>
    <n v="11080.02"/>
    <n v="10"/>
    <x v="4"/>
    <n v="5540.01"/>
    <x v="359"/>
    <n v="49860.09"/>
    <x v="5"/>
    <n v="2024"/>
  </r>
  <r>
    <s v="TXN00361"/>
    <x v="3"/>
    <x v="3"/>
    <x v="15"/>
    <x v="2"/>
    <d v="2024-02-23T00:00:00"/>
    <x v="4"/>
    <n v="845.12"/>
    <n v="5"/>
    <x v="3"/>
    <n v="295.79000000000002"/>
    <x v="360"/>
    <n v="5620.05"/>
    <x v="2"/>
    <n v="2024"/>
  </r>
  <r>
    <s v="TXN00362"/>
    <x v="0"/>
    <x v="4"/>
    <x v="17"/>
    <x v="1"/>
    <d v="2024-08-06T00:00:00"/>
    <x v="2"/>
    <n v="3218.2"/>
    <n v="20"/>
    <x v="1"/>
    <n v="5149.12"/>
    <x v="361"/>
    <n v="20596.48"/>
    <x v="0"/>
    <n v="2024"/>
  </r>
  <r>
    <s v="TXN00363"/>
    <x v="8"/>
    <x v="1"/>
    <x v="8"/>
    <x v="5"/>
    <d v="2024-01-09T00:00:00"/>
    <x v="3"/>
    <n v="44171.09"/>
    <n v="15"/>
    <x v="1"/>
    <n v="39753.980000000003"/>
    <x v="362"/>
    <n v="225272.56"/>
    <x v="10"/>
    <n v="2024"/>
  </r>
  <r>
    <s v="TXN00364"/>
    <x v="6"/>
    <x v="1"/>
    <x v="2"/>
    <x v="4"/>
    <d v="2024-04-01T00:00:00"/>
    <x v="5"/>
    <n v="23145.01"/>
    <n v="10"/>
    <x v="2"/>
    <n v="4629"/>
    <x v="363"/>
    <n v="41661.019999999997"/>
    <x v="1"/>
    <n v="2024"/>
  </r>
  <r>
    <s v="TXN00365"/>
    <x v="1"/>
    <x v="3"/>
    <x v="7"/>
    <x v="3"/>
    <d v="2025-10-18T00:00:00"/>
    <x v="0"/>
    <n v="1815.86"/>
    <n v="20"/>
    <x v="3"/>
    <n v="1089.52"/>
    <x v="364"/>
    <n v="4358.0600000000004"/>
    <x v="4"/>
    <n v="2025"/>
  </r>
  <r>
    <s v="TXN00366"/>
    <x v="8"/>
    <x v="0"/>
    <x v="1"/>
    <x v="4"/>
    <d v="2024-12-25T00:00:00"/>
    <x v="1"/>
    <n v="3488.17"/>
    <n v="5"/>
    <x v="6"/>
    <n v="697.63"/>
    <x v="365"/>
    <n v="13255.05"/>
    <x v="3"/>
    <n v="2024"/>
  </r>
  <r>
    <s v="TXN00367"/>
    <x v="8"/>
    <x v="4"/>
    <x v="14"/>
    <x v="5"/>
    <d v="2024-03-29T00:00:00"/>
    <x v="5"/>
    <n v="1402.5"/>
    <n v="0"/>
    <x v="0"/>
    <n v="0"/>
    <x v="366"/>
    <n v="2805"/>
    <x v="6"/>
    <n v="2024"/>
  </r>
  <r>
    <s v="TXN00368"/>
    <x v="3"/>
    <x v="2"/>
    <x v="9"/>
    <x v="5"/>
    <d v="2024-05-23T00:00:00"/>
    <x v="1"/>
    <n v="4361.59"/>
    <n v="0"/>
    <x v="5"/>
    <n v="0"/>
    <x v="367"/>
    <n v="17446.36"/>
    <x v="9"/>
    <n v="2024"/>
  </r>
  <r>
    <s v="TXN00369"/>
    <x v="12"/>
    <x v="1"/>
    <x v="8"/>
    <x v="6"/>
    <d v="2025-12-08T00:00:00"/>
    <x v="8"/>
    <n v="48926.81"/>
    <n v="10"/>
    <x v="4"/>
    <n v="4892.68"/>
    <x v="368"/>
    <n v="44034.13"/>
    <x v="3"/>
    <n v="2025"/>
  </r>
  <r>
    <s v="TXN00370"/>
    <x v="12"/>
    <x v="1"/>
    <x v="8"/>
    <x v="6"/>
    <d v="2025-02-05T00:00:00"/>
    <x v="7"/>
    <n v="42461.7"/>
    <n v="5"/>
    <x v="0"/>
    <n v="10615.43"/>
    <x v="369"/>
    <n v="201693.07"/>
    <x v="2"/>
    <n v="2025"/>
  </r>
  <r>
    <s v="TXN00371"/>
    <x v="6"/>
    <x v="4"/>
    <x v="23"/>
    <x v="4"/>
    <d v="2025-10-15T00:00:00"/>
    <x v="9"/>
    <n v="10095.280000000001"/>
    <n v="0"/>
    <x v="6"/>
    <n v="0"/>
    <x v="370"/>
    <n v="100952.8"/>
    <x v="4"/>
    <n v="2025"/>
  </r>
  <r>
    <s v="TXN00372"/>
    <x v="7"/>
    <x v="3"/>
    <x v="20"/>
    <x v="5"/>
    <d v="2025-01-09T00:00:00"/>
    <x v="6"/>
    <n v="3747.57"/>
    <n v="15"/>
    <x v="2"/>
    <n v="5059.22"/>
    <x v="371"/>
    <n v="28668.91"/>
    <x v="10"/>
    <n v="2025"/>
  </r>
  <r>
    <s v="TXN00373"/>
    <x v="12"/>
    <x v="0"/>
    <x v="0"/>
    <x v="1"/>
    <d v="2024-09-25T00:00:00"/>
    <x v="1"/>
    <n v="59147.19"/>
    <n v="0"/>
    <x v="1"/>
    <n v="0"/>
    <x v="372"/>
    <n v="236588.76"/>
    <x v="7"/>
    <n v="2024"/>
  </r>
  <r>
    <s v="TXN00374"/>
    <x v="5"/>
    <x v="4"/>
    <x v="14"/>
    <x v="2"/>
    <d v="2025-03-09T00:00:00"/>
    <x v="4"/>
    <n v="1380.91"/>
    <n v="20"/>
    <x v="2"/>
    <n v="1933.27"/>
    <x v="373"/>
    <n v="7733.1"/>
    <x v="6"/>
    <n v="2025"/>
  </r>
  <r>
    <s v="TXN00375"/>
    <x v="7"/>
    <x v="2"/>
    <x v="11"/>
    <x v="0"/>
    <d v="2024-11-13T00:00:00"/>
    <x v="5"/>
    <n v="5653.04"/>
    <n v="5"/>
    <x v="7"/>
    <n v="565.29999999999995"/>
    <x v="374"/>
    <n v="10740.78"/>
    <x v="8"/>
    <n v="2024"/>
  </r>
  <r>
    <s v="TXN00376"/>
    <x v="3"/>
    <x v="1"/>
    <x v="8"/>
    <x v="5"/>
    <d v="2024-11-13T00:00:00"/>
    <x v="4"/>
    <n v="47629.54"/>
    <n v="5"/>
    <x v="7"/>
    <n v="16670.34"/>
    <x v="375"/>
    <n v="316736.44"/>
    <x v="8"/>
    <n v="2024"/>
  </r>
  <r>
    <s v="TXN00377"/>
    <x v="6"/>
    <x v="0"/>
    <x v="6"/>
    <x v="5"/>
    <d v="2025-04-09T00:00:00"/>
    <x v="9"/>
    <n v="26305.200000000001"/>
    <n v="10"/>
    <x v="7"/>
    <n v="26305.200000000001"/>
    <x v="376"/>
    <n v="236746.8"/>
    <x v="1"/>
    <n v="2025"/>
  </r>
  <r>
    <s v="TXN00378"/>
    <x v="13"/>
    <x v="1"/>
    <x v="12"/>
    <x v="2"/>
    <d v="2025-12-19T00:00:00"/>
    <x v="8"/>
    <n v="6210.32"/>
    <n v="10"/>
    <x v="3"/>
    <n v="621.03"/>
    <x v="377"/>
    <n v="5589.29"/>
    <x v="3"/>
    <n v="2025"/>
  </r>
  <r>
    <s v="TXN00379"/>
    <x v="10"/>
    <x v="2"/>
    <x v="11"/>
    <x v="3"/>
    <d v="2024-06-19T00:00:00"/>
    <x v="3"/>
    <n v="4658.66"/>
    <n v="10"/>
    <x v="4"/>
    <n v="2795.2"/>
    <x v="378"/>
    <n v="25156.76"/>
    <x v="5"/>
    <n v="2024"/>
  </r>
  <r>
    <s v="TXN00380"/>
    <x v="3"/>
    <x v="0"/>
    <x v="0"/>
    <x v="3"/>
    <d v="2024-10-05T00:00:00"/>
    <x v="6"/>
    <n v="65491.71"/>
    <n v="20"/>
    <x v="2"/>
    <n v="117885.08"/>
    <x v="379"/>
    <n v="471540.31"/>
    <x v="4"/>
    <n v="2024"/>
  </r>
  <r>
    <s v="TXN00381"/>
    <x v="11"/>
    <x v="0"/>
    <x v="24"/>
    <x v="6"/>
    <d v="2024-02-26T00:00:00"/>
    <x v="2"/>
    <n v="7803.88"/>
    <n v="5"/>
    <x v="5"/>
    <n v="3121.55"/>
    <x v="380"/>
    <n v="59309.49"/>
    <x v="2"/>
    <n v="2024"/>
  </r>
  <r>
    <s v="TXN00382"/>
    <x v="5"/>
    <x v="3"/>
    <x v="7"/>
    <x v="3"/>
    <d v="2025-08-10T00:00:00"/>
    <x v="5"/>
    <n v="1722.78"/>
    <n v="20"/>
    <x v="7"/>
    <n v="689.11"/>
    <x v="381"/>
    <n v="2756.45"/>
    <x v="0"/>
    <n v="2025"/>
  </r>
  <r>
    <s v="TXN00383"/>
    <x v="4"/>
    <x v="0"/>
    <x v="0"/>
    <x v="3"/>
    <d v="2024-09-07T00:00:00"/>
    <x v="8"/>
    <n v="66166.17"/>
    <n v="15"/>
    <x v="1"/>
    <n v="9924.93"/>
    <x v="382"/>
    <n v="56241.24"/>
    <x v="7"/>
    <n v="2024"/>
  </r>
  <r>
    <s v="TXN00384"/>
    <x v="14"/>
    <x v="1"/>
    <x v="13"/>
    <x v="3"/>
    <d v="2025-07-20T00:00:00"/>
    <x v="4"/>
    <n v="11473.55"/>
    <n v="5"/>
    <x v="1"/>
    <n v="4015.74"/>
    <x v="383"/>
    <n v="76299.11"/>
    <x v="11"/>
    <n v="2025"/>
  </r>
  <r>
    <s v="TXN00385"/>
    <x v="5"/>
    <x v="4"/>
    <x v="19"/>
    <x v="3"/>
    <d v="2025-08-08T00:00:00"/>
    <x v="3"/>
    <n v="7438.8"/>
    <n v="0"/>
    <x v="7"/>
    <n v="0"/>
    <x v="384"/>
    <n v="44632.800000000003"/>
    <x v="0"/>
    <n v="2025"/>
  </r>
  <r>
    <s v="TXN00386"/>
    <x v="10"/>
    <x v="1"/>
    <x v="13"/>
    <x v="6"/>
    <d v="2025-02-14T00:00:00"/>
    <x v="5"/>
    <n v="13430.97"/>
    <n v="10"/>
    <x v="1"/>
    <n v="2686.19"/>
    <x v="385"/>
    <n v="24175.75"/>
    <x v="2"/>
    <n v="2025"/>
  </r>
  <r>
    <s v="TXN00387"/>
    <x v="6"/>
    <x v="3"/>
    <x v="20"/>
    <x v="6"/>
    <d v="2024-01-09T00:00:00"/>
    <x v="3"/>
    <n v="3325.59"/>
    <n v="20"/>
    <x v="6"/>
    <n v="3990.71"/>
    <x v="386"/>
    <n v="15962.83"/>
    <x v="10"/>
    <n v="2024"/>
  </r>
  <r>
    <s v="TXN00388"/>
    <x v="2"/>
    <x v="3"/>
    <x v="21"/>
    <x v="5"/>
    <d v="2025-08-28T00:00:00"/>
    <x v="2"/>
    <n v="2873.62"/>
    <n v="5"/>
    <x v="5"/>
    <n v="1149.45"/>
    <x v="387"/>
    <n v="21839.51"/>
    <x v="0"/>
    <n v="2025"/>
  </r>
  <r>
    <s v="TXN00389"/>
    <x v="7"/>
    <x v="2"/>
    <x v="5"/>
    <x v="1"/>
    <d v="2024-01-25T00:00:00"/>
    <x v="1"/>
    <n v="1242.46"/>
    <n v="0"/>
    <x v="2"/>
    <n v="0"/>
    <x v="388"/>
    <n v="4969.84"/>
    <x v="10"/>
    <n v="2024"/>
  </r>
  <r>
    <s v="TXN00390"/>
    <x v="10"/>
    <x v="3"/>
    <x v="15"/>
    <x v="2"/>
    <d v="2024-11-10T00:00:00"/>
    <x v="5"/>
    <n v="837.14"/>
    <n v="5"/>
    <x v="2"/>
    <n v="83.71"/>
    <x v="389"/>
    <n v="1590.57"/>
    <x v="8"/>
    <n v="2024"/>
  </r>
  <r>
    <s v="TXN00391"/>
    <x v="13"/>
    <x v="4"/>
    <x v="23"/>
    <x v="4"/>
    <d v="2024-04-05T00:00:00"/>
    <x v="8"/>
    <n v="11303.19"/>
    <n v="20"/>
    <x v="4"/>
    <n v="2260.64"/>
    <x v="390"/>
    <n v="9042.5499999999993"/>
    <x v="1"/>
    <n v="2024"/>
  </r>
  <r>
    <s v="TXN00392"/>
    <x v="11"/>
    <x v="4"/>
    <x v="19"/>
    <x v="2"/>
    <d v="2025-08-17T00:00:00"/>
    <x v="5"/>
    <n v="8210.86"/>
    <n v="15"/>
    <x v="7"/>
    <n v="2463.2600000000002"/>
    <x v="391"/>
    <n v="13958.46"/>
    <x v="0"/>
    <n v="2025"/>
  </r>
  <r>
    <s v="TXN00393"/>
    <x v="12"/>
    <x v="0"/>
    <x v="1"/>
    <x v="1"/>
    <d v="2025-11-09T00:00:00"/>
    <x v="0"/>
    <n v="3165.34"/>
    <n v="10"/>
    <x v="2"/>
    <n v="949.6"/>
    <x v="392"/>
    <n v="8546.42"/>
    <x v="8"/>
    <n v="2025"/>
  </r>
  <r>
    <s v="TXN00394"/>
    <x v="0"/>
    <x v="3"/>
    <x v="16"/>
    <x v="3"/>
    <d v="2024-11-21T00:00:00"/>
    <x v="2"/>
    <n v="1597.18"/>
    <n v="0"/>
    <x v="5"/>
    <n v="0"/>
    <x v="393"/>
    <n v="12777.44"/>
    <x v="8"/>
    <n v="2024"/>
  </r>
  <r>
    <s v="TXN00395"/>
    <x v="10"/>
    <x v="1"/>
    <x v="13"/>
    <x v="3"/>
    <d v="2024-06-08T00:00:00"/>
    <x v="5"/>
    <n v="11293.12"/>
    <n v="15"/>
    <x v="7"/>
    <n v="3387.94"/>
    <x v="394"/>
    <n v="19198.3"/>
    <x v="5"/>
    <n v="2024"/>
  </r>
  <r>
    <s v="TXN00396"/>
    <x v="6"/>
    <x v="3"/>
    <x v="16"/>
    <x v="6"/>
    <d v="2024-07-31T00:00:00"/>
    <x v="2"/>
    <n v="1465.62"/>
    <n v="10"/>
    <x v="5"/>
    <n v="1172.5"/>
    <x v="395"/>
    <n v="10552.46"/>
    <x v="11"/>
    <n v="2024"/>
  </r>
  <r>
    <s v="TXN00397"/>
    <x v="7"/>
    <x v="0"/>
    <x v="0"/>
    <x v="3"/>
    <d v="2025-12-22T00:00:00"/>
    <x v="9"/>
    <n v="65070.9"/>
    <n v="10"/>
    <x v="4"/>
    <n v="65070.9"/>
    <x v="396"/>
    <n v="585638.1"/>
    <x v="3"/>
    <n v="2025"/>
  </r>
  <r>
    <s v="TXN00398"/>
    <x v="0"/>
    <x v="1"/>
    <x v="12"/>
    <x v="4"/>
    <d v="2025-02-09T00:00:00"/>
    <x v="6"/>
    <n v="5473.43"/>
    <n v="10"/>
    <x v="5"/>
    <n v="4926.09"/>
    <x v="397"/>
    <n v="44334.78"/>
    <x v="2"/>
    <n v="2025"/>
  </r>
  <r>
    <s v="TXN00399"/>
    <x v="13"/>
    <x v="3"/>
    <x v="7"/>
    <x v="5"/>
    <d v="2025-07-23T00:00:00"/>
    <x v="6"/>
    <n v="1732.43"/>
    <n v="15"/>
    <x v="6"/>
    <n v="2338.7800000000002"/>
    <x v="398"/>
    <n v="13253.09"/>
    <x v="11"/>
    <n v="2025"/>
  </r>
  <r>
    <s v="TXN00400"/>
    <x v="6"/>
    <x v="0"/>
    <x v="6"/>
    <x v="1"/>
    <d v="2024-08-15T00:00:00"/>
    <x v="0"/>
    <n v="23738.33"/>
    <n v="15"/>
    <x v="1"/>
    <n v="10682.25"/>
    <x v="399"/>
    <n v="60532.74"/>
    <x v="0"/>
    <n v="2024"/>
  </r>
  <r>
    <s v="TXN00401"/>
    <x v="12"/>
    <x v="3"/>
    <x v="15"/>
    <x v="6"/>
    <d v="2024-03-17T00:00:00"/>
    <x v="8"/>
    <n v="919.43"/>
    <n v="5"/>
    <x v="4"/>
    <n v="45.97"/>
    <x v="400"/>
    <n v="873.46"/>
    <x v="6"/>
    <n v="2024"/>
  </r>
  <r>
    <s v="TXN00402"/>
    <x v="6"/>
    <x v="4"/>
    <x v="18"/>
    <x v="3"/>
    <d v="2024-05-05T00:00:00"/>
    <x v="8"/>
    <n v="13626.84"/>
    <n v="0"/>
    <x v="5"/>
    <n v="0"/>
    <x v="401"/>
    <n v="13626.84"/>
    <x v="9"/>
    <n v="2024"/>
  </r>
  <r>
    <s v="TXN00403"/>
    <x v="1"/>
    <x v="1"/>
    <x v="8"/>
    <x v="3"/>
    <d v="2025-05-23T00:00:00"/>
    <x v="8"/>
    <n v="39827.29"/>
    <n v="15"/>
    <x v="2"/>
    <n v="5974.09"/>
    <x v="402"/>
    <n v="33853.199999999997"/>
    <x v="9"/>
    <n v="2025"/>
  </r>
  <r>
    <s v="TXN00404"/>
    <x v="2"/>
    <x v="1"/>
    <x v="4"/>
    <x v="4"/>
    <d v="2024-10-13T00:00:00"/>
    <x v="2"/>
    <n v="9863.5300000000007"/>
    <n v="0"/>
    <x v="4"/>
    <n v="0"/>
    <x v="403"/>
    <n v="78908.240000000005"/>
    <x v="4"/>
    <n v="2024"/>
  </r>
  <r>
    <s v="TXN00405"/>
    <x v="12"/>
    <x v="2"/>
    <x v="11"/>
    <x v="4"/>
    <d v="2025-05-25T00:00:00"/>
    <x v="4"/>
    <n v="5603.47"/>
    <n v="15"/>
    <x v="4"/>
    <n v="5883.64"/>
    <x v="404"/>
    <n v="33340.65"/>
    <x v="9"/>
    <n v="2025"/>
  </r>
  <r>
    <s v="TXN00406"/>
    <x v="5"/>
    <x v="0"/>
    <x v="0"/>
    <x v="5"/>
    <d v="2025-03-05T00:00:00"/>
    <x v="1"/>
    <n v="68943.100000000006"/>
    <n v="20"/>
    <x v="3"/>
    <n v="55154.48"/>
    <x v="405"/>
    <n v="220617.92"/>
    <x v="6"/>
    <n v="2025"/>
  </r>
  <r>
    <s v="TXN00407"/>
    <x v="10"/>
    <x v="1"/>
    <x v="8"/>
    <x v="1"/>
    <d v="2025-12-31T00:00:00"/>
    <x v="3"/>
    <n v="44876.53"/>
    <n v="15"/>
    <x v="2"/>
    <n v="40388.879999999997"/>
    <x v="406"/>
    <n v="228870.3"/>
    <x v="3"/>
    <n v="2025"/>
  </r>
  <r>
    <s v="TXN00408"/>
    <x v="9"/>
    <x v="3"/>
    <x v="21"/>
    <x v="0"/>
    <d v="2024-10-03T00:00:00"/>
    <x v="0"/>
    <n v="2492.92"/>
    <n v="20"/>
    <x v="2"/>
    <n v="1495.75"/>
    <x v="407"/>
    <n v="5983.01"/>
    <x v="4"/>
    <n v="2024"/>
  </r>
  <r>
    <s v="TXN00409"/>
    <x v="14"/>
    <x v="1"/>
    <x v="12"/>
    <x v="3"/>
    <d v="2024-02-29T00:00:00"/>
    <x v="2"/>
    <n v="6194.15"/>
    <n v="20"/>
    <x v="4"/>
    <n v="9910.64"/>
    <x v="408"/>
    <n v="39642.559999999998"/>
    <x v="2"/>
    <n v="2024"/>
  </r>
  <r>
    <s v="TXN00410"/>
    <x v="6"/>
    <x v="1"/>
    <x v="13"/>
    <x v="4"/>
    <d v="2024-09-29T00:00:00"/>
    <x v="6"/>
    <n v="13248.86"/>
    <n v="0"/>
    <x v="0"/>
    <n v="0"/>
    <x v="409"/>
    <n v="119239.74"/>
    <x v="7"/>
    <n v="2024"/>
  </r>
  <r>
    <s v="TXN00411"/>
    <x v="4"/>
    <x v="1"/>
    <x v="8"/>
    <x v="3"/>
    <d v="2024-12-29T00:00:00"/>
    <x v="0"/>
    <n v="41537.1"/>
    <n v="20"/>
    <x v="2"/>
    <n v="24922.26"/>
    <x v="410"/>
    <n v="99689.04"/>
    <x v="3"/>
    <n v="2024"/>
  </r>
  <r>
    <s v="TXN00412"/>
    <x v="14"/>
    <x v="3"/>
    <x v="20"/>
    <x v="6"/>
    <d v="2025-12-21T00:00:00"/>
    <x v="3"/>
    <n v="4377.03"/>
    <n v="20"/>
    <x v="1"/>
    <n v="5252.44"/>
    <x v="411"/>
    <n v="21009.74"/>
    <x v="3"/>
    <n v="2025"/>
  </r>
  <r>
    <s v="TXN00413"/>
    <x v="2"/>
    <x v="1"/>
    <x v="8"/>
    <x v="3"/>
    <d v="2025-07-09T00:00:00"/>
    <x v="7"/>
    <n v="37755.57"/>
    <n v="0"/>
    <x v="6"/>
    <n v="0"/>
    <x v="412"/>
    <n v="188777.85"/>
    <x v="11"/>
    <n v="2025"/>
  </r>
  <r>
    <s v="TXN00414"/>
    <x v="2"/>
    <x v="0"/>
    <x v="0"/>
    <x v="6"/>
    <d v="2024-01-21T00:00:00"/>
    <x v="6"/>
    <n v="66267.320000000007"/>
    <n v="10"/>
    <x v="0"/>
    <n v="59640.59"/>
    <x v="413"/>
    <n v="536765.29"/>
    <x v="10"/>
    <n v="2024"/>
  </r>
  <r>
    <s v="TXN00415"/>
    <x v="10"/>
    <x v="2"/>
    <x v="5"/>
    <x v="4"/>
    <d v="2024-06-30T00:00:00"/>
    <x v="3"/>
    <n v="1097.8699999999999"/>
    <n v="5"/>
    <x v="5"/>
    <n v="329.36"/>
    <x v="414"/>
    <n v="6257.86"/>
    <x v="5"/>
    <n v="2024"/>
  </r>
  <r>
    <s v="TXN00416"/>
    <x v="10"/>
    <x v="2"/>
    <x v="5"/>
    <x v="1"/>
    <d v="2024-03-15T00:00:00"/>
    <x v="3"/>
    <n v="1291.3599999999999"/>
    <n v="15"/>
    <x v="5"/>
    <n v="1162.22"/>
    <x v="415"/>
    <n v="6585.94"/>
    <x v="6"/>
    <n v="2024"/>
  </r>
  <r>
    <s v="TXN00417"/>
    <x v="3"/>
    <x v="2"/>
    <x v="10"/>
    <x v="0"/>
    <d v="2024-05-19T00:00:00"/>
    <x v="0"/>
    <n v="2707.72"/>
    <n v="15"/>
    <x v="5"/>
    <n v="1218.47"/>
    <x v="416"/>
    <n v="6904.69"/>
    <x v="9"/>
    <n v="2024"/>
  </r>
  <r>
    <s v="TXN00418"/>
    <x v="7"/>
    <x v="4"/>
    <x v="19"/>
    <x v="2"/>
    <d v="2024-08-16T00:00:00"/>
    <x v="9"/>
    <n v="8828.91"/>
    <n v="15"/>
    <x v="5"/>
    <n v="13243.36"/>
    <x v="417"/>
    <n v="75045.740000000005"/>
    <x v="0"/>
    <n v="2024"/>
  </r>
  <r>
    <s v="TXN00419"/>
    <x v="7"/>
    <x v="3"/>
    <x v="20"/>
    <x v="4"/>
    <d v="2025-12-19T00:00:00"/>
    <x v="9"/>
    <n v="3841.92"/>
    <n v="20"/>
    <x v="1"/>
    <n v="7683.84"/>
    <x v="418"/>
    <n v="30735.360000000001"/>
    <x v="3"/>
    <n v="2025"/>
  </r>
  <r>
    <s v="TXN00420"/>
    <x v="12"/>
    <x v="0"/>
    <x v="6"/>
    <x v="0"/>
    <d v="2025-10-16T00:00:00"/>
    <x v="9"/>
    <n v="25465.759999999998"/>
    <n v="15"/>
    <x v="0"/>
    <n v="38198.639999999999"/>
    <x v="419"/>
    <n v="216458.96"/>
    <x v="4"/>
    <n v="2025"/>
  </r>
  <r>
    <s v="TXN00421"/>
    <x v="0"/>
    <x v="1"/>
    <x v="4"/>
    <x v="1"/>
    <d v="2024-12-21T00:00:00"/>
    <x v="3"/>
    <n v="8289.35"/>
    <n v="0"/>
    <x v="0"/>
    <n v="0"/>
    <x v="420"/>
    <n v="49736.1"/>
    <x v="3"/>
    <n v="2024"/>
  </r>
  <r>
    <s v="TXN00422"/>
    <x v="13"/>
    <x v="3"/>
    <x v="16"/>
    <x v="0"/>
    <d v="2024-09-12T00:00:00"/>
    <x v="5"/>
    <n v="1481.43"/>
    <n v="0"/>
    <x v="0"/>
    <n v="0"/>
    <x v="421"/>
    <n v="2962.86"/>
    <x v="7"/>
    <n v="2024"/>
  </r>
  <r>
    <s v="TXN00423"/>
    <x v="1"/>
    <x v="0"/>
    <x v="0"/>
    <x v="5"/>
    <d v="2024-06-19T00:00:00"/>
    <x v="4"/>
    <n v="66512.58"/>
    <n v="15"/>
    <x v="2"/>
    <n v="69838.210000000006"/>
    <x v="422"/>
    <n v="395749.85"/>
    <x v="5"/>
    <n v="2024"/>
  </r>
  <r>
    <s v="TXN00424"/>
    <x v="1"/>
    <x v="3"/>
    <x v="21"/>
    <x v="1"/>
    <d v="2025-08-14T00:00:00"/>
    <x v="1"/>
    <n v="2351.66"/>
    <n v="0"/>
    <x v="6"/>
    <n v="0"/>
    <x v="423"/>
    <n v="9406.64"/>
    <x v="0"/>
    <n v="2025"/>
  </r>
  <r>
    <s v="TXN00425"/>
    <x v="13"/>
    <x v="0"/>
    <x v="3"/>
    <x v="0"/>
    <d v="2024-04-17T00:00:00"/>
    <x v="5"/>
    <n v="17738.14"/>
    <n v="15"/>
    <x v="4"/>
    <n v="5321.44"/>
    <x v="424"/>
    <n v="30154.84"/>
    <x v="1"/>
    <n v="2024"/>
  </r>
  <r>
    <s v="TXN00426"/>
    <x v="9"/>
    <x v="1"/>
    <x v="12"/>
    <x v="1"/>
    <d v="2025-08-31T00:00:00"/>
    <x v="9"/>
    <n v="6739.84"/>
    <n v="0"/>
    <x v="5"/>
    <n v="0"/>
    <x v="425"/>
    <n v="67398.399999999994"/>
    <x v="0"/>
    <n v="2025"/>
  </r>
  <r>
    <s v="TXN00427"/>
    <x v="12"/>
    <x v="4"/>
    <x v="18"/>
    <x v="5"/>
    <d v="2024-02-24T00:00:00"/>
    <x v="5"/>
    <n v="11793.28"/>
    <n v="5"/>
    <x v="3"/>
    <n v="1179.33"/>
    <x v="426"/>
    <n v="22407.23"/>
    <x v="2"/>
    <n v="2024"/>
  </r>
  <r>
    <s v="TXN00428"/>
    <x v="0"/>
    <x v="4"/>
    <x v="14"/>
    <x v="2"/>
    <d v="2025-11-07T00:00:00"/>
    <x v="7"/>
    <n v="1607.68"/>
    <n v="0"/>
    <x v="4"/>
    <n v="0"/>
    <x v="427"/>
    <n v="8038.4"/>
    <x v="8"/>
    <n v="2025"/>
  </r>
  <r>
    <s v="TXN00429"/>
    <x v="12"/>
    <x v="0"/>
    <x v="24"/>
    <x v="6"/>
    <d v="2024-06-06T00:00:00"/>
    <x v="8"/>
    <n v="6931.45"/>
    <n v="15"/>
    <x v="6"/>
    <n v="1039.72"/>
    <x v="428"/>
    <n v="5891.73"/>
    <x v="5"/>
    <n v="2024"/>
  </r>
  <r>
    <s v="TXN00430"/>
    <x v="4"/>
    <x v="0"/>
    <x v="3"/>
    <x v="2"/>
    <d v="2024-07-23T00:00:00"/>
    <x v="5"/>
    <n v="16315.81"/>
    <n v="5"/>
    <x v="6"/>
    <n v="1631.58"/>
    <x v="429"/>
    <n v="31000.04"/>
    <x v="11"/>
    <n v="2024"/>
  </r>
  <r>
    <s v="TXN00431"/>
    <x v="11"/>
    <x v="3"/>
    <x v="15"/>
    <x v="3"/>
    <d v="2024-11-11T00:00:00"/>
    <x v="4"/>
    <n v="895.61"/>
    <n v="10"/>
    <x v="7"/>
    <n v="626.92999999999995"/>
    <x v="430"/>
    <n v="5642.34"/>
    <x v="8"/>
    <n v="2024"/>
  </r>
  <r>
    <s v="TXN00432"/>
    <x v="1"/>
    <x v="0"/>
    <x v="1"/>
    <x v="4"/>
    <d v="2025-01-25T00:00:00"/>
    <x v="3"/>
    <n v="2839.94"/>
    <n v="0"/>
    <x v="5"/>
    <n v="0"/>
    <x v="431"/>
    <n v="17039.64"/>
    <x v="10"/>
    <n v="2025"/>
  </r>
  <r>
    <s v="TXN00433"/>
    <x v="11"/>
    <x v="3"/>
    <x v="16"/>
    <x v="0"/>
    <d v="2024-10-02T00:00:00"/>
    <x v="9"/>
    <n v="1510.43"/>
    <n v="0"/>
    <x v="0"/>
    <n v="0"/>
    <x v="432"/>
    <n v="15104.3"/>
    <x v="4"/>
    <n v="2024"/>
  </r>
  <r>
    <s v="TXN00434"/>
    <x v="10"/>
    <x v="0"/>
    <x v="3"/>
    <x v="6"/>
    <d v="2025-08-26T00:00:00"/>
    <x v="1"/>
    <n v="18691.21"/>
    <n v="15"/>
    <x v="2"/>
    <n v="11214.73"/>
    <x v="433"/>
    <n v="63550.11"/>
    <x v="0"/>
    <n v="2025"/>
  </r>
  <r>
    <s v="TXN00435"/>
    <x v="9"/>
    <x v="2"/>
    <x v="9"/>
    <x v="2"/>
    <d v="2025-08-09T00:00:00"/>
    <x v="1"/>
    <n v="4585.8"/>
    <n v="0"/>
    <x v="6"/>
    <n v="0"/>
    <x v="434"/>
    <n v="18343.2"/>
    <x v="0"/>
    <n v="2025"/>
  </r>
  <r>
    <s v="TXN00436"/>
    <x v="9"/>
    <x v="4"/>
    <x v="17"/>
    <x v="6"/>
    <d v="2024-05-03T00:00:00"/>
    <x v="2"/>
    <n v="3301.27"/>
    <n v="5"/>
    <x v="3"/>
    <n v="1320.51"/>
    <x v="435"/>
    <n v="25089.65"/>
    <x v="9"/>
    <n v="2024"/>
  </r>
  <r>
    <s v="TXN00437"/>
    <x v="7"/>
    <x v="1"/>
    <x v="13"/>
    <x v="1"/>
    <d v="2024-03-21T00:00:00"/>
    <x v="4"/>
    <n v="11405.76"/>
    <n v="5"/>
    <x v="2"/>
    <n v="3992.02"/>
    <x v="436"/>
    <n v="75848.3"/>
    <x v="6"/>
    <n v="2024"/>
  </r>
  <r>
    <s v="TXN00438"/>
    <x v="3"/>
    <x v="2"/>
    <x v="22"/>
    <x v="2"/>
    <d v="2024-03-30T00:00:00"/>
    <x v="4"/>
    <n v="935.18"/>
    <n v="20"/>
    <x v="7"/>
    <n v="1309.25"/>
    <x v="437"/>
    <n v="5237.01"/>
    <x v="6"/>
    <n v="2024"/>
  </r>
  <r>
    <s v="TXN00439"/>
    <x v="9"/>
    <x v="3"/>
    <x v="20"/>
    <x v="5"/>
    <d v="2025-12-18T00:00:00"/>
    <x v="9"/>
    <n v="4030.54"/>
    <n v="15"/>
    <x v="1"/>
    <n v="6045.81"/>
    <x v="438"/>
    <n v="34259.589999999997"/>
    <x v="3"/>
    <n v="2025"/>
  </r>
  <r>
    <s v="TXN00440"/>
    <x v="7"/>
    <x v="0"/>
    <x v="24"/>
    <x v="4"/>
    <d v="2024-04-18T00:00:00"/>
    <x v="9"/>
    <n v="7664.2"/>
    <n v="10"/>
    <x v="7"/>
    <n v="7664.2"/>
    <x v="439"/>
    <n v="68977.8"/>
    <x v="1"/>
    <n v="2024"/>
  </r>
  <r>
    <s v="TXN00441"/>
    <x v="14"/>
    <x v="2"/>
    <x v="22"/>
    <x v="5"/>
    <d v="2025-01-27T00:00:00"/>
    <x v="2"/>
    <n v="938.71"/>
    <n v="15"/>
    <x v="4"/>
    <n v="1126.45"/>
    <x v="440"/>
    <n v="6383.23"/>
    <x v="10"/>
    <n v="2025"/>
  </r>
  <r>
    <s v="TXN00442"/>
    <x v="5"/>
    <x v="0"/>
    <x v="6"/>
    <x v="5"/>
    <d v="2025-09-25T00:00:00"/>
    <x v="9"/>
    <n v="26755.08"/>
    <n v="15"/>
    <x v="3"/>
    <n v="40132.620000000003"/>
    <x v="441"/>
    <n v="227418.18"/>
    <x v="7"/>
    <n v="2025"/>
  </r>
  <r>
    <s v="TXN00443"/>
    <x v="14"/>
    <x v="0"/>
    <x v="24"/>
    <x v="0"/>
    <d v="2024-02-20T00:00:00"/>
    <x v="2"/>
    <n v="7911.46"/>
    <n v="10"/>
    <x v="0"/>
    <n v="6329.17"/>
    <x v="442"/>
    <n v="56962.51"/>
    <x v="2"/>
    <n v="2024"/>
  </r>
  <r>
    <s v="TXN00444"/>
    <x v="4"/>
    <x v="0"/>
    <x v="3"/>
    <x v="3"/>
    <d v="2024-11-14T00:00:00"/>
    <x v="7"/>
    <n v="21992.09"/>
    <n v="0"/>
    <x v="4"/>
    <n v="0"/>
    <x v="443"/>
    <n v="109960.45"/>
    <x v="8"/>
    <n v="2024"/>
  </r>
  <r>
    <s v="TXN00445"/>
    <x v="5"/>
    <x v="1"/>
    <x v="13"/>
    <x v="2"/>
    <d v="2024-11-24T00:00:00"/>
    <x v="7"/>
    <n v="14285.04"/>
    <n v="20"/>
    <x v="6"/>
    <n v="14285.04"/>
    <x v="444"/>
    <n v="57140.160000000003"/>
    <x v="8"/>
    <n v="2024"/>
  </r>
  <r>
    <s v="TXN00446"/>
    <x v="11"/>
    <x v="0"/>
    <x v="6"/>
    <x v="4"/>
    <d v="2025-05-11T00:00:00"/>
    <x v="6"/>
    <n v="27919.93"/>
    <n v="0"/>
    <x v="2"/>
    <n v="0"/>
    <x v="445"/>
    <n v="251279.37"/>
    <x v="9"/>
    <n v="2025"/>
  </r>
  <r>
    <s v="TXN00447"/>
    <x v="6"/>
    <x v="2"/>
    <x v="5"/>
    <x v="0"/>
    <d v="2024-05-18T00:00:00"/>
    <x v="6"/>
    <n v="1343.8"/>
    <n v="0"/>
    <x v="2"/>
    <n v="0"/>
    <x v="446"/>
    <n v="12094.2"/>
    <x v="9"/>
    <n v="2024"/>
  </r>
  <r>
    <s v="TXN00448"/>
    <x v="14"/>
    <x v="1"/>
    <x v="13"/>
    <x v="3"/>
    <d v="2024-02-29T00:00:00"/>
    <x v="1"/>
    <n v="10899.21"/>
    <n v="0"/>
    <x v="0"/>
    <n v="0"/>
    <x v="447"/>
    <n v="43596.84"/>
    <x v="2"/>
    <n v="2024"/>
  </r>
  <r>
    <s v="TXN00449"/>
    <x v="5"/>
    <x v="3"/>
    <x v="7"/>
    <x v="0"/>
    <d v="2025-06-01T00:00:00"/>
    <x v="4"/>
    <n v="1905.93"/>
    <n v="0"/>
    <x v="6"/>
    <n v="0"/>
    <x v="448"/>
    <n v="13341.51"/>
    <x v="5"/>
    <n v="2025"/>
  </r>
  <r>
    <s v="TXN00450"/>
    <x v="3"/>
    <x v="0"/>
    <x v="6"/>
    <x v="5"/>
    <d v="2024-06-30T00:00:00"/>
    <x v="2"/>
    <n v="26168"/>
    <n v="10"/>
    <x v="6"/>
    <n v="20934.400000000001"/>
    <x v="449"/>
    <n v="188409.60000000001"/>
    <x v="5"/>
    <n v="2024"/>
  </r>
  <r>
    <s v="TXN00451"/>
    <x v="4"/>
    <x v="3"/>
    <x v="7"/>
    <x v="0"/>
    <d v="2024-10-18T00:00:00"/>
    <x v="8"/>
    <n v="1973.35"/>
    <n v="5"/>
    <x v="7"/>
    <n v="98.67"/>
    <x v="450"/>
    <n v="1874.68"/>
    <x v="4"/>
    <n v="2024"/>
  </r>
  <r>
    <s v="TXN00452"/>
    <x v="4"/>
    <x v="2"/>
    <x v="5"/>
    <x v="4"/>
    <d v="2025-11-24T00:00:00"/>
    <x v="1"/>
    <n v="1276.8"/>
    <n v="15"/>
    <x v="0"/>
    <n v="766.08"/>
    <x v="451"/>
    <n v="4341.12"/>
    <x v="8"/>
    <n v="2025"/>
  </r>
  <r>
    <s v="TXN00453"/>
    <x v="4"/>
    <x v="2"/>
    <x v="10"/>
    <x v="3"/>
    <d v="2025-04-30T00:00:00"/>
    <x v="0"/>
    <n v="2654.61"/>
    <n v="20"/>
    <x v="1"/>
    <n v="1592.77"/>
    <x v="452"/>
    <n v="6371.06"/>
    <x v="1"/>
    <n v="2025"/>
  </r>
  <r>
    <s v="TXN00454"/>
    <x v="5"/>
    <x v="0"/>
    <x v="6"/>
    <x v="6"/>
    <d v="2025-12-30T00:00:00"/>
    <x v="7"/>
    <n v="27663.67"/>
    <n v="15"/>
    <x v="4"/>
    <n v="20747.75"/>
    <x v="453"/>
    <n v="117570.6"/>
    <x v="3"/>
    <n v="2025"/>
  </r>
  <r>
    <s v="TXN00455"/>
    <x v="5"/>
    <x v="3"/>
    <x v="16"/>
    <x v="4"/>
    <d v="2024-11-05T00:00:00"/>
    <x v="6"/>
    <n v="1825.03"/>
    <n v="15"/>
    <x v="6"/>
    <n v="2463.79"/>
    <x v="454"/>
    <n v="13961.48"/>
    <x v="8"/>
    <n v="2024"/>
  </r>
  <r>
    <s v="TXN00456"/>
    <x v="13"/>
    <x v="2"/>
    <x v="10"/>
    <x v="6"/>
    <d v="2025-07-28T00:00:00"/>
    <x v="9"/>
    <n v="2630.66"/>
    <n v="10"/>
    <x v="5"/>
    <n v="2630.66"/>
    <x v="455"/>
    <n v="23675.94"/>
    <x v="11"/>
    <n v="2025"/>
  </r>
  <r>
    <s v="TXN00457"/>
    <x v="6"/>
    <x v="0"/>
    <x v="24"/>
    <x v="0"/>
    <d v="2025-10-17T00:00:00"/>
    <x v="3"/>
    <n v="8588.3700000000008"/>
    <n v="10"/>
    <x v="4"/>
    <n v="5153.0200000000004"/>
    <x v="456"/>
    <n v="46377.2"/>
    <x v="4"/>
    <n v="2025"/>
  </r>
  <r>
    <s v="TXN00458"/>
    <x v="7"/>
    <x v="3"/>
    <x v="7"/>
    <x v="6"/>
    <d v="2024-02-28T00:00:00"/>
    <x v="9"/>
    <n v="1801.84"/>
    <n v="10"/>
    <x v="0"/>
    <n v="1801.84"/>
    <x v="457"/>
    <n v="16216.56"/>
    <x v="2"/>
    <n v="2024"/>
  </r>
  <r>
    <s v="TXN00459"/>
    <x v="8"/>
    <x v="1"/>
    <x v="12"/>
    <x v="5"/>
    <d v="2024-09-22T00:00:00"/>
    <x v="4"/>
    <n v="6006.9"/>
    <n v="0"/>
    <x v="4"/>
    <n v="0"/>
    <x v="458"/>
    <n v="42048.3"/>
    <x v="7"/>
    <n v="2024"/>
  </r>
  <r>
    <s v="TXN00460"/>
    <x v="4"/>
    <x v="2"/>
    <x v="11"/>
    <x v="4"/>
    <d v="2025-12-31T00:00:00"/>
    <x v="1"/>
    <n v="5893.69"/>
    <n v="15"/>
    <x v="5"/>
    <n v="3536.21"/>
    <x v="459"/>
    <n v="20038.55"/>
    <x v="3"/>
    <n v="2025"/>
  </r>
  <r>
    <s v="TXN00461"/>
    <x v="5"/>
    <x v="3"/>
    <x v="21"/>
    <x v="3"/>
    <d v="2025-11-04T00:00:00"/>
    <x v="6"/>
    <n v="2599.5300000000002"/>
    <n v="0"/>
    <x v="3"/>
    <n v="0"/>
    <x v="460"/>
    <n v="23395.77"/>
    <x v="8"/>
    <n v="2025"/>
  </r>
  <r>
    <s v="TXN00462"/>
    <x v="0"/>
    <x v="4"/>
    <x v="18"/>
    <x v="0"/>
    <d v="2025-11-27T00:00:00"/>
    <x v="3"/>
    <n v="14039.63"/>
    <n v="5"/>
    <x v="3"/>
    <n v="4211.8900000000003"/>
    <x v="461"/>
    <n v="80025.89"/>
    <x v="8"/>
    <n v="2025"/>
  </r>
  <r>
    <s v="TXN00463"/>
    <x v="0"/>
    <x v="3"/>
    <x v="7"/>
    <x v="3"/>
    <d v="2025-03-06T00:00:00"/>
    <x v="3"/>
    <n v="1787.26"/>
    <n v="20"/>
    <x v="4"/>
    <n v="2144.71"/>
    <x v="462"/>
    <n v="8578.85"/>
    <x v="6"/>
    <n v="2025"/>
  </r>
  <r>
    <s v="TXN00464"/>
    <x v="4"/>
    <x v="3"/>
    <x v="16"/>
    <x v="1"/>
    <d v="2024-02-24T00:00:00"/>
    <x v="9"/>
    <n v="1567.62"/>
    <n v="20"/>
    <x v="6"/>
    <n v="3135.24"/>
    <x v="463"/>
    <n v="12540.96"/>
    <x v="2"/>
    <n v="2024"/>
  </r>
  <r>
    <s v="TXN00465"/>
    <x v="14"/>
    <x v="0"/>
    <x v="24"/>
    <x v="4"/>
    <d v="2025-11-28T00:00:00"/>
    <x v="4"/>
    <n v="7949.94"/>
    <n v="15"/>
    <x v="7"/>
    <n v="8347.44"/>
    <x v="464"/>
    <n v="47302.14"/>
    <x v="8"/>
    <n v="2025"/>
  </r>
  <r>
    <s v="TXN00466"/>
    <x v="7"/>
    <x v="0"/>
    <x v="6"/>
    <x v="4"/>
    <d v="2025-02-23T00:00:00"/>
    <x v="9"/>
    <n v="28080.28"/>
    <n v="15"/>
    <x v="5"/>
    <n v="42120.42"/>
    <x v="465"/>
    <n v="238682.38"/>
    <x v="2"/>
    <n v="2025"/>
  </r>
  <r>
    <s v="TXN00467"/>
    <x v="4"/>
    <x v="1"/>
    <x v="4"/>
    <x v="2"/>
    <d v="2024-03-23T00:00:00"/>
    <x v="2"/>
    <n v="7865.26"/>
    <n v="5"/>
    <x v="3"/>
    <n v="3146.1"/>
    <x v="466"/>
    <n v="59775.98"/>
    <x v="6"/>
    <n v="2024"/>
  </r>
  <r>
    <s v="TXN00468"/>
    <x v="13"/>
    <x v="3"/>
    <x v="15"/>
    <x v="5"/>
    <d v="2024-08-02T00:00:00"/>
    <x v="0"/>
    <n v="835.26"/>
    <n v="5"/>
    <x v="4"/>
    <n v="125.29"/>
    <x v="467"/>
    <n v="2380.4899999999998"/>
    <x v="0"/>
    <n v="2024"/>
  </r>
  <r>
    <s v="TXN00469"/>
    <x v="7"/>
    <x v="4"/>
    <x v="17"/>
    <x v="6"/>
    <d v="2025-10-10T00:00:00"/>
    <x v="4"/>
    <n v="3853.27"/>
    <n v="15"/>
    <x v="2"/>
    <n v="4045.93"/>
    <x v="468"/>
    <n v="22926.959999999999"/>
    <x v="4"/>
    <n v="2025"/>
  </r>
  <r>
    <s v="TXN00470"/>
    <x v="13"/>
    <x v="4"/>
    <x v="17"/>
    <x v="6"/>
    <d v="2025-01-17T00:00:00"/>
    <x v="8"/>
    <n v="3930.51"/>
    <n v="20"/>
    <x v="0"/>
    <n v="786.1"/>
    <x v="469"/>
    <n v="3144.41"/>
    <x v="10"/>
    <n v="2025"/>
  </r>
  <r>
    <s v="TXN00471"/>
    <x v="8"/>
    <x v="1"/>
    <x v="12"/>
    <x v="1"/>
    <d v="2024-08-19T00:00:00"/>
    <x v="3"/>
    <n v="5868.14"/>
    <n v="0"/>
    <x v="0"/>
    <n v="0"/>
    <x v="470"/>
    <n v="35208.839999999997"/>
    <x v="0"/>
    <n v="2024"/>
  </r>
  <r>
    <s v="TXN00472"/>
    <x v="12"/>
    <x v="4"/>
    <x v="14"/>
    <x v="0"/>
    <d v="2024-03-07T00:00:00"/>
    <x v="8"/>
    <n v="1461.83"/>
    <n v="10"/>
    <x v="3"/>
    <n v="146.18"/>
    <x v="471"/>
    <n v="1315.65"/>
    <x v="6"/>
    <n v="2024"/>
  </r>
  <r>
    <s v="TXN00473"/>
    <x v="12"/>
    <x v="4"/>
    <x v="14"/>
    <x v="6"/>
    <d v="2025-03-20T00:00:00"/>
    <x v="0"/>
    <n v="1478.52"/>
    <n v="15"/>
    <x v="5"/>
    <n v="665.33"/>
    <x v="472"/>
    <n v="3770.23"/>
    <x v="6"/>
    <n v="2025"/>
  </r>
  <r>
    <s v="TXN00474"/>
    <x v="7"/>
    <x v="3"/>
    <x v="7"/>
    <x v="3"/>
    <d v="2024-01-20T00:00:00"/>
    <x v="1"/>
    <n v="1720.94"/>
    <n v="5"/>
    <x v="2"/>
    <n v="344.19"/>
    <x v="473"/>
    <n v="6539.57"/>
    <x v="10"/>
    <n v="2024"/>
  </r>
  <r>
    <s v="TXN00475"/>
    <x v="12"/>
    <x v="1"/>
    <x v="12"/>
    <x v="6"/>
    <d v="2024-05-06T00:00:00"/>
    <x v="3"/>
    <n v="6466.67"/>
    <n v="0"/>
    <x v="3"/>
    <n v="0"/>
    <x v="474"/>
    <n v="38800.019999999997"/>
    <x v="9"/>
    <n v="2024"/>
  </r>
  <r>
    <s v="TXN00476"/>
    <x v="10"/>
    <x v="4"/>
    <x v="19"/>
    <x v="6"/>
    <d v="2025-08-31T00:00:00"/>
    <x v="8"/>
    <n v="8523.94"/>
    <n v="0"/>
    <x v="1"/>
    <n v="0"/>
    <x v="475"/>
    <n v="8523.94"/>
    <x v="0"/>
    <n v="2025"/>
  </r>
  <r>
    <s v="TXN00477"/>
    <x v="1"/>
    <x v="0"/>
    <x v="0"/>
    <x v="5"/>
    <d v="2024-05-06T00:00:00"/>
    <x v="6"/>
    <n v="62607"/>
    <n v="5"/>
    <x v="2"/>
    <n v="28173.15"/>
    <x v="476"/>
    <n v="535289.85"/>
    <x v="9"/>
    <n v="2024"/>
  </r>
  <r>
    <s v="TXN00478"/>
    <x v="5"/>
    <x v="1"/>
    <x v="12"/>
    <x v="5"/>
    <d v="2025-11-09T00:00:00"/>
    <x v="6"/>
    <n v="6385.46"/>
    <n v="20"/>
    <x v="7"/>
    <n v="11493.83"/>
    <x v="477"/>
    <n v="45975.31"/>
    <x v="8"/>
    <n v="2025"/>
  </r>
  <r>
    <s v="TXN00479"/>
    <x v="4"/>
    <x v="1"/>
    <x v="2"/>
    <x v="1"/>
    <d v="2024-10-16T00:00:00"/>
    <x v="5"/>
    <n v="30145.23"/>
    <n v="15"/>
    <x v="7"/>
    <n v="9043.57"/>
    <x v="478"/>
    <n v="51246.89"/>
    <x v="4"/>
    <n v="2024"/>
  </r>
  <r>
    <s v="TXN00480"/>
    <x v="2"/>
    <x v="1"/>
    <x v="8"/>
    <x v="3"/>
    <d v="2025-06-19T00:00:00"/>
    <x v="1"/>
    <n v="39579.22"/>
    <n v="15"/>
    <x v="4"/>
    <n v="23747.53"/>
    <x v="479"/>
    <n v="134569.35"/>
    <x v="5"/>
    <n v="2025"/>
  </r>
  <r>
    <s v="TXN00481"/>
    <x v="13"/>
    <x v="3"/>
    <x v="7"/>
    <x v="6"/>
    <d v="2024-07-31T00:00:00"/>
    <x v="2"/>
    <n v="1768.77"/>
    <n v="0"/>
    <x v="6"/>
    <n v="0"/>
    <x v="480"/>
    <n v="14150.16"/>
    <x v="11"/>
    <n v="2024"/>
  </r>
  <r>
    <s v="TXN00482"/>
    <x v="14"/>
    <x v="0"/>
    <x v="0"/>
    <x v="1"/>
    <d v="2024-06-01T00:00:00"/>
    <x v="5"/>
    <n v="71167.3"/>
    <n v="0"/>
    <x v="6"/>
    <n v="0"/>
    <x v="481"/>
    <n v="142334.6"/>
    <x v="5"/>
    <n v="2024"/>
  </r>
  <r>
    <s v="TXN00483"/>
    <x v="8"/>
    <x v="0"/>
    <x v="3"/>
    <x v="4"/>
    <d v="2024-10-30T00:00:00"/>
    <x v="7"/>
    <n v="20118.169999999998"/>
    <n v="0"/>
    <x v="6"/>
    <n v="0"/>
    <x v="482"/>
    <n v="100590.85"/>
    <x v="4"/>
    <n v="2024"/>
  </r>
  <r>
    <s v="TXN00484"/>
    <x v="4"/>
    <x v="1"/>
    <x v="12"/>
    <x v="0"/>
    <d v="2025-11-24T00:00:00"/>
    <x v="3"/>
    <n v="6642.89"/>
    <n v="0"/>
    <x v="5"/>
    <n v="0"/>
    <x v="483"/>
    <n v="39857.339999999997"/>
    <x v="8"/>
    <n v="2025"/>
  </r>
  <r>
    <s v="TXN00485"/>
    <x v="13"/>
    <x v="0"/>
    <x v="0"/>
    <x v="3"/>
    <d v="2025-11-10T00:00:00"/>
    <x v="0"/>
    <n v="70224.81"/>
    <n v="15"/>
    <x v="3"/>
    <n v="31601.16"/>
    <x v="484"/>
    <n v="179073.27"/>
    <x v="8"/>
    <n v="2025"/>
  </r>
  <r>
    <s v="TXN00486"/>
    <x v="14"/>
    <x v="2"/>
    <x v="22"/>
    <x v="2"/>
    <d v="2025-01-16T00:00:00"/>
    <x v="3"/>
    <n v="851.15"/>
    <n v="15"/>
    <x v="7"/>
    <n v="766.03"/>
    <x v="485"/>
    <n v="4340.87"/>
    <x v="10"/>
    <n v="2025"/>
  </r>
  <r>
    <s v="TXN00487"/>
    <x v="5"/>
    <x v="4"/>
    <x v="23"/>
    <x v="3"/>
    <d v="2025-12-07T00:00:00"/>
    <x v="2"/>
    <n v="12099.72"/>
    <n v="5"/>
    <x v="2"/>
    <n v="4839.8900000000003"/>
    <x v="486"/>
    <n v="91957.87"/>
    <x v="3"/>
    <n v="2025"/>
  </r>
  <r>
    <s v="TXN00488"/>
    <x v="0"/>
    <x v="0"/>
    <x v="6"/>
    <x v="2"/>
    <d v="2024-06-12T00:00:00"/>
    <x v="5"/>
    <n v="25100.17"/>
    <n v="20"/>
    <x v="1"/>
    <n v="10040.07"/>
    <x v="487"/>
    <n v="40160.269999999997"/>
    <x v="5"/>
    <n v="2024"/>
  </r>
  <r>
    <s v="TXN00489"/>
    <x v="8"/>
    <x v="4"/>
    <x v="14"/>
    <x v="5"/>
    <d v="2025-09-17T00:00:00"/>
    <x v="4"/>
    <n v="1642.19"/>
    <n v="20"/>
    <x v="3"/>
    <n v="2299.0700000000002"/>
    <x v="488"/>
    <n v="9196.26"/>
    <x v="7"/>
    <n v="2025"/>
  </r>
  <r>
    <s v="TXN00490"/>
    <x v="11"/>
    <x v="0"/>
    <x v="6"/>
    <x v="5"/>
    <d v="2025-02-25T00:00:00"/>
    <x v="2"/>
    <n v="22787.33"/>
    <n v="10"/>
    <x v="7"/>
    <n v="18229.86"/>
    <x v="489"/>
    <n v="164068.78"/>
    <x v="2"/>
    <n v="2025"/>
  </r>
  <r>
    <s v="TXN00491"/>
    <x v="0"/>
    <x v="3"/>
    <x v="15"/>
    <x v="3"/>
    <d v="2025-11-16T00:00:00"/>
    <x v="3"/>
    <n v="906.2"/>
    <n v="20"/>
    <x v="0"/>
    <n v="1087.44"/>
    <x v="490"/>
    <n v="4349.76"/>
    <x v="8"/>
    <n v="2025"/>
  </r>
  <r>
    <s v="TXN00492"/>
    <x v="8"/>
    <x v="0"/>
    <x v="24"/>
    <x v="2"/>
    <d v="2025-05-08T00:00:00"/>
    <x v="3"/>
    <n v="7461.49"/>
    <n v="15"/>
    <x v="0"/>
    <n v="6715.34"/>
    <x v="491"/>
    <n v="38053.599999999999"/>
    <x v="9"/>
    <n v="2025"/>
  </r>
  <r>
    <s v="TXN00493"/>
    <x v="14"/>
    <x v="1"/>
    <x v="8"/>
    <x v="6"/>
    <d v="2024-01-12T00:00:00"/>
    <x v="0"/>
    <n v="41055.68"/>
    <n v="15"/>
    <x v="1"/>
    <n v="18475.060000000001"/>
    <x v="492"/>
    <n v="104691.98"/>
    <x v="10"/>
    <n v="2024"/>
  </r>
  <r>
    <s v="TXN00494"/>
    <x v="6"/>
    <x v="4"/>
    <x v="18"/>
    <x v="3"/>
    <d v="2024-11-24T00:00:00"/>
    <x v="1"/>
    <n v="12971.95"/>
    <n v="10"/>
    <x v="6"/>
    <n v="5188.78"/>
    <x v="493"/>
    <n v="46699.02"/>
    <x v="8"/>
    <n v="2024"/>
  </r>
  <r>
    <s v="TXN00495"/>
    <x v="2"/>
    <x v="0"/>
    <x v="1"/>
    <x v="6"/>
    <d v="2025-02-16T00:00:00"/>
    <x v="1"/>
    <n v="2759.12"/>
    <n v="15"/>
    <x v="2"/>
    <n v="1655.47"/>
    <x v="494"/>
    <n v="9381.01"/>
    <x v="2"/>
    <n v="2025"/>
  </r>
  <r>
    <s v="TXN00496"/>
    <x v="6"/>
    <x v="2"/>
    <x v="9"/>
    <x v="3"/>
    <d v="2025-04-02T00:00:00"/>
    <x v="3"/>
    <n v="4183.55"/>
    <n v="15"/>
    <x v="6"/>
    <n v="3765.19"/>
    <x v="495"/>
    <n v="21336.11"/>
    <x v="1"/>
    <n v="2025"/>
  </r>
  <r>
    <s v="TXN00497"/>
    <x v="1"/>
    <x v="0"/>
    <x v="0"/>
    <x v="5"/>
    <d v="2025-07-24T00:00:00"/>
    <x v="6"/>
    <n v="58502.76"/>
    <n v="0"/>
    <x v="1"/>
    <n v="0"/>
    <x v="496"/>
    <n v="526524.84"/>
    <x v="11"/>
    <n v="2025"/>
  </r>
  <r>
    <s v="TXN00498"/>
    <x v="8"/>
    <x v="2"/>
    <x v="11"/>
    <x v="0"/>
    <d v="2025-11-01T00:00:00"/>
    <x v="2"/>
    <n v="6256.74"/>
    <n v="10"/>
    <x v="0"/>
    <n v="5005.3900000000003"/>
    <x v="497"/>
    <n v="45048.53"/>
    <x v="8"/>
    <n v="2025"/>
  </r>
  <r>
    <s v="TXN00499"/>
    <x v="4"/>
    <x v="0"/>
    <x v="6"/>
    <x v="5"/>
    <d v="2025-07-27T00:00:00"/>
    <x v="9"/>
    <n v="26249.69"/>
    <n v="10"/>
    <x v="5"/>
    <n v="26249.69"/>
    <x v="498"/>
    <n v="236247.21"/>
    <x v="11"/>
    <n v="2025"/>
  </r>
  <r>
    <s v="TXN00500"/>
    <x v="6"/>
    <x v="4"/>
    <x v="17"/>
    <x v="3"/>
    <d v="2024-01-03T00:00:00"/>
    <x v="3"/>
    <n v="3460.75"/>
    <n v="10"/>
    <x v="0"/>
    <n v="2076.4499999999998"/>
    <x v="499"/>
    <n v="18688.05"/>
    <x v="10"/>
    <n v="2024"/>
  </r>
  <r>
    <s v="TXN00501"/>
    <x v="3"/>
    <x v="2"/>
    <x v="11"/>
    <x v="2"/>
    <d v="2024-02-16T00:00:00"/>
    <x v="0"/>
    <n v="5115.53"/>
    <n v="15"/>
    <x v="7"/>
    <n v="2301.9899999999998"/>
    <x v="500"/>
    <n v="13044.6"/>
    <x v="2"/>
    <n v="2024"/>
  </r>
  <r>
    <s v="TXN00502"/>
    <x v="12"/>
    <x v="0"/>
    <x v="3"/>
    <x v="4"/>
    <d v="2024-05-03T00:00:00"/>
    <x v="4"/>
    <n v="17170.150000000001"/>
    <n v="5"/>
    <x v="0"/>
    <n v="6009.55"/>
    <x v="501"/>
    <n v="114181.5"/>
    <x v="9"/>
    <n v="2024"/>
  </r>
  <r>
    <s v="TXN00503"/>
    <x v="10"/>
    <x v="3"/>
    <x v="15"/>
    <x v="5"/>
    <d v="2025-10-10T00:00:00"/>
    <x v="9"/>
    <n v="819.11"/>
    <n v="15"/>
    <x v="1"/>
    <n v="1228.6600000000001"/>
    <x v="502"/>
    <n v="6962.44"/>
    <x v="4"/>
    <n v="2025"/>
  </r>
  <r>
    <s v="TXN00504"/>
    <x v="9"/>
    <x v="4"/>
    <x v="14"/>
    <x v="4"/>
    <d v="2024-01-05T00:00:00"/>
    <x v="6"/>
    <n v="1626.08"/>
    <n v="20"/>
    <x v="6"/>
    <n v="2926.94"/>
    <x v="503"/>
    <n v="11707.78"/>
    <x v="10"/>
    <n v="2024"/>
  </r>
  <r>
    <s v="TXN00505"/>
    <x v="11"/>
    <x v="4"/>
    <x v="14"/>
    <x v="6"/>
    <d v="2025-12-09T00:00:00"/>
    <x v="9"/>
    <n v="1556.63"/>
    <n v="5"/>
    <x v="3"/>
    <n v="778.32"/>
    <x v="504"/>
    <n v="14787.98"/>
    <x v="3"/>
    <n v="2025"/>
  </r>
  <r>
    <s v="TXN00506"/>
    <x v="8"/>
    <x v="0"/>
    <x v="24"/>
    <x v="6"/>
    <d v="2025-05-31T00:00:00"/>
    <x v="4"/>
    <n v="7032.66"/>
    <n v="20"/>
    <x v="5"/>
    <n v="9845.7199999999993"/>
    <x v="505"/>
    <n v="39382.9"/>
    <x v="9"/>
    <n v="2025"/>
  </r>
  <r>
    <s v="TXN00507"/>
    <x v="1"/>
    <x v="1"/>
    <x v="4"/>
    <x v="0"/>
    <d v="2025-04-08T00:00:00"/>
    <x v="0"/>
    <n v="7476.36"/>
    <n v="20"/>
    <x v="4"/>
    <n v="4485.82"/>
    <x v="506"/>
    <n v="17943.259999999998"/>
    <x v="1"/>
    <n v="2025"/>
  </r>
  <r>
    <s v="TXN00508"/>
    <x v="4"/>
    <x v="2"/>
    <x v="22"/>
    <x v="2"/>
    <d v="2025-12-29T00:00:00"/>
    <x v="6"/>
    <n v="1047.56"/>
    <n v="5"/>
    <x v="5"/>
    <n v="471.4"/>
    <x v="507"/>
    <n v="8956.64"/>
    <x v="3"/>
    <n v="2025"/>
  </r>
  <r>
    <s v="TXN00509"/>
    <x v="0"/>
    <x v="1"/>
    <x v="8"/>
    <x v="0"/>
    <d v="2025-11-19T00:00:00"/>
    <x v="0"/>
    <n v="50394.69"/>
    <n v="5"/>
    <x v="5"/>
    <n v="7559.2"/>
    <x v="508"/>
    <n v="143624.87"/>
    <x v="8"/>
    <n v="2025"/>
  </r>
  <r>
    <s v="TXN00510"/>
    <x v="0"/>
    <x v="2"/>
    <x v="11"/>
    <x v="2"/>
    <d v="2025-12-28T00:00:00"/>
    <x v="5"/>
    <n v="5996.07"/>
    <n v="20"/>
    <x v="5"/>
    <n v="2398.4299999999998"/>
    <x v="509"/>
    <n v="9593.7099999999991"/>
    <x v="3"/>
    <n v="2025"/>
  </r>
  <r>
    <s v="TXN00511"/>
    <x v="12"/>
    <x v="4"/>
    <x v="14"/>
    <x v="2"/>
    <d v="2025-11-21T00:00:00"/>
    <x v="6"/>
    <n v="1602.95"/>
    <n v="15"/>
    <x v="2"/>
    <n v="2163.98"/>
    <x v="510"/>
    <n v="12262.57"/>
    <x v="8"/>
    <n v="2025"/>
  </r>
  <r>
    <s v="TXN00512"/>
    <x v="6"/>
    <x v="0"/>
    <x v="1"/>
    <x v="1"/>
    <d v="2024-05-28T00:00:00"/>
    <x v="8"/>
    <n v="3202.69"/>
    <n v="5"/>
    <x v="2"/>
    <n v="160.13"/>
    <x v="511"/>
    <n v="3042.56"/>
    <x v="9"/>
    <n v="2024"/>
  </r>
  <r>
    <s v="TXN00513"/>
    <x v="5"/>
    <x v="3"/>
    <x v="7"/>
    <x v="2"/>
    <d v="2024-05-29T00:00:00"/>
    <x v="8"/>
    <n v="1930.77"/>
    <n v="10"/>
    <x v="4"/>
    <n v="193.08"/>
    <x v="512"/>
    <n v="1737.69"/>
    <x v="9"/>
    <n v="2024"/>
  </r>
  <r>
    <s v="TXN00514"/>
    <x v="13"/>
    <x v="1"/>
    <x v="8"/>
    <x v="0"/>
    <d v="2024-04-14T00:00:00"/>
    <x v="9"/>
    <n v="44680.35"/>
    <n v="20"/>
    <x v="6"/>
    <n v="89360.7"/>
    <x v="513"/>
    <n v="357442.8"/>
    <x v="1"/>
    <n v="2024"/>
  </r>
  <r>
    <s v="TXN00515"/>
    <x v="1"/>
    <x v="1"/>
    <x v="8"/>
    <x v="4"/>
    <d v="2025-12-10T00:00:00"/>
    <x v="8"/>
    <n v="49791.33"/>
    <n v="15"/>
    <x v="4"/>
    <n v="7468.7"/>
    <x v="514"/>
    <n v="42322.63"/>
    <x v="3"/>
    <n v="2025"/>
  </r>
  <r>
    <s v="TXN00516"/>
    <x v="9"/>
    <x v="4"/>
    <x v="19"/>
    <x v="1"/>
    <d v="2024-09-14T00:00:00"/>
    <x v="1"/>
    <n v="8441.1200000000008"/>
    <n v="15"/>
    <x v="1"/>
    <n v="5064.67"/>
    <x v="515"/>
    <n v="28699.81"/>
    <x v="7"/>
    <n v="2024"/>
  </r>
  <r>
    <s v="TXN00517"/>
    <x v="10"/>
    <x v="1"/>
    <x v="4"/>
    <x v="6"/>
    <d v="2024-07-17T00:00:00"/>
    <x v="7"/>
    <n v="8097.63"/>
    <n v="0"/>
    <x v="0"/>
    <n v="0"/>
    <x v="516"/>
    <n v="40488.15"/>
    <x v="11"/>
    <n v="2024"/>
  </r>
  <r>
    <s v="TXN00518"/>
    <x v="0"/>
    <x v="1"/>
    <x v="13"/>
    <x v="6"/>
    <d v="2025-01-21T00:00:00"/>
    <x v="8"/>
    <n v="12085.52"/>
    <n v="20"/>
    <x v="7"/>
    <n v="2417.1"/>
    <x v="517"/>
    <n v="9668.42"/>
    <x v="10"/>
    <n v="2025"/>
  </r>
  <r>
    <s v="TXN00519"/>
    <x v="7"/>
    <x v="3"/>
    <x v="7"/>
    <x v="6"/>
    <d v="2024-01-06T00:00:00"/>
    <x v="3"/>
    <n v="1829.85"/>
    <n v="5"/>
    <x v="4"/>
    <n v="548.96"/>
    <x v="518"/>
    <n v="10430.14"/>
    <x v="10"/>
    <n v="2024"/>
  </r>
  <r>
    <s v="TXN00520"/>
    <x v="14"/>
    <x v="0"/>
    <x v="6"/>
    <x v="0"/>
    <d v="2025-10-02T00:00:00"/>
    <x v="9"/>
    <n v="30546.59"/>
    <n v="10"/>
    <x v="1"/>
    <n v="30546.59"/>
    <x v="519"/>
    <n v="274919.31"/>
    <x v="4"/>
    <n v="2025"/>
  </r>
  <r>
    <s v="TXN00521"/>
    <x v="9"/>
    <x v="4"/>
    <x v="14"/>
    <x v="0"/>
    <d v="2025-12-25T00:00:00"/>
    <x v="3"/>
    <n v="1701.73"/>
    <n v="5"/>
    <x v="7"/>
    <n v="510.52"/>
    <x v="520"/>
    <n v="9699.86"/>
    <x v="3"/>
    <n v="2025"/>
  </r>
  <r>
    <s v="TXN00522"/>
    <x v="10"/>
    <x v="2"/>
    <x v="10"/>
    <x v="6"/>
    <d v="2025-03-01T00:00:00"/>
    <x v="6"/>
    <n v="2585.65"/>
    <n v="0"/>
    <x v="3"/>
    <n v="0"/>
    <x v="521"/>
    <n v="23270.85"/>
    <x v="6"/>
    <n v="2025"/>
  </r>
  <r>
    <s v="TXN00523"/>
    <x v="14"/>
    <x v="3"/>
    <x v="7"/>
    <x v="4"/>
    <d v="2024-12-05T00:00:00"/>
    <x v="3"/>
    <n v="1927.32"/>
    <n v="20"/>
    <x v="5"/>
    <n v="2312.7800000000002"/>
    <x v="522"/>
    <n v="9251.14"/>
    <x v="3"/>
    <n v="2024"/>
  </r>
  <r>
    <s v="TXN00524"/>
    <x v="9"/>
    <x v="2"/>
    <x v="9"/>
    <x v="3"/>
    <d v="2024-04-27T00:00:00"/>
    <x v="3"/>
    <n v="4551.38"/>
    <n v="20"/>
    <x v="1"/>
    <n v="5461.66"/>
    <x v="523"/>
    <n v="21846.62"/>
    <x v="1"/>
    <n v="2024"/>
  </r>
  <r>
    <s v="TXN00525"/>
    <x v="13"/>
    <x v="2"/>
    <x v="5"/>
    <x v="2"/>
    <d v="2025-01-25T00:00:00"/>
    <x v="5"/>
    <n v="1195.76"/>
    <n v="20"/>
    <x v="5"/>
    <n v="478.3"/>
    <x v="524"/>
    <n v="1913.22"/>
    <x v="10"/>
    <n v="2025"/>
  </r>
  <r>
    <s v="TXN00526"/>
    <x v="14"/>
    <x v="3"/>
    <x v="15"/>
    <x v="6"/>
    <d v="2025-06-10T00:00:00"/>
    <x v="6"/>
    <n v="809.11"/>
    <n v="0"/>
    <x v="5"/>
    <n v="0"/>
    <x v="525"/>
    <n v="7281.99"/>
    <x v="5"/>
    <n v="2025"/>
  </r>
  <r>
    <s v="TXN00527"/>
    <x v="3"/>
    <x v="3"/>
    <x v="7"/>
    <x v="6"/>
    <d v="2024-04-08T00:00:00"/>
    <x v="0"/>
    <n v="2057.23"/>
    <n v="20"/>
    <x v="7"/>
    <n v="1234.3399999999999"/>
    <x v="526"/>
    <n v="4937.3500000000004"/>
    <x v="1"/>
    <n v="2024"/>
  </r>
  <r>
    <s v="TXN00528"/>
    <x v="8"/>
    <x v="2"/>
    <x v="10"/>
    <x v="1"/>
    <d v="2025-11-17T00:00:00"/>
    <x v="1"/>
    <n v="3069.65"/>
    <n v="15"/>
    <x v="0"/>
    <n v="1841.79"/>
    <x v="527"/>
    <n v="10436.81"/>
    <x v="8"/>
    <n v="2025"/>
  </r>
  <r>
    <s v="TXN00529"/>
    <x v="9"/>
    <x v="0"/>
    <x v="6"/>
    <x v="3"/>
    <d v="2025-10-24T00:00:00"/>
    <x v="5"/>
    <n v="29884.87"/>
    <n v="5"/>
    <x v="2"/>
    <n v="2988.49"/>
    <x v="528"/>
    <n v="56781.25"/>
    <x v="4"/>
    <n v="2025"/>
  </r>
  <r>
    <s v="TXN00530"/>
    <x v="0"/>
    <x v="0"/>
    <x v="24"/>
    <x v="0"/>
    <d v="2024-03-30T00:00:00"/>
    <x v="5"/>
    <n v="6394.97"/>
    <n v="10"/>
    <x v="1"/>
    <n v="1278.99"/>
    <x v="529"/>
    <n v="11510.95"/>
    <x v="6"/>
    <n v="2024"/>
  </r>
  <r>
    <s v="TXN00531"/>
    <x v="12"/>
    <x v="2"/>
    <x v="10"/>
    <x v="3"/>
    <d v="2024-09-21T00:00:00"/>
    <x v="4"/>
    <n v="2492.52"/>
    <n v="15"/>
    <x v="0"/>
    <n v="2617.15"/>
    <x v="530"/>
    <n v="14830.49"/>
    <x v="7"/>
    <n v="2024"/>
  </r>
  <r>
    <s v="TXN00532"/>
    <x v="13"/>
    <x v="4"/>
    <x v="19"/>
    <x v="5"/>
    <d v="2025-07-01T00:00:00"/>
    <x v="8"/>
    <n v="8482.85"/>
    <n v="20"/>
    <x v="7"/>
    <n v="1696.57"/>
    <x v="531"/>
    <n v="6786.28"/>
    <x v="11"/>
    <n v="2025"/>
  </r>
  <r>
    <s v="TXN00533"/>
    <x v="13"/>
    <x v="0"/>
    <x v="1"/>
    <x v="2"/>
    <d v="2025-01-01T00:00:00"/>
    <x v="6"/>
    <n v="2779.6"/>
    <n v="10"/>
    <x v="7"/>
    <n v="2501.64"/>
    <x v="532"/>
    <n v="22514.76"/>
    <x v="10"/>
    <n v="2025"/>
  </r>
  <r>
    <s v="TXN00534"/>
    <x v="5"/>
    <x v="2"/>
    <x v="10"/>
    <x v="3"/>
    <d v="2025-01-25T00:00:00"/>
    <x v="4"/>
    <n v="2763.83"/>
    <n v="0"/>
    <x v="6"/>
    <n v="0"/>
    <x v="533"/>
    <n v="19346.810000000001"/>
    <x v="10"/>
    <n v="2025"/>
  </r>
  <r>
    <s v="TXN00535"/>
    <x v="9"/>
    <x v="4"/>
    <x v="18"/>
    <x v="4"/>
    <d v="2025-02-04T00:00:00"/>
    <x v="6"/>
    <n v="11684.94"/>
    <n v="5"/>
    <x v="3"/>
    <n v="5258.22"/>
    <x v="534"/>
    <n v="99906.240000000005"/>
    <x v="2"/>
    <n v="2025"/>
  </r>
  <r>
    <s v="TXN00536"/>
    <x v="13"/>
    <x v="3"/>
    <x v="20"/>
    <x v="6"/>
    <d v="2024-05-06T00:00:00"/>
    <x v="8"/>
    <n v="3154.4"/>
    <n v="20"/>
    <x v="3"/>
    <n v="630.88"/>
    <x v="535"/>
    <n v="2523.52"/>
    <x v="9"/>
    <n v="2024"/>
  </r>
  <r>
    <s v="TXN00537"/>
    <x v="9"/>
    <x v="4"/>
    <x v="14"/>
    <x v="1"/>
    <d v="2024-08-03T00:00:00"/>
    <x v="3"/>
    <n v="1429.4"/>
    <n v="20"/>
    <x v="4"/>
    <n v="1715.28"/>
    <x v="536"/>
    <n v="6861.12"/>
    <x v="0"/>
    <n v="2024"/>
  </r>
  <r>
    <s v="TXN00538"/>
    <x v="7"/>
    <x v="1"/>
    <x v="13"/>
    <x v="4"/>
    <d v="2024-07-17T00:00:00"/>
    <x v="5"/>
    <n v="11344.07"/>
    <n v="20"/>
    <x v="4"/>
    <n v="4537.63"/>
    <x v="537"/>
    <n v="18150.509999999998"/>
    <x v="11"/>
    <n v="2024"/>
  </r>
  <r>
    <s v="TXN00539"/>
    <x v="11"/>
    <x v="0"/>
    <x v="1"/>
    <x v="2"/>
    <d v="2024-10-24T00:00:00"/>
    <x v="5"/>
    <n v="3176.82"/>
    <n v="5"/>
    <x v="7"/>
    <n v="317.68"/>
    <x v="538"/>
    <n v="6035.96"/>
    <x v="4"/>
    <n v="2024"/>
  </r>
  <r>
    <s v="TXN00540"/>
    <x v="3"/>
    <x v="2"/>
    <x v="9"/>
    <x v="0"/>
    <d v="2025-11-18T00:00:00"/>
    <x v="1"/>
    <n v="4578.8100000000004"/>
    <n v="20"/>
    <x v="3"/>
    <n v="3663.05"/>
    <x v="539"/>
    <n v="14652.19"/>
    <x v="8"/>
    <n v="2025"/>
  </r>
  <r>
    <s v="TXN00541"/>
    <x v="3"/>
    <x v="0"/>
    <x v="6"/>
    <x v="5"/>
    <d v="2024-12-02T00:00:00"/>
    <x v="9"/>
    <n v="29283.53"/>
    <n v="20"/>
    <x v="6"/>
    <n v="58567.06"/>
    <x v="540"/>
    <n v="234268.24"/>
    <x v="3"/>
    <n v="2024"/>
  </r>
  <r>
    <s v="TXN00542"/>
    <x v="12"/>
    <x v="1"/>
    <x v="8"/>
    <x v="0"/>
    <d v="2025-03-14T00:00:00"/>
    <x v="0"/>
    <n v="36048.32"/>
    <n v="5"/>
    <x v="5"/>
    <n v="5407.25"/>
    <x v="541"/>
    <n v="102737.71"/>
    <x v="6"/>
    <n v="2025"/>
  </r>
  <r>
    <s v="TXN00543"/>
    <x v="5"/>
    <x v="1"/>
    <x v="2"/>
    <x v="3"/>
    <d v="2024-05-17T00:00:00"/>
    <x v="3"/>
    <n v="27986.79"/>
    <n v="15"/>
    <x v="5"/>
    <n v="25188.11"/>
    <x v="542"/>
    <n v="142732.63"/>
    <x v="9"/>
    <n v="2024"/>
  </r>
  <r>
    <s v="TXN00544"/>
    <x v="10"/>
    <x v="4"/>
    <x v="19"/>
    <x v="0"/>
    <d v="2025-07-18T00:00:00"/>
    <x v="5"/>
    <n v="7551.54"/>
    <n v="20"/>
    <x v="6"/>
    <n v="3020.62"/>
    <x v="543"/>
    <n v="12082.46"/>
    <x v="11"/>
    <n v="2025"/>
  </r>
  <r>
    <s v="TXN00545"/>
    <x v="4"/>
    <x v="0"/>
    <x v="3"/>
    <x v="3"/>
    <d v="2025-07-05T00:00:00"/>
    <x v="1"/>
    <n v="17384.560000000001"/>
    <n v="0"/>
    <x v="3"/>
    <n v="0"/>
    <x v="544"/>
    <n v="69538.240000000005"/>
    <x v="11"/>
    <n v="2025"/>
  </r>
  <r>
    <s v="TXN00546"/>
    <x v="4"/>
    <x v="0"/>
    <x v="0"/>
    <x v="6"/>
    <d v="2025-08-18T00:00:00"/>
    <x v="9"/>
    <n v="65083.44"/>
    <n v="20"/>
    <x v="1"/>
    <n v="130166.88"/>
    <x v="545"/>
    <n v="520667.52"/>
    <x v="0"/>
    <n v="2025"/>
  </r>
  <r>
    <s v="TXN00547"/>
    <x v="9"/>
    <x v="1"/>
    <x v="12"/>
    <x v="0"/>
    <d v="2025-10-31T00:00:00"/>
    <x v="0"/>
    <n v="6543.6"/>
    <n v="5"/>
    <x v="6"/>
    <n v="981.54"/>
    <x v="546"/>
    <n v="18649.259999999998"/>
    <x v="4"/>
    <n v="2025"/>
  </r>
  <r>
    <s v="TXN00548"/>
    <x v="7"/>
    <x v="2"/>
    <x v="22"/>
    <x v="5"/>
    <d v="2025-02-10T00:00:00"/>
    <x v="3"/>
    <n v="922.99"/>
    <n v="5"/>
    <x v="7"/>
    <n v="276.89999999999998"/>
    <x v="547"/>
    <n v="5261.04"/>
    <x v="2"/>
    <n v="2025"/>
  </r>
  <r>
    <s v="TXN00549"/>
    <x v="10"/>
    <x v="2"/>
    <x v="5"/>
    <x v="6"/>
    <d v="2025-04-01T00:00:00"/>
    <x v="0"/>
    <n v="1133.74"/>
    <n v="20"/>
    <x v="3"/>
    <n v="680.24"/>
    <x v="548"/>
    <n v="2720.98"/>
    <x v="1"/>
    <n v="2025"/>
  </r>
  <r>
    <s v="TXN00550"/>
    <x v="3"/>
    <x v="1"/>
    <x v="2"/>
    <x v="1"/>
    <d v="2025-05-14T00:00:00"/>
    <x v="1"/>
    <n v="22892.880000000001"/>
    <n v="10"/>
    <x v="0"/>
    <n v="9157.15"/>
    <x v="549"/>
    <n v="82414.37"/>
    <x v="9"/>
    <n v="2025"/>
  </r>
  <r>
    <s v="TXN00551"/>
    <x v="8"/>
    <x v="1"/>
    <x v="12"/>
    <x v="4"/>
    <d v="2025-02-01T00:00:00"/>
    <x v="2"/>
    <n v="6776.85"/>
    <n v="0"/>
    <x v="5"/>
    <n v="0"/>
    <x v="550"/>
    <n v="54214.8"/>
    <x v="2"/>
    <n v="2025"/>
  </r>
  <r>
    <s v="TXN00552"/>
    <x v="6"/>
    <x v="0"/>
    <x v="3"/>
    <x v="2"/>
    <d v="2024-09-26T00:00:00"/>
    <x v="9"/>
    <n v="18649.580000000002"/>
    <n v="5"/>
    <x v="4"/>
    <n v="9324.7900000000009"/>
    <x v="551"/>
    <n v="177171.01"/>
    <x v="7"/>
    <n v="2024"/>
  </r>
  <r>
    <s v="TXN00553"/>
    <x v="3"/>
    <x v="4"/>
    <x v="23"/>
    <x v="6"/>
    <d v="2025-06-13T00:00:00"/>
    <x v="7"/>
    <n v="9940.82"/>
    <n v="5"/>
    <x v="7"/>
    <n v="2485.1999999999998"/>
    <x v="552"/>
    <n v="47218.9"/>
    <x v="5"/>
    <n v="2025"/>
  </r>
  <r>
    <s v="TXN00554"/>
    <x v="3"/>
    <x v="2"/>
    <x v="9"/>
    <x v="3"/>
    <d v="2025-05-13T00:00:00"/>
    <x v="2"/>
    <n v="5048.07"/>
    <n v="0"/>
    <x v="5"/>
    <n v="0"/>
    <x v="553"/>
    <n v="40384.559999999998"/>
    <x v="9"/>
    <n v="2025"/>
  </r>
  <r>
    <s v="TXN00555"/>
    <x v="11"/>
    <x v="2"/>
    <x v="5"/>
    <x v="4"/>
    <d v="2024-03-19T00:00:00"/>
    <x v="6"/>
    <n v="1273.04"/>
    <n v="5"/>
    <x v="0"/>
    <n v="572.87"/>
    <x v="554"/>
    <n v="10884.49"/>
    <x v="6"/>
    <n v="2024"/>
  </r>
  <r>
    <s v="TXN00556"/>
    <x v="7"/>
    <x v="1"/>
    <x v="13"/>
    <x v="0"/>
    <d v="2025-11-07T00:00:00"/>
    <x v="1"/>
    <n v="13248.23"/>
    <n v="10"/>
    <x v="7"/>
    <n v="5299.29"/>
    <x v="555"/>
    <n v="47693.63"/>
    <x v="8"/>
    <n v="2025"/>
  </r>
  <r>
    <s v="TXN00557"/>
    <x v="8"/>
    <x v="0"/>
    <x v="24"/>
    <x v="5"/>
    <d v="2024-08-03T00:00:00"/>
    <x v="9"/>
    <n v="6582.18"/>
    <n v="15"/>
    <x v="6"/>
    <n v="9873.27"/>
    <x v="556"/>
    <n v="55948.53"/>
    <x v="0"/>
    <n v="2024"/>
  </r>
  <r>
    <s v="TXN00558"/>
    <x v="13"/>
    <x v="0"/>
    <x v="6"/>
    <x v="4"/>
    <d v="2024-05-17T00:00:00"/>
    <x v="6"/>
    <n v="22744.94"/>
    <n v="20"/>
    <x v="3"/>
    <n v="40940.89"/>
    <x v="557"/>
    <n v="163763.57"/>
    <x v="9"/>
    <n v="2024"/>
  </r>
  <r>
    <s v="TXN00559"/>
    <x v="7"/>
    <x v="1"/>
    <x v="12"/>
    <x v="0"/>
    <d v="2025-06-13T00:00:00"/>
    <x v="4"/>
    <n v="6299.04"/>
    <n v="20"/>
    <x v="3"/>
    <n v="8818.66"/>
    <x v="558"/>
    <n v="35274.620000000003"/>
    <x v="5"/>
    <n v="2025"/>
  </r>
  <r>
    <s v="TXN00560"/>
    <x v="6"/>
    <x v="0"/>
    <x v="3"/>
    <x v="4"/>
    <d v="2025-09-13T00:00:00"/>
    <x v="2"/>
    <n v="20102.86"/>
    <n v="5"/>
    <x v="6"/>
    <n v="8041.14"/>
    <x v="559"/>
    <n v="152781.74"/>
    <x v="7"/>
    <n v="2025"/>
  </r>
  <r>
    <s v="TXN00561"/>
    <x v="12"/>
    <x v="1"/>
    <x v="2"/>
    <x v="4"/>
    <d v="2025-09-30T00:00:00"/>
    <x v="6"/>
    <n v="24153.25"/>
    <n v="10"/>
    <x v="3"/>
    <n v="21737.93"/>
    <x v="560"/>
    <n v="195641.32"/>
    <x v="7"/>
    <n v="2025"/>
  </r>
  <r>
    <s v="TXN00562"/>
    <x v="12"/>
    <x v="4"/>
    <x v="14"/>
    <x v="1"/>
    <d v="2025-01-22T00:00:00"/>
    <x v="4"/>
    <n v="1399.58"/>
    <n v="0"/>
    <x v="0"/>
    <n v="0"/>
    <x v="561"/>
    <n v="9797.06"/>
    <x v="10"/>
    <n v="2025"/>
  </r>
  <r>
    <s v="TXN00563"/>
    <x v="4"/>
    <x v="1"/>
    <x v="8"/>
    <x v="6"/>
    <d v="2024-06-02T00:00:00"/>
    <x v="9"/>
    <n v="36962.99"/>
    <n v="15"/>
    <x v="2"/>
    <n v="55444.49"/>
    <x v="562"/>
    <n v="314185.40999999997"/>
    <x v="5"/>
    <n v="2024"/>
  </r>
  <r>
    <s v="TXN00564"/>
    <x v="13"/>
    <x v="2"/>
    <x v="11"/>
    <x v="3"/>
    <d v="2024-04-05T00:00:00"/>
    <x v="2"/>
    <n v="5324.24"/>
    <n v="20"/>
    <x v="7"/>
    <n v="8518.7800000000007"/>
    <x v="563"/>
    <n v="34075.14"/>
    <x v="1"/>
    <n v="2024"/>
  </r>
  <r>
    <s v="TXN00565"/>
    <x v="14"/>
    <x v="2"/>
    <x v="10"/>
    <x v="3"/>
    <d v="2025-06-18T00:00:00"/>
    <x v="4"/>
    <n v="2481.4899999999998"/>
    <n v="0"/>
    <x v="2"/>
    <n v="0"/>
    <x v="564"/>
    <n v="17370.43"/>
    <x v="5"/>
    <n v="2025"/>
  </r>
  <r>
    <s v="TXN00566"/>
    <x v="2"/>
    <x v="2"/>
    <x v="9"/>
    <x v="3"/>
    <d v="2025-01-25T00:00:00"/>
    <x v="3"/>
    <n v="4712.68"/>
    <n v="20"/>
    <x v="6"/>
    <n v="5655.22"/>
    <x v="565"/>
    <n v="22620.86"/>
    <x v="10"/>
    <n v="2025"/>
  </r>
  <r>
    <s v="TXN00567"/>
    <x v="7"/>
    <x v="0"/>
    <x v="24"/>
    <x v="0"/>
    <d v="2024-08-26T00:00:00"/>
    <x v="5"/>
    <n v="6795.72"/>
    <n v="20"/>
    <x v="6"/>
    <n v="2718.29"/>
    <x v="566"/>
    <n v="10873.15"/>
    <x v="0"/>
    <n v="2024"/>
  </r>
  <r>
    <s v="TXN00568"/>
    <x v="2"/>
    <x v="4"/>
    <x v="19"/>
    <x v="1"/>
    <d v="2025-08-14T00:00:00"/>
    <x v="6"/>
    <n v="7435.66"/>
    <n v="0"/>
    <x v="1"/>
    <n v="0"/>
    <x v="567"/>
    <n v="66920.94"/>
    <x v="0"/>
    <n v="2025"/>
  </r>
  <r>
    <s v="TXN00569"/>
    <x v="0"/>
    <x v="4"/>
    <x v="18"/>
    <x v="3"/>
    <d v="2025-02-22T00:00:00"/>
    <x v="3"/>
    <n v="11119.75"/>
    <n v="15"/>
    <x v="5"/>
    <n v="10007.77"/>
    <x v="568"/>
    <n v="56710.73"/>
    <x v="2"/>
    <n v="2025"/>
  </r>
  <r>
    <s v="TXN00570"/>
    <x v="5"/>
    <x v="2"/>
    <x v="22"/>
    <x v="3"/>
    <d v="2025-08-01T00:00:00"/>
    <x v="3"/>
    <n v="947.67"/>
    <n v="15"/>
    <x v="2"/>
    <n v="852.9"/>
    <x v="569"/>
    <n v="4833.12"/>
    <x v="0"/>
    <n v="2025"/>
  </r>
  <r>
    <s v="TXN00571"/>
    <x v="9"/>
    <x v="1"/>
    <x v="2"/>
    <x v="3"/>
    <d v="2024-07-02T00:00:00"/>
    <x v="3"/>
    <n v="25994.34"/>
    <n v="15"/>
    <x v="6"/>
    <n v="23394.91"/>
    <x v="570"/>
    <n v="132571.13"/>
    <x v="11"/>
    <n v="2024"/>
  </r>
  <r>
    <s v="TXN00572"/>
    <x v="12"/>
    <x v="3"/>
    <x v="20"/>
    <x v="0"/>
    <d v="2024-05-21T00:00:00"/>
    <x v="5"/>
    <n v="3804.34"/>
    <n v="15"/>
    <x v="2"/>
    <n v="1141.3"/>
    <x v="571"/>
    <n v="6467.38"/>
    <x v="9"/>
    <n v="2024"/>
  </r>
  <r>
    <s v="TXN00573"/>
    <x v="2"/>
    <x v="1"/>
    <x v="12"/>
    <x v="6"/>
    <d v="2024-12-12T00:00:00"/>
    <x v="6"/>
    <n v="6953.14"/>
    <n v="0"/>
    <x v="2"/>
    <n v="0"/>
    <x v="572"/>
    <n v="62578.26"/>
    <x v="3"/>
    <n v="2024"/>
  </r>
  <r>
    <s v="TXN00574"/>
    <x v="8"/>
    <x v="1"/>
    <x v="2"/>
    <x v="1"/>
    <d v="2024-05-28T00:00:00"/>
    <x v="2"/>
    <n v="28286.639999999999"/>
    <n v="15"/>
    <x v="7"/>
    <n v="33943.97"/>
    <x v="573"/>
    <n v="192349.15"/>
    <x v="9"/>
    <n v="2024"/>
  </r>
  <r>
    <s v="TXN00575"/>
    <x v="5"/>
    <x v="0"/>
    <x v="0"/>
    <x v="4"/>
    <d v="2024-03-22T00:00:00"/>
    <x v="9"/>
    <n v="59113.52"/>
    <n v="15"/>
    <x v="5"/>
    <n v="88670.28"/>
    <x v="574"/>
    <n v="502464.92"/>
    <x v="6"/>
    <n v="2024"/>
  </r>
  <r>
    <s v="TXN00576"/>
    <x v="8"/>
    <x v="4"/>
    <x v="14"/>
    <x v="6"/>
    <d v="2025-12-29T00:00:00"/>
    <x v="9"/>
    <n v="1508.7"/>
    <n v="5"/>
    <x v="4"/>
    <n v="754.35"/>
    <x v="575"/>
    <n v="14332.65"/>
    <x v="3"/>
    <n v="2025"/>
  </r>
  <r>
    <s v="TXN00577"/>
    <x v="13"/>
    <x v="4"/>
    <x v="23"/>
    <x v="4"/>
    <d v="2024-07-18T00:00:00"/>
    <x v="8"/>
    <n v="10959.9"/>
    <n v="20"/>
    <x v="4"/>
    <n v="2191.98"/>
    <x v="576"/>
    <n v="8767.92"/>
    <x v="11"/>
    <n v="2024"/>
  </r>
  <r>
    <s v="TXN00578"/>
    <x v="12"/>
    <x v="2"/>
    <x v="5"/>
    <x v="4"/>
    <d v="2025-01-03T00:00:00"/>
    <x v="1"/>
    <n v="1276.51"/>
    <n v="5"/>
    <x v="1"/>
    <n v="255.3"/>
    <x v="577"/>
    <n v="4850.74"/>
    <x v="10"/>
    <n v="2025"/>
  </r>
  <r>
    <s v="TXN00579"/>
    <x v="10"/>
    <x v="0"/>
    <x v="3"/>
    <x v="5"/>
    <d v="2025-11-16T00:00:00"/>
    <x v="4"/>
    <n v="19826.98"/>
    <n v="5"/>
    <x v="5"/>
    <n v="6939.44"/>
    <x v="578"/>
    <n v="131849.42000000001"/>
    <x v="8"/>
    <n v="2025"/>
  </r>
  <r>
    <s v="TXN00580"/>
    <x v="0"/>
    <x v="2"/>
    <x v="10"/>
    <x v="2"/>
    <d v="2024-04-02T00:00:00"/>
    <x v="6"/>
    <n v="2427.81"/>
    <n v="20"/>
    <x v="7"/>
    <n v="4370.0600000000004"/>
    <x v="579"/>
    <n v="17480.23"/>
    <x v="1"/>
    <n v="2024"/>
  </r>
  <r>
    <s v="TXN00581"/>
    <x v="3"/>
    <x v="2"/>
    <x v="22"/>
    <x v="3"/>
    <d v="2024-08-19T00:00:00"/>
    <x v="9"/>
    <n v="1026.69"/>
    <n v="15"/>
    <x v="4"/>
    <n v="1540.03"/>
    <x v="580"/>
    <n v="8726.8700000000008"/>
    <x v="0"/>
    <n v="2024"/>
  </r>
  <r>
    <s v="TXN00582"/>
    <x v="13"/>
    <x v="4"/>
    <x v="14"/>
    <x v="0"/>
    <d v="2025-02-20T00:00:00"/>
    <x v="6"/>
    <n v="1389.92"/>
    <n v="0"/>
    <x v="3"/>
    <n v="0"/>
    <x v="581"/>
    <n v="12509.28"/>
    <x v="2"/>
    <n v="2025"/>
  </r>
  <r>
    <s v="TXN00583"/>
    <x v="3"/>
    <x v="2"/>
    <x v="22"/>
    <x v="1"/>
    <d v="2025-07-04T00:00:00"/>
    <x v="9"/>
    <n v="866.28"/>
    <n v="15"/>
    <x v="4"/>
    <n v="1299.42"/>
    <x v="582"/>
    <n v="7363.38"/>
    <x v="11"/>
    <n v="2025"/>
  </r>
  <r>
    <s v="TXN00584"/>
    <x v="11"/>
    <x v="4"/>
    <x v="14"/>
    <x v="3"/>
    <d v="2024-12-13T00:00:00"/>
    <x v="2"/>
    <n v="1766.16"/>
    <n v="20"/>
    <x v="0"/>
    <n v="2825.86"/>
    <x v="583"/>
    <n v="11303.42"/>
    <x v="3"/>
    <n v="2024"/>
  </r>
  <r>
    <s v="TXN00585"/>
    <x v="6"/>
    <x v="0"/>
    <x v="24"/>
    <x v="0"/>
    <d v="2025-01-26T00:00:00"/>
    <x v="1"/>
    <n v="7484.6"/>
    <n v="5"/>
    <x v="7"/>
    <n v="1496.92"/>
    <x v="584"/>
    <n v="28441.48"/>
    <x v="10"/>
    <n v="2025"/>
  </r>
  <r>
    <s v="TXN00586"/>
    <x v="3"/>
    <x v="3"/>
    <x v="16"/>
    <x v="6"/>
    <d v="2025-12-18T00:00:00"/>
    <x v="7"/>
    <n v="1587.41"/>
    <n v="0"/>
    <x v="1"/>
    <n v="0"/>
    <x v="585"/>
    <n v="7937.05"/>
    <x v="3"/>
    <n v="2025"/>
  </r>
  <r>
    <s v="TXN00587"/>
    <x v="6"/>
    <x v="4"/>
    <x v="19"/>
    <x v="6"/>
    <d v="2025-05-02T00:00:00"/>
    <x v="3"/>
    <n v="7907.08"/>
    <n v="20"/>
    <x v="3"/>
    <n v="9488.5"/>
    <x v="586"/>
    <n v="37953.980000000003"/>
    <x v="9"/>
    <n v="2025"/>
  </r>
  <r>
    <s v="TXN00588"/>
    <x v="0"/>
    <x v="3"/>
    <x v="7"/>
    <x v="2"/>
    <d v="2025-05-25T00:00:00"/>
    <x v="1"/>
    <n v="1725.69"/>
    <n v="5"/>
    <x v="0"/>
    <n v="345.14"/>
    <x v="587"/>
    <n v="6557.62"/>
    <x v="9"/>
    <n v="2025"/>
  </r>
  <r>
    <s v="TXN00589"/>
    <x v="2"/>
    <x v="3"/>
    <x v="7"/>
    <x v="4"/>
    <d v="2025-09-25T00:00:00"/>
    <x v="3"/>
    <n v="1690.2"/>
    <n v="0"/>
    <x v="0"/>
    <n v="0"/>
    <x v="588"/>
    <n v="10141.200000000001"/>
    <x v="7"/>
    <n v="2025"/>
  </r>
  <r>
    <s v="TXN00590"/>
    <x v="8"/>
    <x v="0"/>
    <x v="0"/>
    <x v="2"/>
    <d v="2025-09-20T00:00:00"/>
    <x v="8"/>
    <n v="70918.97"/>
    <n v="20"/>
    <x v="6"/>
    <n v="14183.79"/>
    <x v="589"/>
    <n v="56735.18"/>
    <x v="7"/>
    <n v="2025"/>
  </r>
  <r>
    <s v="TXN00591"/>
    <x v="3"/>
    <x v="0"/>
    <x v="24"/>
    <x v="6"/>
    <d v="2025-05-19T00:00:00"/>
    <x v="9"/>
    <n v="7820.35"/>
    <n v="15"/>
    <x v="5"/>
    <n v="11730.52"/>
    <x v="590"/>
    <n v="66472.98"/>
    <x v="9"/>
    <n v="2025"/>
  </r>
  <r>
    <s v="TXN00592"/>
    <x v="5"/>
    <x v="1"/>
    <x v="8"/>
    <x v="5"/>
    <d v="2025-08-13T00:00:00"/>
    <x v="0"/>
    <n v="36541.480000000003"/>
    <n v="15"/>
    <x v="0"/>
    <n v="16443.669999999998"/>
    <x v="591"/>
    <n v="93180.77"/>
    <x v="0"/>
    <n v="2025"/>
  </r>
  <r>
    <s v="TXN00593"/>
    <x v="13"/>
    <x v="4"/>
    <x v="14"/>
    <x v="6"/>
    <d v="2025-02-07T00:00:00"/>
    <x v="0"/>
    <n v="1521.45"/>
    <n v="0"/>
    <x v="5"/>
    <n v="0"/>
    <x v="592"/>
    <n v="4564.3500000000004"/>
    <x v="2"/>
    <n v="2025"/>
  </r>
  <r>
    <s v="TXN00594"/>
    <x v="3"/>
    <x v="2"/>
    <x v="9"/>
    <x v="2"/>
    <d v="2024-01-13T00:00:00"/>
    <x v="1"/>
    <n v="4476.8599999999997"/>
    <n v="0"/>
    <x v="1"/>
    <n v="0"/>
    <x v="593"/>
    <n v="17907.439999999999"/>
    <x v="10"/>
    <n v="2024"/>
  </r>
  <r>
    <s v="TXN00595"/>
    <x v="12"/>
    <x v="3"/>
    <x v="20"/>
    <x v="3"/>
    <d v="2024-07-10T00:00:00"/>
    <x v="6"/>
    <n v="3379.99"/>
    <n v="10"/>
    <x v="4"/>
    <n v="3041.99"/>
    <x v="594"/>
    <n v="27377.919999999998"/>
    <x v="11"/>
    <n v="2024"/>
  </r>
  <r>
    <s v="TXN00596"/>
    <x v="3"/>
    <x v="4"/>
    <x v="14"/>
    <x v="0"/>
    <d v="2025-05-25T00:00:00"/>
    <x v="4"/>
    <n v="1428.95"/>
    <n v="10"/>
    <x v="3"/>
    <n v="1000.26"/>
    <x v="595"/>
    <n v="9002.39"/>
    <x v="9"/>
    <n v="2025"/>
  </r>
  <r>
    <s v="TXN00597"/>
    <x v="5"/>
    <x v="3"/>
    <x v="16"/>
    <x v="5"/>
    <d v="2025-08-08T00:00:00"/>
    <x v="0"/>
    <n v="1717.23"/>
    <n v="5"/>
    <x v="3"/>
    <n v="257.58"/>
    <x v="596"/>
    <n v="4894.1099999999997"/>
    <x v="0"/>
    <n v="2025"/>
  </r>
  <r>
    <s v="TXN00598"/>
    <x v="10"/>
    <x v="0"/>
    <x v="3"/>
    <x v="4"/>
    <d v="2025-01-25T00:00:00"/>
    <x v="1"/>
    <n v="16856.3"/>
    <n v="5"/>
    <x v="2"/>
    <n v="3371.26"/>
    <x v="597"/>
    <n v="64053.94"/>
    <x v="10"/>
    <n v="2025"/>
  </r>
  <r>
    <s v="TXN00599"/>
    <x v="7"/>
    <x v="4"/>
    <x v="17"/>
    <x v="5"/>
    <d v="2024-05-17T00:00:00"/>
    <x v="6"/>
    <n v="3617.23"/>
    <n v="10"/>
    <x v="6"/>
    <n v="3255.51"/>
    <x v="598"/>
    <n v="29299.56"/>
    <x v="9"/>
    <n v="2024"/>
  </r>
  <r>
    <s v="TXN00600"/>
    <x v="5"/>
    <x v="4"/>
    <x v="19"/>
    <x v="6"/>
    <d v="2025-02-11T00:00:00"/>
    <x v="5"/>
    <n v="8581.09"/>
    <n v="0"/>
    <x v="1"/>
    <n v="0"/>
    <x v="599"/>
    <n v="17162.18"/>
    <x v="2"/>
    <n v="2025"/>
  </r>
  <r>
    <s v="TXN00601"/>
    <x v="11"/>
    <x v="1"/>
    <x v="4"/>
    <x v="3"/>
    <d v="2025-04-05T00:00:00"/>
    <x v="3"/>
    <n v="7719.54"/>
    <n v="10"/>
    <x v="7"/>
    <n v="4631.72"/>
    <x v="600"/>
    <n v="41685.519999999997"/>
    <x v="1"/>
    <n v="2025"/>
  </r>
  <r>
    <s v="TXN00602"/>
    <x v="14"/>
    <x v="2"/>
    <x v="11"/>
    <x v="3"/>
    <d v="2024-12-18T00:00:00"/>
    <x v="8"/>
    <n v="5516.17"/>
    <n v="10"/>
    <x v="4"/>
    <n v="551.62"/>
    <x v="601"/>
    <n v="4964.55"/>
    <x v="3"/>
    <n v="2024"/>
  </r>
  <r>
    <s v="TXN00603"/>
    <x v="12"/>
    <x v="2"/>
    <x v="5"/>
    <x v="6"/>
    <d v="2024-10-18T00:00:00"/>
    <x v="3"/>
    <n v="1295.28"/>
    <n v="20"/>
    <x v="3"/>
    <n v="1554.34"/>
    <x v="602"/>
    <n v="6217.34"/>
    <x v="4"/>
    <n v="2024"/>
  </r>
  <r>
    <s v="TXN00604"/>
    <x v="14"/>
    <x v="4"/>
    <x v="23"/>
    <x v="1"/>
    <d v="2025-09-20T00:00:00"/>
    <x v="7"/>
    <n v="10159.379999999999"/>
    <n v="5"/>
    <x v="2"/>
    <n v="2539.85"/>
    <x v="603"/>
    <n v="48257.05"/>
    <x v="7"/>
    <n v="2025"/>
  </r>
  <r>
    <s v="TXN00605"/>
    <x v="1"/>
    <x v="1"/>
    <x v="4"/>
    <x v="2"/>
    <d v="2024-03-14T00:00:00"/>
    <x v="5"/>
    <n v="7524"/>
    <n v="5"/>
    <x v="2"/>
    <n v="752.4"/>
    <x v="604"/>
    <n v="14295.6"/>
    <x v="6"/>
    <n v="2024"/>
  </r>
  <r>
    <s v="TXN00606"/>
    <x v="8"/>
    <x v="3"/>
    <x v="20"/>
    <x v="0"/>
    <d v="2025-09-11T00:00:00"/>
    <x v="4"/>
    <n v="3387.34"/>
    <n v="15"/>
    <x v="4"/>
    <n v="3556.71"/>
    <x v="605"/>
    <n v="20154.669999999998"/>
    <x v="7"/>
    <n v="2025"/>
  </r>
  <r>
    <s v="TXN00607"/>
    <x v="9"/>
    <x v="3"/>
    <x v="21"/>
    <x v="5"/>
    <d v="2024-06-20T00:00:00"/>
    <x v="0"/>
    <n v="2783.88"/>
    <n v="5"/>
    <x v="2"/>
    <n v="417.58"/>
    <x v="606"/>
    <n v="7934.06"/>
    <x v="5"/>
    <n v="2024"/>
  </r>
  <r>
    <s v="TXN00608"/>
    <x v="0"/>
    <x v="1"/>
    <x v="4"/>
    <x v="2"/>
    <d v="2024-08-03T00:00:00"/>
    <x v="0"/>
    <n v="7994.09"/>
    <n v="0"/>
    <x v="7"/>
    <n v="0"/>
    <x v="607"/>
    <n v="23982.27"/>
    <x v="0"/>
    <n v="2024"/>
  </r>
  <r>
    <s v="TXN00609"/>
    <x v="9"/>
    <x v="0"/>
    <x v="24"/>
    <x v="1"/>
    <d v="2025-02-10T00:00:00"/>
    <x v="6"/>
    <n v="7638.74"/>
    <n v="0"/>
    <x v="1"/>
    <n v="0"/>
    <x v="608"/>
    <n v="68748.66"/>
    <x v="2"/>
    <n v="2025"/>
  </r>
  <r>
    <s v="TXN00610"/>
    <x v="12"/>
    <x v="0"/>
    <x v="3"/>
    <x v="4"/>
    <d v="2025-11-01T00:00:00"/>
    <x v="4"/>
    <n v="19351.38"/>
    <n v="5"/>
    <x v="7"/>
    <n v="6772.98"/>
    <x v="609"/>
    <n v="128686.68"/>
    <x v="8"/>
    <n v="2025"/>
  </r>
  <r>
    <s v="TXN00611"/>
    <x v="8"/>
    <x v="3"/>
    <x v="16"/>
    <x v="4"/>
    <d v="2025-06-23T00:00:00"/>
    <x v="0"/>
    <n v="1360.71"/>
    <n v="10"/>
    <x v="3"/>
    <n v="408.21"/>
    <x v="610"/>
    <n v="3673.92"/>
    <x v="5"/>
    <n v="2025"/>
  </r>
  <r>
    <s v="TXN00612"/>
    <x v="11"/>
    <x v="3"/>
    <x v="16"/>
    <x v="3"/>
    <d v="2025-07-15T00:00:00"/>
    <x v="2"/>
    <n v="1400.67"/>
    <n v="20"/>
    <x v="4"/>
    <n v="2241.0700000000002"/>
    <x v="611"/>
    <n v="8964.2900000000009"/>
    <x v="11"/>
    <n v="2025"/>
  </r>
  <r>
    <s v="TXN00613"/>
    <x v="12"/>
    <x v="1"/>
    <x v="8"/>
    <x v="5"/>
    <d v="2025-06-20T00:00:00"/>
    <x v="6"/>
    <n v="39096.61"/>
    <n v="10"/>
    <x v="2"/>
    <n v="35186.949999999997"/>
    <x v="612"/>
    <n v="316682.53999999998"/>
    <x v="5"/>
    <n v="2025"/>
  </r>
  <r>
    <s v="TXN00614"/>
    <x v="2"/>
    <x v="4"/>
    <x v="14"/>
    <x v="3"/>
    <d v="2025-03-28T00:00:00"/>
    <x v="7"/>
    <n v="1487.17"/>
    <n v="10"/>
    <x v="7"/>
    <n v="743.59"/>
    <x v="613"/>
    <n v="6692.26"/>
    <x v="6"/>
    <n v="2025"/>
  </r>
  <r>
    <s v="TXN00615"/>
    <x v="13"/>
    <x v="1"/>
    <x v="4"/>
    <x v="1"/>
    <d v="2024-12-18T00:00:00"/>
    <x v="7"/>
    <n v="8952.24"/>
    <n v="0"/>
    <x v="3"/>
    <n v="0"/>
    <x v="614"/>
    <n v="44761.2"/>
    <x v="3"/>
    <n v="2024"/>
  </r>
  <r>
    <s v="TXN00616"/>
    <x v="5"/>
    <x v="4"/>
    <x v="23"/>
    <x v="1"/>
    <d v="2024-10-26T00:00:00"/>
    <x v="9"/>
    <n v="10535.84"/>
    <n v="0"/>
    <x v="2"/>
    <n v="0"/>
    <x v="615"/>
    <n v="105358.39999999999"/>
    <x v="4"/>
    <n v="2024"/>
  </r>
  <r>
    <s v="TXN00617"/>
    <x v="2"/>
    <x v="2"/>
    <x v="22"/>
    <x v="5"/>
    <d v="2025-02-08T00:00:00"/>
    <x v="1"/>
    <n v="846.74"/>
    <n v="15"/>
    <x v="2"/>
    <n v="508.04"/>
    <x v="616"/>
    <n v="2878.92"/>
    <x v="2"/>
    <n v="2025"/>
  </r>
  <r>
    <s v="TXN00618"/>
    <x v="5"/>
    <x v="4"/>
    <x v="18"/>
    <x v="1"/>
    <d v="2025-10-02T00:00:00"/>
    <x v="1"/>
    <n v="13584.81"/>
    <n v="20"/>
    <x v="2"/>
    <n v="10867.85"/>
    <x v="617"/>
    <n v="43471.39"/>
    <x v="4"/>
    <n v="2025"/>
  </r>
  <r>
    <s v="TXN00619"/>
    <x v="8"/>
    <x v="3"/>
    <x v="20"/>
    <x v="2"/>
    <d v="2025-02-26T00:00:00"/>
    <x v="1"/>
    <n v="3896.8"/>
    <n v="5"/>
    <x v="4"/>
    <n v="779.36"/>
    <x v="618"/>
    <n v="14807.84"/>
    <x v="2"/>
    <n v="2025"/>
  </r>
  <r>
    <s v="TXN00620"/>
    <x v="6"/>
    <x v="1"/>
    <x v="4"/>
    <x v="2"/>
    <d v="2025-09-24T00:00:00"/>
    <x v="2"/>
    <n v="7744.27"/>
    <n v="20"/>
    <x v="6"/>
    <n v="12390.83"/>
    <x v="619"/>
    <n v="49563.33"/>
    <x v="7"/>
    <n v="2025"/>
  </r>
  <r>
    <s v="TXN00621"/>
    <x v="3"/>
    <x v="4"/>
    <x v="18"/>
    <x v="1"/>
    <d v="2024-02-20T00:00:00"/>
    <x v="6"/>
    <n v="10866.39"/>
    <n v="0"/>
    <x v="3"/>
    <n v="0"/>
    <x v="620"/>
    <n v="97797.51"/>
    <x v="2"/>
    <n v="2024"/>
  </r>
  <r>
    <s v="TXN00622"/>
    <x v="7"/>
    <x v="3"/>
    <x v="20"/>
    <x v="2"/>
    <d v="2024-01-09T00:00:00"/>
    <x v="1"/>
    <n v="3228.92"/>
    <n v="0"/>
    <x v="6"/>
    <n v="0"/>
    <x v="621"/>
    <n v="12915.68"/>
    <x v="10"/>
    <n v="2024"/>
  </r>
  <r>
    <s v="TXN00623"/>
    <x v="3"/>
    <x v="4"/>
    <x v="18"/>
    <x v="5"/>
    <d v="2025-05-25T00:00:00"/>
    <x v="3"/>
    <n v="12191.05"/>
    <n v="0"/>
    <x v="4"/>
    <n v="0"/>
    <x v="622"/>
    <n v="73146.3"/>
    <x v="9"/>
    <n v="2025"/>
  </r>
  <r>
    <s v="TXN00624"/>
    <x v="4"/>
    <x v="3"/>
    <x v="15"/>
    <x v="3"/>
    <d v="2024-02-27T00:00:00"/>
    <x v="7"/>
    <n v="875.13"/>
    <n v="0"/>
    <x v="3"/>
    <n v="0"/>
    <x v="623"/>
    <n v="4375.6499999999996"/>
    <x v="2"/>
    <n v="2024"/>
  </r>
  <r>
    <s v="TXN00625"/>
    <x v="7"/>
    <x v="2"/>
    <x v="9"/>
    <x v="4"/>
    <d v="2025-01-25T00:00:00"/>
    <x v="8"/>
    <n v="4187.21"/>
    <n v="5"/>
    <x v="4"/>
    <n v="209.36"/>
    <x v="624"/>
    <n v="3977.85"/>
    <x v="10"/>
    <n v="2025"/>
  </r>
  <r>
    <s v="TXN00626"/>
    <x v="2"/>
    <x v="4"/>
    <x v="23"/>
    <x v="2"/>
    <d v="2024-07-22T00:00:00"/>
    <x v="2"/>
    <n v="10838.31"/>
    <n v="0"/>
    <x v="1"/>
    <n v="0"/>
    <x v="625"/>
    <n v="86706.48"/>
    <x v="11"/>
    <n v="2024"/>
  </r>
  <r>
    <s v="TXN00627"/>
    <x v="11"/>
    <x v="2"/>
    <x v="5"/>
    <x v="5"/>
    <d v="2024-11-26T00:00:00"/>
    <x v="0"/>
    <n v="1395.62"/>
    <n v="0"/>
    <x v="4"/>
    <n v="0"/>
    <x v="626"/>
    <n v="4186.8599999999997"/>
    <x v="8"/>
    <n v="2024"/>
  </r>
  <r>
    <s v="TXN00628"/>
    <x v="6"/>
    <x v="2"/>
    <x v="11"/>
    <x v="0"/>
    <d v="2025-10-15T00:00:00"/>
    <x v="7"/>
    <n v="5223.24"/>
    <n v="0"/>
    <x v="6"/>
    <n v="0"/>
    <x v="627"/>
    <n v="26116.2"/>
    <x v="4"/>
    <n v="2025"/>
  </r>
  <r>
    <s v="TXN00629"/>
    <x v="2"/>
    <x v="1"/>
    <x v="12"/>
    <x v="2"/>
    <d v="2024-11-28T00:00:00"/>
    <x v="8"/>
    <n v="6216.14"/>
    <n v="10"/>
    <x v="2"/>
    <n v="621.61"/>
    <x v="628"/>
    <n v="5594.53"/>
    <x v="8"/>
    <n v="2024"/>
  </r>
  <r>
    <s v="TXN00630"/>
    <x v="1"/>
    <x v="2"/>
    <x v="10"/>
    <x v="3"/>
    <d v="2024-01-10T00:00:00"/>
    <x v="8"/>
    <n v="2613.17"/>
    <n v="15"/>
    <x v="0"/>
    <n v="391.98"/>
    <x v="629"/>
    <n v="2221.19"/>
    <x v="10"/>
    <n v="2024"/>
  </r>
  <r>
    <s v="TXN00631"/>
    <x v="3"/>
    <x v="2"/>
    <x v="5"/>
    <x v="3"/>
    <d v="2024-09-11T00:00:00"/>
    <x v="0"/>
    <n v="1229.98"/>
    <n v="20"/>
    <x v="7"/>
    <n v="737.99"/>
    <x v="630"/>
    <n v="2951.95"/>
    <x v="7"/>
    <n v="2024"/>
  </r>
  <r>
    <s v="TXN00632"/>
    <x v="13"/>
    <x v="3"/>
    <x v="15"/>
    <x v="0"/>
    <d v="2025-12-19T00:00:00"/>
    <x v="6"/>
    <n v="966.12"/>
    <n v="5"/>
    <x v="3"/>
    <n v="434.75"/>
    <x v="631"/>
    <n v="8260.33"/>
    <x v="3"/>
    <n v="2025"/>
  </r>
  <r>
    <s v="TXN00633"/>
    <x v="3"/>
    <x v="4"/>
    <x v="18"/>
    <x v="6"/>
    <d v="2025-03-25T00:00:00"/>
    <x v="1"/>
    <n v="10864.06"/>
    <n v="15"/>
    <x v="5"/>
    <n v="6518.44"/>
    <x v="632"/>
    <n v="36937.800000000003"/>
    <x v="6"/>
    <n v="2025"/>
  </r>
  <r>
    <s v="TXN00634"/>
    <x v="5"/>
    <x v="3"/>
    <x v="7"/>
    <x v="1"/>
    <d v="2025-12-24T00:00:00"/>
    <x v="2"/>
    <n v="2058.7199999999998"/>
    <n v="20"/>
    <x v="6"/>
    <n v="3293.95"/>
    <x v="633"/>
    <n v="13175.81"/>
    <x v="3"/>
    <n v="2025"/>
  </r>
  <r>
    <s v="TXN00635"/>
    <x v="12"/>
    <x v="4"/>
    <x v="18"/>
    <x v="4"/>
    <d v="2024-11-27T00:00:00"/>
    <x v="2"/>
    <n v="12788.57"/>
    <n v="20"/>
    <x v="5"/>
    <n v="20461.71"/>
    <x v="634"/>
    <n v="81846.850000000006"/>
    <x v="8"/>
    <n v="2024"/>
  </r>
  <r>
    <s v="TXN00636"/>
    <x v="6"/>
    <x v="2"/>
    <x v="5"/>
    <x v="6"/>
    <d v="2025-04-05T00:00:00"/>
    <x v="7"/>
    <n v="1325.83"/>
    <n v="20"/>
    <x v="3"/>
    <n v="1325.83"/>
    <x v="635"/>
    <n v="5303.32"/>
    <x v="1"/>
    <n v="2025"/>
  </r>
  <r>
    <s v="TXN00637"/>
    <x v="13"/>
    <x v="3"/>
    <x v="16"/>
    <x v="3"/>
    <d v="2024-07-08T00:00:00"/>
    <x v="8"/>
    <n v="1582.4"/>
    <n v="10"/>
    <x v="2"/>
    <n v="158.24"/>
    <x v="636"/>
    <n v="1424.16"/>
    <x v="11"/>
    <n v="2024"/>
  </r>
  <r>
    <s v="TXN00638"/>
    <x v="3"/>
    <x v="2"/>
    <x v="5"/>
    <x v="2"/>
    <d v="2025-11-05T00:00:00"/>
    <x v="6"/>
    <n v="1458.29"/>
    <n v="5"/>
    <x v="7"/>
    <n v="656.23"/>
    <x v="637"/>
    <n v="12468.38"/>
    <x v="8"/>
    <n v="2025"/>
  </r>
  <r>
    <s v="TXN00639"/>
    <x v="10"/>
    <x v="2"/>
    <x v="9"/>
    <x v="6"/>
    <d v="2025-09-19T00:00:00"/>
    <x v="7"/>
    <n v="4412.93"/>
    <n v="10"/>
    <x v="3"/>
    <n v="2206.4699999999998"/>
    <x v="638"/>
    <n v="19858.18"/>
    <x v="7"/>
    <n v="2025"/>
  </r>
  <r>
    <s v="TXN00640"/>
    <x v="9"/>
    <x v="0"/>
    <x v="0"/>
    <x v="2"/>
    <d v="2024-02-14T00:00:00"/>
    <x v="0"/>
    <n v="61402.879999999997"/>
    <n v="0"/>
    <x v="7"/>
    <n v="0"/>
    <x v="639"/>
    <n v="184208.64000000001"/>
    <x v="2"/>
    <n v="2024"/>
  </r>
  <r>
    <s v="TXN00641"/>
    <x v="11"/>
    <x v="1"/>
    <x v="12"/>
    <x v="4"/>
    <d v="2024-02-02T00:00:00"/>
    <x v="9"/>
    <n v="6362.63"/>
    <n v="15"/>
    <x v="7"/>
    <n v="9543.94"/>
    <x v="640"/>
    <n v="54082.36"/>
    <x v="2"/>
    <n v="2024"/>
  </r>
  <r>
    <s v="TXN00642"/>
    <x v="12"/>
    <x v="4"/>
    <x v="14"/>
    <x v="2"/>
    <d v="2024-02-20T00:00:00"/>
    <x v="3"/>
    <n v="1432.77"/>
    <n v="0"/>
    <x v="4"/>
    <n v="0"/>
    <x v="641"/>
    <n v="8596.6200000000008"/>
    <x v="2"/>
    <n v="2024"/>
  </r>
  <r>
    <s v="TXN00643"/>
    <x v="8"/>
    <x v="0"/>
    <x v="6"/>
    <x v="5"/>
    <d v="2025-04-24T00:00:00"/>
    <x v="8"/>
    <n v="24755.79"/>
    <n v="15"/>
    <x v="7"/>
    <n v="3713.37"/>
    <x v="642"/>
    <n v="21042.42"/>
    <x v="1"/>
    <n v="2025"/>
  </r>
  <r>
    <s v="TXN00644"/>
    <x v="4"/>
    <x v="3"/>
    <x v="15"/>
    <x v="6"/>
    <d v="2025-06-25T00:00:00"/>
    <x v="8"/>
    <n v="866.86"/>
    <n v="10"/>
    <x v="4"/>
    <n v="86.69"/>
    <x v="643"/>
    <n v="780.17"/>
    <x v="5"/>
    <n v="2025"/>
  </r>
  <r>
    <s v="TXN00645"/>
    <x v="9"/>
    <x v="0"/>
    <x v="6"/>
    <x v="1"/>
    <d v="2024-08-24T00:00:00"/>
    <x v="6"/>
    <n v="24908.32"/>
    <n v="5"/>
    <x v="7"/>
    <n v="11208.74"/>
    <x v="644"/>
    <n v="212966.14"/>
    <x v="0"/>
    <n v="2024"/>
  </r>
  <r>
    <s v="TXN00646"/>
    <x v="12"/>
    <x v="2"/>
    <x v="5"/>
    <x v="2"/>
    <d v="2025-07-25T00:00:00"/>
    <x v="6"/>
    <n v="1204.56"/>
    <n v="0"/>
    <x v="3"/>
    <n v="0"/>
    <x v="645"/>
    <n v="10841.04"/>
    <x v="11"/>
    <n v="2025"/>
  </r>
  <r>
    <s v="TXN00647"/>
    <x v="8"/>
    <x v="2"/>
    <x v="22"/>
    <x v="5"/>
    <d v="2024-04-16T00:00:00"/>
    <x v="0"/>
    <n v="988.3"/>
    <n v="20"/>
    <x v="2"/>
    <n v="592.98"/>
    <x v="646"/>
    <n v="2371.92"/>
    <x v="1"/>
    <n v="2024"/>
  </r>
  <r>
    <s v="TXN00648"/>
    <x v="3"/>
    <x v="4"/>
    <x v="14"/>
    <x v="2"/>
    <d v="2025-06-30T00:00:00"/>
    <x v="9"/>
    <n v="1516.13"/>
    <n v="10"/>
    <x v="3"/>
    <n v="1516.13"/>
    <x v="647"/>
    <n v="13645.17"/>
    <x v="5"/>
    <n v="2025"/>
  </r>
  <r>
    <s v="TXN00649"/>
    <x v="3"/>
    <x v="3"/>
    <x v="21"/>
    <x v="3"/>
    <d v="2025-02-26T00:00:00"/>
    <x v="4"/>
    <n v="2766.35"/>
    <n v="10"/>
    <x v="5"/>
    <n v="1936.45"/>
    <x v="648"/>
    <n v="17428"/>
    <x v="2"/>
    <n v="2025"/>
  </r>
  <r>
    <s v="TXN00650"/>
    <x v="12"/>
    <x v="2"/>
    <x v="5"/>
    <x v="6"/>
    <d v="2025-01-19T00:00:00"/>
    <x v="6"/>
    <n v="1357.84"/>
    <n v="10"/>
    <x v="0"/>
    <n v="1222.06"/>
    <x v="649"/>
    <n v="10998.5"/>
    <x v="10"/>
    <n v="2025"/>
  </r>
  <r>
    <s v="TXN00651"/>
    <x v="11"/>
    <x v="3"/>
    <x v="16"/>
    <x v="5"/>
    <d v="2024-02-05T00:00:00"/>
    <x v="7"/>
    <n v="1573.41"/>
    <n v="20"/>
    <x v="1"/>
    <n v="1573.41"/>
    <x v="650"/>
    <n v="6293.64"/>
    <x v="2"/>
    <n v="2024"/>
  </r>
  <r>
    <s v="TXN00652"/>
    <x v="13"/>
    <x v="1"/>
    <x v="4"/>
    <x v="0"/>
    <d v="2024-08-07T00:00:00"/>
    <x v="3"/>
    <n v="7243.4"/>
    <n v="10"/>
    <x v="0"/>
    <n v="4346.04"/>
    <x v="651"/>
    <n v="39114.36"/>
    <x v="0"/>
    <n v="2024"/>
  </r>
  <r>
    <s v="TXN00653"/>
    <x v="9"/>
    <x v="2"/>
    <x v="11"/>
    <x v="6"/>
    <d v="2024-04-06T00:00:00"/>
    <x v="8"/>
    <n v="5075.46"/>
    <n v="5"/>
    <x v="3"/>
    <n v="253.77"/>
    <x v="652"/>
    <n v="4821.6899999999996"/>
    <x v="1"/>
    <n v="2024"/>
  </r>
  <r>
    <s v="TXN00654"/>
    <x v="3"/>
    <x v="1"/>
    <x v="4"/>
    <x v="6"/>
    <d v="2024-08-26T00:00:00"/>
    <x v="7"/>
    <n v="8822.15"/>
    <n v="0"/>
    <x v="0"/>
    <n v="0"/>
    <x v="653"/>
    <n v="44110.75"/>
    <x v="0"/>
    <n v="2024"/>
  </r>
  <r>
    <s v="TXN00655"/>
    <x v="12"/>
    <x v="2"/>
    <x v="9"/>
    <x v="4"/>
    <d v="2024-11-28T00:00:00"/>
    <x v="2"/>
    <n v="4668.97"/>
    <n v="20"/>
    <x v="7"/>
    <n v="7470.35"/>
    <x v="654"/>
    <n v="29881.41"/>
    <x v="8"/>
    <n v="2024"/>
  </r>
  <r>
    <s v="TXN00656"/>
    <x v="8"/>
    <x v="0"/>
    <x v="1"/>
    <x v="0"/>
    <d v="2025-08-13T00:00:00"/>
    <x v="4"/>
    <n v="2758.86"/>
    <n v="0"/>
    <x v="1"/>
    <n v="0"/>
    <x v="655"/>
    <n v="19312.02"/>
    <x v="0"/>
    <n v="2025"/>
  </r>
  <r>
    <s v="TXN00657"/>
    <x v="14"/>
    <x v="3"/>
    <x v="20"/>
    <x v="3"/>
    <d v="2025-03-02T00:00:00"/>
    <x v="5"/>
    <n v="3911.06"/>
    <n v="5"/>
    <x v="2"/>
    <n v="391.11"/>
    <x v="656"/>
    <n v="7431.01"/>
    <x v="6"/>
    <n v="2025"/>
  </r>
  <r>
    <s v="TXN00658"/>
    <x v="8"/>
    <x v="2"/>
    <x v="10"/>
    <x v="3"/>
    <d v="2024-02-25T00:00:00"/>
    <x v="7"/>
    <n v="2577.7399999999998"/>
    <n v="10"/>
    <x v="2"/>
    <n v="1288.8699999999999"/>
    <x v="657"/>
    <n v="11599.83"/>
    <x v="2"/>
    <n v="2024"/>
  </r>
  <r>
    <s v="TXN00659"/>
    <x v="7"/>
    <x v="2"/>
    <x v="11"/>
    <x v="0"/>
    <d v="2024-06-05T00:00:00"/>
    <x v="8"/>
    <n v="5342.04"/>
    <n v="15"/>
    <x v="0"/>
    <n v="801.31"/>
    <x v="658"/>
    <n v="4540.7299999999996"/>
    <x v="5"/>
    <n v="2024"/>
  </r>
  <r>
    <s v="TXN00660"/>
    <x v="12"/>
    <x v="4"/>
    <x v="14"/>
    <x v="6"/>
    <d v="2024-08-15T00:00:00"/>
    <x v="4"/>
    <n v="1458.67"/>
    <n v="15"/>
    <x v="7"/>
    <n v="1531.6"/>
    <x v="659"/>
    <n v="8679.09"/>
    <x v="0"/>
    <n v="2024"/>
  </r>
  <r>
    <s v="TXN00661"/>
    <x v="3"/>
    <x v="1"/>
    <x v="13"/>
    <x v="1"/>
    <d v="2025-08-08T00:00:00"/>
    <x v="8"/>
    <n v="12444.46"/>
    <n v="10"/>
    <x v="6"/>
    <n v="1244.45"/>
    <x v="660"/>
    <n v="11200.01"/>
    <x v="0"/>
    <n v="2025"/>
  </r>
  <r>
    <s v="TXN00662"/>
    <x v="9"/>
    <x v="0"/>
    <x v="24"/>
    <x v="5"/>
    <d v="2024-05-18T00:00:00"/>
    <x v="2"/>
    <n v="7278.77"/>
    <n v="15"/>
    <x v="3"/>
    <n v="8734.52"/>
    <x v="661"/>
    <n v="49495.64"/>
    <x v="9"/>
    <n v="2024"/>
  </r>
  <r>
    <s v="TXN00663"/>
    <x v="2"/>
    <x v="4"/>
    <x v="14"/>
    <x v="6"/>
    <d v="2024-09-05T00:00:00"/>
    <x v="5"/>
    <n v="1449.85"/>
    <n v="15"/>
    <x v="0"/>
    <n v="434.95"/>
    <x v="662"/>
    <n v="2464.75"/>
    <x v="7"/>
    <n v="2024"/>
  </r>
  <r>
    <s v="TXN00664"/>
    <x v="6"/>
    <x v="3"/>
    <x v="21"/>
    <x v="1"/>
    <d v="2025-03-09T00:00:00"/>
    <x v="3"/>
    <n v="2467.69"/>
    <n v="10"/>
    <x v="2"/>
    <n v="1480.61"/>
    <x v="663"/>
    <n v="13325.53"/>
    <x v="6"/>
    <n v="2025"/>
  </r>
  <r>
    <s v="TXN00665"/>
    <x v="8"/>
    <x v="3"/>
    <x v="21"/>
    <x v="1"/>
    <d v="2024-06-22T00:00:00"/>
    <x v="3"/>
    <n v="2635.14"/>
    <n v="15"/>
    <x v="4"/>
    <n v="2371.63"/>
    <x v="664"/>
    <n v="13439.21"/>
    <x v="5"/>
    <n v="2024"/>
  </r>
  <r>
    <s v="TXN00666"/>
    <x v="11"/>
    <x v="2"/>
    <x v="5"/>
    <x v="1"/>
    <d v="2024-07-23T00:00:00"/>
    <x v="3"/>
    <n v="1126.8"/>
    <n v="0"/>
    <x v="0"/>
    <n v="0"/>
    <x v="665"/>
    <n v="6760.8"/>
    <x v="11"/>
    <n v="2024"/>
  </r>
  <r>
    <s v="TXN00667"/>
    <x v="2"/>
    <x v="0"/>
    <x v="0"/>
    <x v="6"/>
    <d v="2024-10-21T00:00:00"/>
    <x v="8"/>
    <n v="70485.98"/>
    <n v="0"/>
    <x v="3"/>
    <n v="0"/>
    <x v="666"/>
    <n v="70485.98"/>
    <x v="4"/>
    <n v="2024"/>
  </r>
  <r>
    <s v="TXN00668"/>
    <x v="11"/>
    <x v="3"/>
    <x v="16"/>
    <x v="1"/>
    <d v="2024-08-02T00:00:00"/>
    <x v="6"/>
    <n v="1429.45"/>
    <n v="20"/>
    <x v="5"/>
    <n v="2573.0100000000002"/>
    <x v="667"/>
    <n v="10292.040000000001"/>
    <x v="0"/>
    <n v="2024"/>
  </r>
  <r>
    <s v="TXN00669"/>
    <x v="9"/>
    <x v="2"/>
    <x v="22"/>
    <x v="5"/>
    <d v="2025-12-12T00:00:00"/>
    <x v="8"/>
    <n v="984.21"/>
    <n v="20"/>
    <x v="3"/>
    <n v="196.84"/>
    <x v="668"/>
    <n v="787.37"/>
    <x v="3"/>
    <n v="2025"/>
  </r>
  <r>
    <s v="TXN00670"/>
    <x v="7"/>
    <x v="0"/>
    <x v="3"/>
    <x v="1"/>
    <d v="2024-07-24T00:00:00"/>
    <x v="9"/>
    <n v="17420.77"/>
    <n v="15"/>
    <x v="4"/>
    <n v="26131.16"/>
    <x v="669"/>
    <n v="148076.54"/>
    <x v="11"/>
    <n v="2024"/>
  </r>
  <r>
    <s v="TXN00671"/>
    <x v="1"/>
    <x v="0"/>
    <x v="0"/>
    <x v="2"/>
    <d v="2025-11-09T00:00:00"/>
    <x v="3"/>
    <n v="79799.05"/>
    <n v="0"/>
    <x v="4"/>
    <n v="0"/>
    <x v="670"/>
    <n v="478794.3"/>
    <x v="8"/>
    <n v="2025"/>
  </r>
  <r>
    <s v="TXN00672"/>
    <x v="2"/>
    <x v="3"/>
    <x v="16"/>
    <x v="5"/>
    <d v="2024-11-19T00:00:00"/>
    <x v="2"/>
    <n v="1842.54"/>
    <n v="20"/>
    <x v="7"/>
    <n v="2948.06"/>
    <x v="671"/>
    <n v="11792.26"/>
    <x v="8"/>
    <n v="2024"/>
  </r>
  <r>
    <s v="TXN00673"/>
    <x v="2"/>
    <x v="0"/>
    <x v="6"/>
    <x v="6"/>
    <d v="2025-07-28T00:00:00"/>
    <x v="8"/>
    <n v="22748.45"/>
    <n v="20"/>
    <x v="6"/>
    <n v="4549.6899999999996"/>
    <x v="672"/>
    <n v="18198.759999999998"/>
    <x v="11"/>
    <n v="2025"/>
  </r>
  <r>
    <s v="TXN00674"/>
    <x v="11"/>
    <x v="3"/>
    <x v="20"/>
    <x v="5"/>
    <d v="2024-01-19T00:00:00"/>
    <x v="3"/>
    <n v="3748.77"/>
    <n v="10"/>
    <x v="3"/>
    <n v="2249.2600000000002"/>
    <x v="673"/>
    <n v="20243.36"/>
    <x v="10"/>
    <n v="2024"/>
  </r>
  <r>
    <s v="TXN00675"/>
    <x v="9"/>
    <x v="3"/>
    <x v="7"/>
    <x v="0"/>
    <d v="2025-10-02T00:00:00"/>
    <x v="7"/>
    <n v="2216.9499999999998"/>
    <n v="0"/>
    <x v="1"/>
    <n v="0"/>
    <x v="674"/>
    <n v="11084.75"/>
    <x v="4"/>
    <n v="2025"/>
  </r>
  <r>
    <s v="TXN00676"/>
    <x v="2"/>
    <x v="2"/>
    <x v="22"/>
    <x v="4"/>
    <d v="2025-02-06T00:00:00"/>
    <x v="0"/>
    <n v="829.75"/>
    <n v="15"/>
    <x v="5"/>
    <n v="373.39"/>
    <x v="675"/>
    <n v="2115.86"/>
    <x v="2"/>
    <n v="2025"/>
  </r>
  <r>
    <s v="TXN00677"/>
    <x v="4"/>
    <x v="2"/>
    <x v="11"/>
    <x v="2"/>
    <d v="2025-03-03T00:00:00"/>
    <x v="1"/>
    <n v="5216.12"/>
    <n v="15"/>
    <x v="0"/>
    <n v="3129.67"/>
    <x v="676"/>
    <n v="17734.810000000001"/>
    <x v="6"/>
    <n v="2025"/>
  </r>
  <r>
    <s v="TXN00678"/>
    <x v="3"/>
    <x v="3"/>
    <x v="21"/>
    <x v="5"/>
    <d v="2024-07-30T00:00:00"/>
    <x v="0"/>
    <n v="2613.14"/>
    <n v="5"/>
    <x v="3"/>
    <n v="391.97"/>
    <x v="677"/>
    <n v="7447.45"/>
    <x v="11"/>
    <n v="2024"/>
  </r>
  <r>
    <s v="TXN00679"/>
    <x v="0"/>
    <x v="1"/>
    <x v="4"/>
    <x v="2"/>
    <d v="2025-03-16T00:00:00"/>
    <x v="0"/>
    <n v="8512.4599999999991"/>
    <n v="20"/>
    <x v="3"/>
    <n v="5107.4799999999996"/>
    <x v="678"/>
    <n v="20429.900000000001"/>
    <x v="6"/>
    <n v="2025"/>
  </r>
  <r>
    <s v="TXN00680"/>
    <x v="6"/>
    <x v="1"/>
    <x v="4"/>
    <x v="6"/>
    <d v="2024-07-07T00:00:00"/>
    <x v="3"/>
    <n v="8879.0499999999993"/>
    <n v="5"/>
    <x v="7"/>
    <n v="2663.72"/>
    <x v="679"/>
    <n v="50610.58"/>
    <x v="11"/>
    <n v="2024"/>
  </r>
  <r>
    <s v="TXN00681"/>
    <x v="14"/>
    <x v="0"/>
    <x v="3"/>
    <x v="5"/>
    <d v="2024-11-06T00:00:00"/>
    <x v="2"/>
    <n v="21510.77"/>
    <n v="10"/>
    <x v="2"/>
    <n v="17208.62"/>
    <x v="680"/>
    <n v="154877.54"/>
    <x v="8"/>
    <n v="2024"/>
  </r>
  <r>
    <s v="TXN00682"/>
    <x v="6"/>
    <x v="1"/>
    <x v="13"/>
    <x v="4"/>
    <d v="2024-01-27T00:00:00"/>
    <x v="9"/>
    <n v="12650.84"/>
    <n v="20"/>
    <x v="3"/>
    <n v="25301.68"/>
    <x v="681"/>
    <n v="101206.72"/>
    <x v="10"/>
    <n v="2024"/>
  </r>
  <r>
    <s v="TXN00683"/>
    <x v="2"/>
    <x v="2"/>
    <x v="11"/>
    <x v="6"/>
    <d v="2024-08-24T00:00:00"/>
    <x v="8"/>
    <n v="4949.08"/>
    <n v="15"/>
    <x v="0"/>
    <n v="742.36"/>
    <x v="682"/>
    <n v="4206.72"/>
    <x v="0"/>
    <n v="2024"/>
  </r>
  <r>
    <s v="TXN00684"/>
    <x v="4"/>
    <x v="1"/>
    <x v="8"/>
    <x v="6"/>
    <d v="2025-12-30T00:00:00"/>
    <x v="3"/>
    <n v="41623.74"/>
    <n v="15"/>
    <x v="6"/>
    <n v="37461.370000000003"/>
    <x v="683"/>
    <n v="212281.07"/>
    <x v="3"/>
    <n v="2025"/>
  </r>
  <r>
    <s v="TXN00685"/>
    <x v="7"/>
    <x v="4"/>
    <x v="23"/>
    <x v="4"/>
    <d v="2024-08-19T00:00:00"/>
    <x v="8"/>
    <n v="10021.469999999999"/>
    <n v="0"/>
    <x v="0"/>
    <n v="0"/>
    <x v="684"/>
    <n v="10021.469999999999"/>
    <x v="0"/>
    <n v="2024"/>
  </r>
  <r>
    <s v="TXN00686"/>
    <x v="2"/>
    <x v="3"/>
    <x v="16"/>
    <x v="2"/>
    <d v="2024-07-28T00:00:00"/>
    <x v="5"/>
    <n v="1416.4"/>
    <n v="15"/>
    <x v="0"/>
    <n v="424.92"/>
    <x v="685"/>
    <n v="2407.88"/>
    <x v="11"/>
    <n v="2024"/>
  </r>
  <r>
    <s v="TXN00687"/>
    <x v="0"/>
    <x v="2"/>
    <x v="9"/>
    <x v="0"/>
    <d v="2024-09-09T00:00:00"/>
    <x v="4"/>
    <n v="4505.4799999999996"/>
    <n v="0"/>
    <x v="6"/>
    <n v="0"/>
    <x v="686"/>
    <n v="31538.36"/>
    <x v="7"/>
    <n v="2024"/>
  </r>
  <r>
    <s v="TXN00688"/>
    <x v="0"/>
    <x v="2"/>
    <x v="9"/>
    <x v="0"/>
    <d v="2025-09-18T00:00:00"/>
    <x v="9"/>
    <n v="4718.03"/>
    <n v="20"/>
    <x v="2"/>
    <n v="9436.06"/>
    <x v="687"/>
    <n v="37744.239999999998"/>
    <x v="7"/>
    <n v="2025"/>
  </r>
  <r>
    <s v="TXN00689"/>
    <x v="6"/>
    <x v="0"/>
    <x v="1"/>
    <x v="5"/>
    <d v="2024-02-13T00:00:00"/>
    <x v="1"/>
    <n v="3089.03"/>
    <n v="15"/>
    <x v="6"/>
    <n v="1853.42"/>
    <x v="688"/>
    <n v="10502.7"/>
    <x v="2"/>
    <n v="2024"/>
  </r>
  <r>
    <s v="TXN00690"/>
    <x v="1"/>
    <x v="0"/>
    <x v="1"/>
    <x v="6"/>
    <d v="2024-07-13T00:00:00"/>
    <x v="7"/>
    <n v="3029.67"/>
    <n v="10"/>
    <x v="1"/>
    <n v="1514.84"/>
    <x v="689"/>
    <n v="13633.51"/>
    <x v="11"/>
    <n v="2024"/>
  </r>
  <r>
    <s v="TXN00691"/>
    <x v="7"/>
    <x v="3"/>
    <x v="16"/>
    <x v="5"/>
    <d v="2025-09-19T00:00:00"/>
    <x v="8"/>
    <n v="1608.73"/>
    <n v="5"/>
    <x v="4"/>
    <n v="80.44"/>
    <x v="690"/>
    <n v="1528.29"/>
    <x v="7"/>
    <n v="2025"/>
  </r>
  <r>
    <s v="TXN00692"/>
    <x v="6"/>
    <x v="4"/>
    <x v="23"/>
    <x v="2"/>
    <d v="2024-07-03T00:00:00"/>
    <x v="9"/>
    <n v="11344.61"/>
    <n v="20"/>
    <x v="7"/>
    <n v="22689.22"/>
    <x v="691"/>
    <n v="90756.88"/>
    <x v="11"/>
    <n v="2024"/>
  </r>
  <r>
    <s v="TXN00693"/>
    <x v="1"/>
    <x v="1"/>
    <x v="2"/>
    <x v="0"/>
    <d v="2024-01-26T00:00:00"/>
    <x v="0"/>
    <n v="25335.5"/>
    <n v="5"/>
    <x v="6"/>
    <n v="3800.33"/>
    <x v="692"/>
    <n v="72206.17"/>
    <x v="10"/>
    <n v="2024"/>
  </r>
  <r>
    <s v="TXN00694"/>
    <x v="5"/>
    <x v="4"/>
    <x v="17"/>
    <x v="0"/>
    <d v="2024-05-06T00:00:00"/>
    <x v="5"/>
    <n v="3249.89"/>
    <n v="15"/>
    <x v="3"/>
    <n v="974.97"/>
    <x v="693"/>
    <n v="5524.81"/>
    <x v="9"/>
    <n v="2024"/>
  </r>
  <r>
    <s v="TXN00695"/>
    <x v="9"/>
    <x v="3"/>
    <x v="15"/>
    <x v="2"/>
    <d v="2025-06-07T00:00:00"/>
    <x v="9"/>
    <n v="909.95"/>
    <n v="15"/>
    <x v="2"/>
    <n v="1364.92"/>
    <x v="694"/>
    <n v="7734.58"/>
    <x v="5"/>
    <n v="2025"/>
  </r>
  <r>
    <s v="TXN00696"/>
    <x v="13"/>
    <x v="2"/>
    <x v="9"/>
    <x v="3"/>
    <d v="2024-12-09T00:00:00"/>
    <x v="9"/>
    <n v="5533.24"/>
    <n v="5"/>
    <x v="3"/>
    <n v="2766.62"/>
    <x v="695"/>
    <n v="52565.78"/>
    <x v="3"/>
    <n v="2024"/>
  </r>
  <r>
    <s v="TXN00697"/>
    <x v="7"/>
    <x v="1"/>
    <x v="13"/>
    <x v="3"/>
    <d v="2025-03-05T00:00:00"/>
    <x v="7"/>
    <n v="11728.55"/>
    <n v="15"/>
    <x v="1"/>
    <n v="8796.41"/>
    <x v="696"/>
    <n v="49846.34"/>
    <x v="6"/>
    <n v="2025"/>
  </r>
  <r>
    <s v="TXN00698"/>
    <x v="6"/>
    <x v="3"/>
    <x v="7"/>
    <x v="4"/>
    <d v="2024-01-04T00:00:00"/>
    <x v="9"/>
    <n v="1964.43"/>
    <n v="0"/>
    <x v="0"/>
    <n v="0"/>
    <x v="697"/>
    <n v="19644.3"/>
    <x v="10"/>
    <n v="2024"/>
  </r>
  <r>
    <s v="TXN00699"/>
    <x v="4"/>
    <x v="4"/>
    <x v="23"/>
    <x v="5"/>
    <d v="2025-09-14T00:00:00"/>
    <x v="2"/>
    <n v="9594.7000000000007"/>
    <n v="20"/>
    <x v="1"/>
    <n v="15351.52"/>
    <x v="698"/>
    <n v="61406.080000000002"/>
    <x v="7"/>
    <n v="2025"/>
  </r>
  <r>
    <s v="TXN00700"/>
    <x v="1"/>
    <x v="4"/>
    <x v="23"/>
    <x v="5"/>
    <d v="2025-09-07T00:00:00"/>
    <x v="9"/>
    <n v="9016.43"/>
    <n v="20"/>
    <x v="7"/>
    <n v="18032.86"/>
    <x v="699"/>
    <n v="72131.44"/>
    <x v="7"/>
    <n v="2025"/>
  </r>
  <r>
    <s v="TXN00701"/>
    <x v="8"/>
    <x v="3"/>
    <x v="21"/>
    <x v="6"/>
    <d v="2024-02-20T00:00:00"/>
    <x v="0"/>
    <n v="2342.66"/>
    <n v="10"/>
    <x v="0"/>
    <n v="702.8"/>
    <x v="700"/>
    <n v="6325.18"/>
    <x v="2"/>
    <n v="2024"/>
  </r>
  <r>
    <s v="TXN00702"/>
    <x v="4"/>
    <x v="0"/>
    <x v="6"/>
    <x v="1"/>
    <d v="2024-12-05T00:00:00"/>
    <x v="5"/>
    <n v="25087.09"/>
    <n v="15"/>
    <x v="4"/>
    <n v="7526.13"/>
    <x v="701"/>
    <n v="42648.05"/>
    <x v="3"/>
    <n v="2024"/>
  </r>
  <r>
    <s v="TXN00703"/>
    <x v="8"/>
    <x v="1"/>
    <x v="13"/>
    <x v="0"/>
    <d v="2025-04-11T00:00:00"/>
    <x v="9"/>
    <n v="11880.57"/>
    <n v="0"/>
    <x v="3"/>
    <n v="0"/>
    <x v="702"/>
    <n v="118805.7"/>
    <x v="1"/>
    <n v="2025"/>
  </r>
  <r>
    <s v="TXN00704"/>
    <x v="3"/>
    <x v="0"/>
    <x v="3"/>
    <x v="0"/>
    <d v="2024-03-10T00:00:00"/>
    <x v="4"/>
    <n v="19994.89"/>
    <n v="0"/>
    <x v="2"/>
    <n v="0"/>
    <x v="703"/>
    <n v="139964.23000000001"/>
    <x v="6"/>
    <n v="2024"/>
  </r>
  <r>
    <s v="TXN00705"/>
    <x v="7"/>
    <x v="3"/>
    <x v="16"/>
    <x v="1"/>
    <d v="2024-12-03T00:00:00"/>
    <x v="6"/>
    <n v="1655.68"/>
    <n v="5"/>
    <x v="4"/>
    <n v="745.06"/>
    <x v="704"/>
    <n v="14156.06"/>
    <x v="3"/>
    <n v="2024"/>
  </r>
  <r>
    <s v="TXN00706"/>
    <x v="13"/>
    <x v="1"/>
    <x v="8"/>
    <x v="1"/>
    <d v="2025-05-10T00:00:00"/>
    <x v="9"/>
    <n v="45338.92"/>
    <n v="10"/>
    <x v="7"/>
    <n v="45338.92"/>
    <x v="705"/>
    <n v="408050.28"/>
    <x v="9"/>
    <n v="2025"/>
  </r>
  <r>
    <s v="TXN00707"/>
    <x v="4"/>
    <x v="4"/>
    <x v="14"/>
    <x v="0"/>
    <d v="2025-06-22T00:00:00"/>
    <x v="9"/>
    <n v="1723.13"/>
    <n v="10"/>
    <x v="4"/>
    <n v="1723.13"/>
    <x v="706"/>
    <n v="15508.17"/>
    <x v="5"/>
    <n v="2025"/>
  </r>
  <r>
    <s v="TXN00708"/>
    <x v="12"/>
    <x v="1"/>
    <x v="8"/>
    <x v="5"/>
    <d v="2025-05-19T00:00:00"/>
    <x v="0"/>
    <n v="44836.639999999999"/>
    <n v="5"/>
    <x v="6"/>
    <n v="6725.5"/>
    <x v="707"/>
    <n v="127784.42"/>
    <x v="9"/>
    <n v="2025"/>
  </r>
  <r>
    <s v="TXN00709"/>
    <x v="13"/>
    <x v="3"/>
    <x v="7"/>
    <x v="1"/>
    <d v="2025-04-21T00:00:00"/>
    <x v="5"/>
    <n v="1951.86"/>
    <n v="5"/>
    <x v="1"/>
    <n v="195.19"/>
    <x v="708"/>
    <n v="3708.53"/>
    <x v="1"/>
    <n v="2025"/>
  </r>
  <r>
    <s v="TXN00710"/>
    <x v="1"/>
    <x v="2"/>
    <x v="9"/>
    <x v="1"/>
    <d v="2024-12-24T00:00:00"/>
    <x v="6"/>
    <n v="5452.48"/>
    <n v="5"/>
    <x v="5"/>
    <n v="2453.62"/>
    <x v="709"/>
    <n v="46618.7"/>
    <x v="3"/>
    <n v="2024"/>
  </r>
  <r>
    <s v="TXN00711"/>
    <x v="0"/>
    <x v="0"/>
    <x v="6"/>
    <x v="0"/>
    <d v="2024-03-10T00:00:00"/>
    <x v="7"/>
    <n v="24376.77"/>
    <n v="20"/>
    <x v="4"/>
    <n v="24376.77"/>
    <x v="710"/>
    <n v="97507.08"/>
    <x v="6"/>
    <n v="2024"/>
  </r>
  <r>
    <s v="TXN00712"/>
    <x v="6"/>
    <x v="3"/>
    <x v="15"/>
    <x v="2"/>
    <d v="2024-12-15T00:00:00"/>
    <x v="4"/>
    <n v="951.37"/>
    <n v="20"/>
    <x v="5"/>
    <n v="1331.92"/>
    <x v="711"/>
    <n v="5327.67"/>
    <x v="3"/>
    <n v="2024"/>
  </r>
  <r>
    <s v="TXN00713"/>
    <x v="2"/>
    <x v="0"/>
    <x v="6"/>
    <x v="0"/>
    <d v="2025-11-19T00:00:00"/>
    <x v="2"/>
    <n v="31048.62"/>
    <n v="0"/>
    <x v="5"/>
    <n v="0"/>
    <x v="712"/>
    <n v="248388.96"/>
    <x v="8"/>
    <n v="2025"/>
  </r>
  <r>
    <s v="TXN00714"/>
    <x v="7"/>
    <x v="1"/>
    <x v="2"/>
    <x v="2"/>
    <d v="2025-07-03T00:00:00"/>
    <x v="3"/>
    <n v="25390.44"/>
    <n v="15"/>
    <x v="6"/>
    <n v="22851.4"/>
    <x v="713"/>
    <n v="129491.24"/>
    <x v="11"/>
    <n v="2025"/>
  </r>
  <r>
    <s v="TXN00715"/>
    <x v="5"/>
    <x v="0"/>
    <x v="1"/>
    <x v="6"/>
    <d v="2025-07-22T00:00:00"/>
    <x v="6"/>
    <n v="2714.04"/>
    <n v="20"/>
    <x v="5"/>
    <n v="4885.2700000000004"/>
    <x v="714"/>
    <n v="19541.09"/>
    <x v="11"/>
    <n v="2025"/>
  </r>
  <r>
    <s v="TXN00716"/>
    <x v="6"/>
    <x v="3"/>
    <x v="20"/>
    <x v="4"/>
    <d v="2024-02-01T00:00:00"/>
    <x v="3"/>
    <n v="4010.67"/>
    <n v="20"/>
    <x v="4"/>
    <n v="4812.8"/>
    <x v="715"/>
    <n v="19251.22"/>
    <x v="2"/>
    <n v="2024"/>
  </r>
  <r>
    <s v="TXN00717"/>
    <x v="12"/>
    <x v="1"/>
    <x v="8"/>
    <x v="5"/>
    <d v="2025-09-01T00:00:00"/>
    <x v="5"/>
    <n v="44645.94"/>
    <n v="10"/>
    <x v="3"/>
    <n v="8929.19"/>
    <x v="716"/>
    <n v="80362.69"/>
    <x v="7"/>
    <n v="2025"/>
  </r>
  <r>
    <s v="TXN00718"/>
    <x v="5"/>
    <x v="3"/>
    <x v="15"/>
    <x v="5"/>
    <d v="2025-05-23T00:00:00"/>
    <x v="1"/>
    <n v="794.32"/>
    <n v="10"/>
    <x v="7"/>
    <n v="317.73"/>
    <x v="717"/>
    <n v="2859.55"/>
    <x v="9"/>
    <n v="2025"/>
  </r>
  <r>
    <s v="TXN00719"/>
    <x v="5"/>
    <x v="1"/>
    <x v="8"/>
    <x v="4"/>
    <d v="2025-01-18T00:00:00"/>
    <x v="8"/>
    <n v="43777.9"/>
    <n v="0"/>
    <x v="7"/>
    <n v="0"/>
    <x v="718"/>
    <n v="43777.9"/>
    <x v="10"/>
    <n v="2025"/>
  </r>
  <r>
    <s v="TXN00720"/>
    <x v="13"/>
    <x v="4"/>
    <x v="14"/>
    <x v="3"/>
    <d v="2025-05-27T00:00:00"/>
    <x v="0"/>
    <n v="1421.33"/>
    <n v="15"/>
    <x v="6"/>
    <n v="639.6"/>
    <x v="719"/>
    <n v="3624.39"/>
    <x v="9"/>
    <n v="2025"/>
  </r>
  <r>
    <s v="TXN00721"/>
    <x v="10"/>
    <x v="2"/>
    <x v="22"/>
    <x v="0"/>
    <d v="2024-04-10T00:00:00"/>
    <x v="6"/>
    <n v="962.26"/>
    <n v="5"/>
    <x v="3"/>
    <n v="433.02"/>
    <x v="720"/>
    <n v="8227.32"/>
    <x v="1"/>
    <n v="2024"/>
  </r>
  <r>
    <s v="TXN00722"/>
    <x v="11"/>
    <x v="1"/>
    <x v="12"/>
    <x v="5"/>
    <d v="2024-01-05T00:00:00"/>
    <x v="7"/>
    <n v="6798.51"/>
    <n v="20"/>
    <x v="7"/>
    <n v="6798.51"/>
    <x v="721"/>
    <n v="27194.04"/>
    <x v="10"/>
    <n v="2024"/>
  </r>
  <r>
    <s v="TXN00723"/>
    <x v="11"/>
    <x v="0"/>
    <x v="3"/>
    <x v="1"/>
    <d v="2025-06-17T00:00:00"/>
    <x v="7"/>
    <n v="16301.16"/>
    <n v="10"/>
    <x v="7"/>
    <n v="8150.58"/>
    <x v="722"/>
    <n v="73355.22"/>
    <x v="5"/>
    <n v="2025"/>
  </r>
  <r>
    <s v="TXN00724"/>
    <x v="2"/>
    <x v="1"/>
    <x v="4"/>
    <x v="4"/>
    <d v="2024-10-10T00:00:00"/>
    <x v="6"/>
    <n v="8622.1299999999992"/>
    <n v="15"/>
    <x v="4"/>
    <n v="11639.88"/>
    <x v="723"/>
    <n v="65959.289999999994"/>
    <x v="4"/>
    <n v="2024"/>
  </r>
  <r>
    <s v="TXN00725"/>
    <x v="7"/>
    <x v="0"/>
    <x v="3"/>
    <x v="4"/>
    <d v="2024-04-27T00:00:00"/>
    <x v="8"/>
    <n v="20512.34"/>
    <n v="20"/>
    <x v="4"/>
    <n v="4102.47"/>
    <x v="724"/>
    <n v="16409.87"/>
    <x v="1"/>
    <n v="2024"/>
  </r>
  <r>
    <s v="TXN00726"/>
    <x v="2"/>
    <x v="2"/>
    <x v="10"/>
    <x v="6"/>
    <d v="2025-07-16T00:00:00"/>
    <x v="3"/>
    <n v="2419.41"/>
    <n v="10"/>
    <x v="5"/>
    <n v="1451.65"/>
    <x v="725"/>
    <n v="13064.81"/>
    <x v="11"/>
    <n v="2025"/>
  </r>
  <r>
    <s v="TXN00727"/>
    <x v="7"/>
    <x v="2"/>
    <x v="5"/>
    <x v="1"/>
    <d v="2025-09-19T00:00:00"/>
    <x v="3"/>
    <n v="1242.17"/>
    <n v="0"/>
    <x v="4"/>
    <n v="0"/>
    <x v="726"/>
    <n v="7453.02"/>
    <x v="7"/>
    <n v="2025"/>
  </r>
  <r>
    <s v="TXN00728"/>
    <x v="11"/>
    <x v="1"/>
    <x v="12"/>
    <x v="2"/>
    <d v="2024-04-18T00:00:00"/>
    <x v="4"/>
    <n v="5480.7"/>
    <n v="15"/>
    <x v="1"/>
    <n v="5754.73"/>
    <x v="727"/>
    <n v="32610.17"/>
    <x v="1"/>
    <n v="2024"/>
  </r>
  <r>
    <s v="TXN00729"/>
    <x v="0"/>
    <x v="4"/>
    <x v="18"/>
    <x v="6"/>
    <d v="2025-09-23T00:00:00"/>
    <x v="3"/>
    <n v="11737.32"/>
    <n v="5"/>
    <x v="6"/>
    <n v="3521.2"/>
    <x v="728"/>
    <n v="66902.720000000001"/>
    <x v="7"/>
    <n v="2025"/>
  </r>
  <r>
    <s v="TXN00730"/>
    <x v="14"/>
    <x v="2"/>
    <x v="10"/>
    <x v="3"/>
    <d v="2025-08-04T00:00:00"/>
    <x v="0"/>
    <n v="2308.0700000000002"/>
    <n v="15"/>
    <x v="6"/>
    <n v="1038.6300000000001"/>
    <x v="729"/>
    <n v="5885.58"/>
    <x v="0"/>
    <n v="2025"/>
  </r>
  <r>
    <s v="TXN00731"/>
    <x v="5"/>
    <x v="0"/>
    <x v="24"/>
    <x v="2"/>
    <d v="2025-04-26T00:00:00"/>
    <x v="1"/>
    <n v="7958.03"/>
    <n v="5"/>
    <x v="6"/>
    <n v="1591.61"/>
    <x v="730"/>
    <n v="30240.51"/>
    <x v="1"/>
    <n v="2025"/>
  </r>
  <r>
    <s v="TXN00732"/>
    <x v="14"/>
    <x v="2"/>
    <x v="22"/>
    <x v="0"/>
    <d v="2024-07-06T00:00:00"/>
    <x v="3"/>
    <n v="987.48"/>
    <n v="10"/>
    <x v="2"/>
    <n v="592.49"/>
    <x v="731"/>
    <n v="5332.39"/>
    <x v="11"/>
    <n v="2024"/>
  </r>
  <r>
    <s v="TXN00733"/>
    <x v="13"/>
    <x v="4"/>
    <x v="23"/>
    <x v="1"/>
    <d v="2024-04-25T00:00:00"/>
    <x v="3"/>
    <n v="10196.629999999999"/>
    <n v="5"/>
    <x v="6"/>
    <n v="3058.99"/>
    <x v="732"/>
    <n v="58120.79"/>
    <x v="1"/>
    <n v="2024"/>
  </r>
  <r>
    <s v="TXN00734"/>
    <x v="12"/>
    <x v="3"/>
    <x v="20"/>
    <x v="6"/>
    <d v="2025-06-04T00:00:00"/>
    <x v="5"/>
    <n v="3504.98"/>
    <n v="0"/>
    <x v="3"/>
    <n v="0"/>
    <x v="733"/>
    <n v="7009.96"/>
    <x v="5"/>
    <n v="2025"/>
  </r>
  <r>
    <s v="TXN00735"/>
    <x v="8"/>
    <x v="3"/>
    <x v="21"/>
    <x v="1"/>
    <d v="2025-06-29T00:00:00"/>
    <x v="2"/>
    <n v="2500.5100000000002"/>
    <n v="15"/>
    <x v="4"/>
    <n v="3000.61"/>
    <x v="734"/>
    <n v="17003.47"/>
    <x v="5"/>
    <n v="2025"/>
  </r>
  <r>
    <s v="TXN00736"/>
    <x v="2"/>
    <x v="1"/>
    <x v="8"/>
    <x v="6"/>
    <d v="2025-05-08T00:00:00"/>
    <x v="4"/>
    <n v="36660.6"/>
    <n v="5"/>
    <x v="3"/>
    <n v="12831.21"/>
    <x v="735"/>
    <n v="243792.99"/>
    <x v="9"/>
    <n v="2025"/>
  </r>
  <r>
    <s v="TXN00737"/>
    <x v="10"/>
    <x v="2"/>
    <x v="9"/>
    <x v="5"/>
    <d v="2025-07-11T00:00:00"/>
    <x v="1"/>
    <n v="4244.72"/>
    <n v="0"/>
    <x v="5"/>
    <n v="0"/>
    <x v="736"/>
    <n v="16978.88"/>
    <x v="11"/>
    <n v="2025"/>
  </r>
  <r>
    <s v="TXN00738"/>
    <x v="6"/>
    <x v="2"/>
    <x v="9"/>
    <x v="6"/>
    <d v="2024-11-29T00:00:00"/>
    <x v="6"/>
    <n v="4575.8500000000004"/>
    <n v="15"/>
    <x v="6"/>
    <n v="6177.4"/>
    <x v="737"/>
    <n v="35005.25"/>
    <x v="8"/>
    <n v="2024"/>
  </r>
  <r>
    <s v="TXN00739"/>
    <x v="1"/>
    <x v="1"/>
    <x v="4"/>
    <x v="1"/>
    <d v="2025-12-02T00:00:00"/>
    <x v="9"/>
    <n v="9616.9599999999991"/>
    <n v="15"/>
    <x v="7"/>
    <n v="14425.44"/>
    <x v="738"/>
    <n v="81744.160000000003"/>
    <x v="3"/>
    <n v="2025"/>
  </r>
  <r>
    <s v="TXN00740"/>
    <x v="8"/>
    <x v="3"/>
    <x v="16"/>
    <x v="2"/>
    <d v="2024-04-02T00:00:00"/>
    <x v="1"/>
    <n v="1656.39"/>
    <n v="20"/>
    <x v="1"/>
    <n v="1325.11"/>
    <x v="739"/>
    <n v="5300.45"/>
    <x v="1"/>
    <n v="2024"/>
  </r>
  <r>
    <s v="TXN00741"/>
    <x v="8"/>
    <x v="0"/>
    <x v="6"/>
    <x v="4"/>
    <d v="2025-06-28T00:00:00"/>
    <x v="7"/>
    <n v="24937.39"/>
    <n v="20"/>
    <x v="6"/>
    <n v="24937.39"/>
    <x v="740"/>
    <n v="99749.56"/>
    <x v="5"/>
    <n v="2025"/>
  </r>
  <r>
    <s v="TXN00742"/>
    <x v="2"/>
    <x v="4"/>
    <x v="18"/>
    <x v="2"/>
    <d v="2024-11-02T00:00:00"/>
    <x v="9"/>
    <n v="14501.34"/>
    <n v="10"/>
    <x v="5"/>
    <n v="14501.34"/>
    <x v="741"/>
    <n v="130512.06"/>
    <x v="8"/>
    <n v="2024"/>
  </r>
  <r>
    <s v="TXN00743"/>
    <x v="6"/>
    <x v="4"/>
    <x v="19"/>
    <x v="6"/>
    <d v="2025-09-18T00:00:00"/>
    <x v="6"/>
    <n v="8008.39"/>
    <n v="5"/>
    <x v="1"/>
    <n v="3603.78"/>
    <x v="742"/>
    <n v="68471.73"/>
    <x v="7"/>
    <n v="2025"/>
  </r>
  <r>
    <s v="TXN00744"/>
    <x v="3"/>
    <x v="3"/>
    <x v="15"/>
    <x v="6"/>
    <d v="2024-01-01T00:00:00"/>
    <x v="6"/>
    <n v="884.15"/>
    <n v="10"/>
    <x v="1"/>
    <n v="795.74"/>
    <x v="743"/>
    <n v="7161.61"/>
    <x v="10"/>
    <n v="2024"/>
  </r>
  <r>
    <s v="TXN00745"/>
    <x v="4"/>
    <x v="0"/>
    <x v="3"/>
    <x v="1"/>
    <d v="2025-03-18T00:00:00"/>
    <x v="9"/>
    <n v="17974.21"/>
    <n v="10"/>
    <x v="0"/>
    <n v="17974.21"/>
    <x v="744"/>
    <n v="161767.89000000001"/>
    <x v="6"/>
    <n v="2025"/>
  </r>
  <r>
    <s v="TXN00746"/>
    <x v="1"/>
    <x v="4"/>
    <x v="23"/>
    <x v="5"/>
    <d v="2025-11-09T00:00:00"/>
    <x v="0"/>
    <n v="11205.9"/>
    <n v="5"/>
    <x v="0"/>
    <n v="1680.88"/>
    <x v="745"/>
    <n v="31936.82"/>
    <x v="8"/>
    <n v="2025"/>
  </r>
  <r>
    <s v="TXN00747"/>
    <x v="4"/>
    <x v="2"/>
    <x v="9"/>
    <x v="0"/>
    <d v="2024-06-06T00:00:00"/>
    <x v="7"/>
    <n v="5172.1400000000003"/>
    <n v="5"/>
    <x v="2"/>
    <n v="1293.04"/>
    <x v="746"/>
    <n v="24567.66"/>
    <x v="5"/>
    <n v="2024"/>
  </r>
  <r>
    <s v="TXN00748"/>
    <x v="6"/>
    <x v="1"/>
    <x v="12"/>
    <x v="2"/>
    <d v="2024-05-27T00:00:00"/>
    <x v="2"/>
    <n v="6386.89"/>
    <n v="5"/>
    <x v="1"/>
    <n v="2554.7600000000002"/>
    <x v="747"/>
    <n v="48540.36"/>
    <x v="9"/>
    <n v="2024"/>
  </r>
  <r>
    <s v="TXN00749"/>
    <x v="8"/>
    <x v="0"/>
    <x v="6"/>
    <x v="3"/>
    <d v="2025-04-11T00:00:00"/>
    <x v="9"/>
    <n v="28314.44"/>
    <n v="20"/>
    <x v="2"/>
    <n v="56628.88"/>
    <x v="748"/>
    <n v="226515.52"/>
    <x v="1"/>
    <n v="2025"/>
  </r>
  <r>
    <s v="TXN00750"/>
    <x v="9"/>
    <x v="1"/>
    <x v="2"/>
    <x v="5"/>
    <d v="2025-01-28T00:00:00"/>
    <x v="3"/>
    <n v="23910.880000000001"/>
    <n v="15"/>
    <x v="6"/>
    <n v="21519.79"/>
    <x v="749"/>
    <n v="121945.49"/>
    <x v="10"/>
    <n v="2025"/>
  </r>
  <r>
    <s v="TXN00751"/>
    <x v="12"/>
    <x v="2"/>
    <x v="10"/>
    <x v="5"/>
    <d v="2025-12-30T00:00:00"/>
    <x v="6"/>
    <n v="2660.11"/>
    <n v="20"/>
    <x v="0"/>
    <n v="4788.2"/>
    <x v="750"/>
    <n v="19152.79"/>
    <x v="3"/>
    <n v="2025"/>
  </r>
  <r>
    <s v="TXN00752"/>
    <x v="13"/>
    <x v="2"/>
    <x v="22"/>
    <x v="1"/>
    <d v="2025-12-22T00:00:00"/>
    <x v="3"/>
    <n v="919.01"/>
    <n v="15"/>
    <x v="6"/>
    <n v="827.11"/>
    <x v="751"/>
    <n v="4686.95"/>
    <x v="3"/>
    <n v="2025"/>
  </r>
  <r>
    <s v="TXN00753"/>
    <x v="0"/>
    <x v="0"/>
    <x v="6"/>
    <x v="2"/>
    <d v="2025-04-21T00:00:00"/>
    <x v="6"/>
    <n v="22988.97"/>
    <n v="20"/>
    <x v="4"/>
    <n v="41380.15"/>
    <x v="752"/>
    <n v="165520.57999999999"/>
    <x v="1"/>
    <n v="2025"/>
  </r>
  <r>
    <s v="TXN00754"/>
    <x v="11"/>
    <x v="0"/>
    <x v="6"/>
    <x v="2"/>
    <d v="2025-12-01T00:00:00"/>
    <x v="6"/>
    <n v="30236.93"/>
    <n v="10"/>
    <x v="7"/>
    <n v="27213.24"/>
    <x v="753"/>
    <n v="244919.13"/>
    <x v="3"/>
    <n v="2025"/>
  </r>
  <r>
    <s v="TXN00755"/>
    <x v="14"/>
    <x v="2"/>
    <x v="10"/>
    <x v="0"/>
    <d v="2025-04-25T00:00:00"/>
    <x v="2"/>
    <n v="2570.41"/>
    <n v="15"/>
    <x v="1"/>
    <n v="3084.49"/>
    <x v="754"/>
    <n v="17478.79"/>
    <x v="1"/>
    <n v="2025"/>
  </r>
  <r>
    <s v="TXN00756"/>
    <x v="1"/>
    <x v="2"/>
    <x v="22"/>
    <x v="0"/>
    <d v="2024-10-23T00:00:00"/>
    <x v="0"/>
    <n v="899.74"/>
    <n v="20"/>
    <x v="4"/>
    <n v="539.84"/>
    <x v="755"/>
    <n v="2159.38"/>
    <x v="4"/>
    <n v="2024"/>
  </r>
  <r>
    <s v="TXN00757"/>
    <x v="5"/>
    <x v="3"/>
    <x v="21"/>
    <x v="1"/>
    <d v="2025-08-15T00:00:00"/>
    <x v="0"/>
    <n v="2608.04"/>
    <n v="10"/>
    <x v="6"/>
    <n v="782.41"/>
    <x v="756"/>
    <n v="7041.71"/>
    <x v="0"/>
    <n v="2025"/>
  </r>
  <r>
    <s v="TXN00758"/>
    <x v="5"/>
    <x v="2"/>
    <x v="10"/>
    <x v="5"/>
    <d v="2024-05-09T00:00:00"/>
    <x v="6"/>
    <n v="2298.04"/>
    <n v="10"/>
    <x v="7"/>
    <n v="2068.2399999999998"/>
    <x v="757"/>
    <n v="18614.12"/>
    <x v="9"/>
    <n v="2024"/>
  </r>
  <r>
    <s v="TXN00759"/>
    <x v="12"/>
    <x v="3"/>
    <x v="7"/>
    <x v="0"/>
    <d v="2024-09-20T00:00:00"/>
    <x v="8"/>
    <n v="1953.64"/>
    <n v="20"/>
    <x v="4"/>
    <n v="390.73"/>
    <x v="758"/>
    <n v="1562.91"/>
    <x v="7"/>
    <n v="2024"/>
  </r>
  <r>
    <s v="TXN00760"/>
    <x v="0"/>
    <x v="1"/>
    <x v="8"/>
    <x v="4"/>
    <d v="2025-01-13T00:00:00"/>
    <x v="0"/>
    <n v="38612.53"/>
    <n v="5"/>
    <x v="6"/>
    <n v="5791.88"/>
    <x v="759"/>
    <n v="110045.71"/>
    <x v="10"/>
    <n v="2025"/>
  </r>
  <r>
    <s v="TXN00761"/>
    <x v="10"/>
    <x v="4"/>
    <x v="18"/>
    <x v="6"/>
    <d v="2024-12-17T00:00:00"/>
    <x v="5"/>
    <n v="15072.24"/>
    <n v="20"/>
    <x v="1"/>
    <n v="6028.9"/>
    <x v="760"/>
    <n v="24115.58"/>
    <x v="3"/>
    <n v="2024"/>
  </r>
  <r>
    <s v="TXN00762"/>
    <x v="10"/>
    <x v="1"/>
    <x v="2"/>
    <x v="5"/>
    <d v="2024-08-31T00:00:00"/>
    <x v="2"/>
    <n v="27037.49"/>
    <n v="5"/>
    <x v="2"/>
    <n v="10815"/>
    <x v="761"/>
    <n v="205484.92"/>
    <x v="0"/>
    <n v="2024"/>
  </r>
  <r>
    <s v="TXN00763"/>
    <x v="0"/>
    <x v="1"/>
    <x v="8"/>
    <x v="3"/>
    <d v="2024-02-25T00:00:00"/>
    <x v="7"/>
    <n v="43554.84"/>
    <n v="0"/>
    <x v="5"/>
    <n v="0"/>
    <x v="762"/>
    <n v="217774.2"/>
    <x v="2"/>
    <n v="2024"/>
  </r>
  <r>
    <s v="TXN00764"/>
    <x v="11"/>
    <x v="0"/>
    <x v="6"/>
    <x v="5"/>
    <d v="2024-11-04T00:00:00"/>
    <x v="2"/>
    <n v="29879.78"/>
    <n v="20"/>
    <x v="6"/>
    <n v="47807.65"/>
    <x v="763"/>
    <n v="191230.59"/>
    <x v="8"/>
    <n v="2024"/>
  </r>
  <r>
    <s v="TXN00765"/>
    <x v="8"/>
    <x v="1"/>
    <x v="2"/>
    <x v="2"/>
    <d v="2025-04-30T00:00:00"/>
    <x v="7"/>
    <n v="23407.19"/>
    <n v="15"/>
    <x v="2"/>
    <n v="17555.39"/>
    <x v="764"/>
    <n v="99480.56"/>
    <x v="1"/>
    <n v="2025"/>
  </r>
  <r>
    <s v="TXN00766"/>
    <x v="14"/>
    <x v="0"/>
    <x v="3"/>
    <x v="3"/>
    <d v="2025-01-26T00:00:00"/>
    <x v="3"/>
    <n v="20527.93"/>
    <n v="0"/>
    <x v="6"/>
    <n v="0"/>
    <x v="765"/>
    <n v="123167.58"/>
    <x v="10"/>
    <n v="2025"/>
  </r>
  <r>
    <s v="TXN00767"/>
    <x v="8"/>
    <x v="0"/>
    <x v="1"/>
    <x v="0"/>
    <d v="2025-09-17T00:00:00"/>
    <x v="7"/>
    <n v="2951.23"/>
    <n v="10"/>
    <x v="2"/>
    <n v="1475.62"/>
    <x v="766"/>
    <n v="13280.53"/>
    <x v="7"/>
    <n v="2025"/>
  </r>
  <r>
    <s v="TXN00768"/>
    <x v="8"/>
    <x v="0"/>
    <x v="3"/>
    <x v="6"/>
    <d v="2025-04-17T00:00:00"/>
    <x v="1"/>
    <n v="19504.41"/>
    <n v="20"/>
    <x v="2"/>
    <n v="15603.53"/>
    <x v="767"/>
    <n v="62414.11"/>
    <x v="1"/>
    <n v="2025"/>
  </r>
  <r>
    <s v="TXN00769"/>
    <x v="3"/>
    <x v="1"/>
    <x v="8"/>
    <x v="2"/>
    <d v="2024-11-16T00:00:00"/>
    <x v="6"/>
    <n v="39716.36"/>
    <n v="0"/>
    <x v="3"/>
    <n v="0"/>
    <x v="768"/>
    <n v="357447.24"/>
    <x v="8"/>
    <n v="2024"/>
  </r>
  <r>
    <s v="TXN00770"/>
    <x v="1"/>
    <x v="0"/>
    <x v="0"/>
    <x v="1"/>
    <d v="2025-12-02T00:00:00"/>
    <x v="2"/>
    <n v="70633.36"/>
    <n v="10"/>
    <x v="7"/>
    <n v="56506.69"/>
    <x v="769"/>
    <n v="508560.19"/>
    <x v="3"/>
    <n v="2025"/>
  </r>
  <r>
    <s v="TXN00771"/>
    <x v="13"/>
    <x v="3"/>
    <x v="7"/>
    <x v="1"/>
    <d v="2024-02-28T00:00:00"/>
    <x v="9"/>
    <n v="1915.47"/>
    <n v="5"/>
    <x v="7"/>
    <n v="957.74"/>
    <x v="770"/>
    <n v="18196.96"/>
    <x v="2"/>
    <n v="2024"/>
  </r>
  <r>
    <s v="TXN00772"/>
    <x v="0"/>
    <x v="2"/>
    <x v="10"/>
    <x v="1"/>
    <d v="2025-09-11T00:00:00"/>
    <x v="0"/>
    <n v="2484.9699999999998"/>
    <n v="20"/>
    <x v="7"/>
    <n v="1490.98"/>
    <x v="771"/>
    <n v="5963.93"/>
    <x v="7"/>
    <n v="2025"/>
  </r>
  <r>
    <s v="TXN00773"/>
    <x v="0"/>
    <x v="1"/>
    <x v="12"/>
    <x v="4"/>
    <d v="2024-10-28T00:00:00"/>
    <x v="2"/>
    <n v="7029.79"/>
    <n v="0"/>
    <x v="4"/>
    <n v="0"/>
    <x v="772"/>
    <n v="56238.32"/>
    <x v="4"/>
    <n v="2024"/>
  </r>
  <r>
    <s v="TXN00774"/>
    <x v="10"/>
    <x v="4"/>
    <x v="19"/>
    <x v="5"/>
    <d v="2024-09-20T00:00:00"/>
    <x v="0"/>
    <n v="8761.4599999999991"/>
    <n v="10"/>
    <x v="5"/>
    <n v="2628.44"/>
    <x v="773"/>
    <n v="23655.94"/>
    <x v="7"/>
    <n v="2024"/>
  </r>
  <r>
    <s v="TXN00775"/>
    <x v="1"/>
    <x v="0"/>
    <x v="24"/>
    <x v="0"/>
    <d v="2024-09-21T00:00:00"/>
    <x v="7"/>
    <n v="6611.38"/>
    <n v="0"/>
    <x v="1"/>
    <n v="0"/>
    <x v="774"/>
    <n v="33056.9"/>
    <x v="7"/>
    <n v="2024"/>
  </r>
  <r>
    <s v="TXN00776"/>
    <x v="12"/>
    <x v="4"/>
    <x v="18"/>
    <x v="5"/>
    <d v="2025-10-22T00:00:00"/>
    <x v="2"/>
    <n v="12237.82"/>
    <n v="20"/>
    <x v="3"/>
    <n v="19580.509999999998"/>
    <x v="775"/>
    <n v="78322.05"/>
    <x v="4"/>
    <n v="2025"/>
  </r>
  <r>
    <s v="TXN00777"/>
    <x v="12"/>
    <x v="4"/>
    <x v="18"/>
    <x v="2"/>
    <d v="2025-03-28T00:00:00"/>
    <x v="7"/>
    <n v="11109.86"/>
    <n v="0"/>
    <x v="7"/>
    <n v="0"/>
    <x v="776"/>
    <n v="55549.3"/>
    <x v="6"/>
    <n v="2025"/>
  </r>
  <r>
    <s v="TXN00778"/>
    <x v="0"/>
    <x v="0"/>
    <x v="1"/>
    <x v="0"/>
    <d v="2024-01-20T00:00:00"/>
    <x v="2"/>
    <n v="2811.64"/>
    <n v="0"/>
    <x v="6"/>
    <n v="0"/>
    <x v="777"/>
    <n v="22493.119999999999"/>
    <x v="10"/>
    <n v="2024"/>
  </r>
  <r>
    <s v="TXN00779"/>
    <x v="5"/>
    <x v="0"/>
    <x v="24"/>
    <x v="4"/>
    <d v="2025-02-04T00:00:00"/>
    <x v="9"/>
    <n v="6306.48"/>
    <n v="15"/>
    <x v="5"/>
    <n v="9459.7199999999993"/>
    <x v="778"/>
    <n v="53605.08"/>
    <x v="2"/>
    <n v="2025"/>
  </r>
  <r>
    <s v="TXN00780"/>
    <x v="1"/>
    <x v="4"/>
    <x v="23"/>
    <x v="3"/>
    <d v="2025-07-07T00:00:00"/>
    <x v="1"/>
    <n v="9008.27"/>
    <n v="15"/>
    <x v="7"/>
    <n v="5404.96"/>
    <x v="779"/>
    <n v="30628.12"/>
    <x v="11"/>
    <n v="2025"/>
  </r>
  <r>
    <s v="TXN00781"/>
    <x v="9"/>
    <x v="0"/>
    <x v="1"/>
    <x v="0"/>
    <d v="2025-11-29T00:00:00"/>
    <x v="7"/>
    <n v="3300.51"/>
    <n v="0"/>
    <x v="5"/>
    <n v="0"/>
    <x v="780"/>
    <n v="16502.55"/>
    <x v="8"/>
    <n v="2025"/>
  </r>
  <r>
    <s v="TXN00782"/>
    <x v="4"/>
    <x v="3"/>
    <x v="21"/>
    <x v="0"/>
    <d v="2025-04-15T00:00:00"/>
    <x v="7"/>
    <n v="2654.87"/>
    <n v="5"/>
    <x v="7"/>
    <n v="663.72"/>
    <x v="781"/>
    <n v="12610.63"/>
    <x v="1"/>
    <n v="2025"/>
  </r>
  <r>
    <s v="TXN00783"/>
    <x v="1"/>
    <x v="2"/>
    <x v="10"/>
    <x v="2"/>
    <d v="2024-11-02T00:00:00"/>
    <x v="4"/>
    <n v="3091.32"/>
    <n v="10"/>
    <x v="0"/>
    <n v="2163.92"/>
    <x v="782"/>
    <n v="19475.32"/>
    <x v="8"/>
    <n v="2024"/>
  </r>
  <r>
    <s v="TXN00784"/>
    <x v="14"/>
    <x v="4"/>
    <x v="17"/>
    <x v="2"/>
    <d v="2024-07-13T00:00:00"/>
    <x v="0"/>
    <n v="3181.24"/>
    <n v="0"/>
    <x v="6"/>
    <n v="0"/>
    <x v="783"/>
    <n v="9543.7199999999993"/>
    <x v="11"/>
    <n v="2024"/>
  </r>
  <r>
    <s v="TXN00785"/>
    <x v="11"/>
    <x v="2"/>
    <x v="5"/>
    <x v="5"/>
    <d v="2025-07-07T00:00:00"/>
    <x v="7"/>
    <n v="1229.9100000000001"/>
    <n v="15"/>
    <x v="7"/>
    <n v="922.43"/>
    <x v="784"/>
    <n v="5227.12"/>
    <x v="11"/>
    <n v="2025"/>
  </r>
  <r>
    <s v="TXN00786"/>
    <x v="3"/>
    <x v="0"/>
    <x v="0"/>
    <x v="1"/>
    <d v="2024-02-13T00:00:00"/>
    <x v="4"/>
    <n v="60420.54"/>
    <n v="20"/>
    <x v="5"/>
    <n v="84588.76"/>
    <x v="785"/>
    <n v="338355.02"/>
    <x v="2"/>
    <n v="2024"/>
  </r>
  <r>
    <s v="TXN00787"/>
    <x v="7"/>
    <x v="4"/>
    <x v="14"/>
    <x v="2"/>
    <d v="2024-03-14T00:00:00"/>
    <x v="8"/>
    <n v="1625.8"/>
    <n v="15"/>
    <x v="0"/>
    <n v="243.87"/>
    <x v="786"/>
    <n v="1381.93"/>
    <x v="6"/>
    <n v="2024"/>
  </r>
  <r>
    <s v="TXN00788"/>
    <x v="14"/>
    <x v="0"/>
    <x v="24"/>
    <x v="6"/>
    <d v="2024-09-05T00:00:00"/>
    <x v="0"/>
    <n v="6325.14"/>
    <n v="0"/>
    <x v="1"/>
    <n v="0"/>
    <x v="787"/>
    <n v="18975.419999999998"/>
    <x v="7"/>
    <n v="2024"/>
  </r>
  <r>
    <s v="TXN00789"/>
    <x v="11"/>
    <x v="3"/>
    <x v="15"/>
    <x v="6"/>
    <d v="2025-08-28T00:00:00"/>
    <x v="5"/>
    <n v="883.56"/>
    <n v="0"/>
    <x v="3"/>
    <n v="0"/>
    <x v="788"/>
    <n v="1767.12"/>
    <x v="0"/>
    <n v="2025"/>
  </r>
  <r>
    <s v="TXN00790"/>
    <x v="12"/>
    <x v="0"/>
    <x v="24"/>
    <x v="3"/>
    <d v="2024-03-05T00:00:00"/>
    <x v="1"/>
    <n v="7045.87"/>
    <n v="15"/>
    <x v="0"/>
    <n v="4227.5200000000004"/>
    <x v="789"/>
    <n v="23955.96"/>
    <x v="6"/>
    <n v="2024"/>
  </r>
  <r>
    <s v="TXN00791"/>
    <x v="8"/>
    <x v="3"/>
    <x v="15"/>
    <x v="6"/>
    <d v="2024-11-25T00:00:00"/>
    <x v="1"/>
    <n v="960.13"/>
    <n v="20"/>
    <x v="3"/>
    <n v="768.1"/>
    <x v="790"/>
    <n v="3072.42"/>
    <x v="8"/>
    <n v="2024"/>
  </r>
  <r>
    <s v="TXN00792"/>
    <x v="6"/>
    <x v="1"/>
    <x v="4"/>
    <x v="1"/>
    <d v="2024-05-24T00:00:00"/>
    <x v="4"/>
    <n v="7536.1"/>
    <n v="10"/>
    <x v="4"/>
    <n v="5275.27"/>
    <x v="791"/>
    <n v="47477.43"/>
    <x v="9"/>
    <n v="2024"/>
  </r>
  <r>
    <s v="TXN00793"/>
    <x v="11"/>
    <x v="2"/>
    <x v="5"/>
    <x v="4"/>
    <d v="2024-05-16T00:00:00"/>
    <x v="5"/>
    <n v="1317.32"/>
    <n v="20"/>
    <x v="1"/>
    <n v="526.92999999999995"/>
    <x v="792"/>
    <n v="2107.71"/>
    <x v="9"/>
    <n v="2024"/>
  </r>
  <r>
    <s v="TXN00794"/>
    <x v="13"/>
    <x v="4"/>
    <x v="18"/>
    <x v="5"/>
    <d v="2024-01-07T00:00:00"/>
    <x v="8"/>
    <n v="11338.24"/>
    <n v="0"/>
    <x v="7"/>
    <n v="0"/>
    <x v="793"/>
    <n v="11338.24"/>
    <x v="10"/>
    <n v="2024"/>
  </r>
  <r>
    <s v="TXN00795"/>
    <x v="1"/>
    <x v="2"/>
    <x v="22"/>
    <x v="2"/>
    <d v="2025-12-09T00:00:00"/>
    <x v="0"/>
    <n v="942.02"/>
    <n v="10"/>
    <x v="6"/>
    <n v="282.61"/>
    <x v="794"/>
    <n v="2543.4499999999998"/>
    <x v="3"/>
    <n v="2025"/>
  </r>
  <r>
    <s v="TXN00796"/>
    <x v="1"/>
    <x v="2"/>
    <x v="9"/>
    <x v="4"/>
    <d v="2025-09-17T00:00:00"/>
    <x v="8"/>
    <n v="4720.8100000000004"/>
    <n v="15"/>
    <x v="3"/>
    <n v="708.12"/>
    <x v="795"/>
    <n v="4012.69"/>
    <x v="7"/>
    <n v="2025"/>
  </r>
  <r>
    <s v="TXN00797"/>
    <x v="8"/>
    <x v="2"/>
    <x v="10"/>
    <x v="3"/>
    <d v="2024-12-22T00:00:00"/>
    <x v="4"/>
    <n v="2478.14"/>
    <n v="5"/>
    <x v="4"/>
    <n v="867.35"/>
    <x v="796"/>
    <n v="16479.63"/>
    <x v="3"/>
    <n v="2024"/>
  </r>
  <r>
    <s v="TXN00798"/>
    <x v="9"/>
    <x v="1"/>
    <x v="12"/>
    <x v="1"/>
    <d v="2025-07-06T00:00:00"/>
    <x v="6"/>
    <n v="5728.91"/>
    <n v="5"/>
    <x v="5"/>
    <n v="2578.0100000000002"/>
    <x v="797"/>
    <n v="48982.18"/>
    <x v="11"/>
    <n v="2025"/>
  </r>
  <r>
    <s v="TXN00799"/>
    <x v="2"/>
    <x v="3"/>
    <x v="15"/>
    <x v="1"/>
    <d v="2025-12-02T00:00:00"/>
    <x v="2"/>
    <n v="901.45"/>
    <n v="5"/>
    <x v="3"/>
    <n v="360.58"/>
    <x v="798"/>
    <n v="6851.02"/>
    <x v="3"/>
    <n v="2025"/>
  </r>
  <r>
    <s v="TXN00800"/>
    <x v="8"/>
    <x v="0"/>
    <x v="0"/>
    <x v="0"/>
    <d v="2024-08-02T00:00:00"/>
    <x v="4"/>
    <n v="62584.95"/>
    <n v="20"/>
    <x v="4"/>
    <n v="87618.93"/>
    <x v="799"/>
    <n v="350475.72"/>
    <x v="0"/>
    <n v="2024"/>
  </r>
  <r>
    <s v="TXN00801"/>
    <x v="6"/>
    <x v="4"/>
    <x v="17"/>
    <x v="2"/>
    <d v="2025-07-04T00:00:00"/>
    <x v="0"/>
    <n v="3288.29"/>
    <n v="0"/>
    <x v="1"/>
    <n v="0"/>
    <x v="800"/>
    <n v="9864.8700000000008"/>
    <x v="11"/>
    <n v="2025"/>
  </r>
  <r>
    <s v="TXN00802"/>
    <x v="6"/>
    <x v="4"/>
    <x v="14"/>
    <x v="1"/>
    <d v="2025-03-31T00:00:00"/>
    <x v="9"/>
    <n v="1567.41"/>
    <n v="15"/>
    <x v="0"/>
    <n v="2351.11"/>
    <x v="801"/>
    <n v="13322.99"/>
    <x v="6"/>
    <n v="2025"/>
  </r>
  <r>
    <s v="TXN00803"/>
    <x v="2"/>
    <x v="1"/>
    <x v="4"/>
    <x v="3"/>
    <d v="2024-11-29T00:00:00"/>
    <x v="1"/>
    <n v="8135.74"/>
    <n v="15"/>
    <x v="7"/>
    <n v="4881.4399999999996"/>
    <x v="802"/>
    <n v="27661.52"/>
    <x v="8"/>
    <n v="2024"/>
  </r>
  <r>
    <s v="TXN00804"/>
    <x v="14"/>
    <x v="1"/>
    <x v="2"/>
    <x v="4"/>
    <d v="2025-04-27T00:00:00"/>
    <x v="9"/>
    <n v="25527.55"/>
    <n v="15"/>
    <x v="7"/>
    <n v="38291.32"/>
    <x v="803"/>
    <n v="216984.18"/>
    <x v="1"/>
    <n v="2025"/>
  </r>
  <r>
    <s v="TXN00805"/>
    <x v="14"/>
    <x v="1"/>
    <x v="13"/>
    <x v="6"/>
    <d v="2024-07-01T00:00:00"/>
    <x v="4"/>
    <n v="11920.46"/>
    <n v="15"/>
    <x v="6"/>
    <n v="12516.48"/>
    <x v="804"/>
    <n v="70926.740000000005"/>
    <x v="11"/>
    <n v="2024"/>
  </r>
  <r>
    <s v="TXN00806"/>
    <x v="5"/>
    <x v="1"/>
    <x v="4"/>
    <x v="4"/>
    <d v="2024-05-10T00:00:00"/>
    <x v="8"/>
    <n v="8584.42"/>
    <n v="0"/>
    <x v="5"/>
    <n v="0"/>
    <x v="805"/>
    <n v="8584.42"/>
    <x v="9"/>
    <n v="2024"/>
  </r>
  <r>
    <s v="TXN00807"/>
    <x v="6"/>
    <x v="3"/>
    <x v="7"/>
    <x v="3"/>
    <d v="2025-04-14T00:00:00"/>
    <x v="4"/>
    <n v="1697.04"/>
    <n v="10"/>
    <x v="6"/>
    <n v="1187.93"/>
    <x v="806"/>
    <n v="10691.35"/>
    <x v="1"/>
    <n v="2025"/>
  </r>
  <r>
    <s v="TXN00808"/>
    <x v="12"/>
    <x v="1"/>
    <x v="4"/>
    <x v="4"/>
    <d v="2025-08-14T00:00:00"/>
    <x v="6"/>
    <n v="8910.01"/>
    <n v="0"/>
    <x v="3"/>
    <n v="0"/>
    <x v="807"/>
    <n v="80190.09"/>
    <x v="0"/>
    <n v="2025"/>
  </r>
  <r>
    <s v="TXN00809"/>
    <x v="11"/>
    <x v="4"/>
    <x v="14"/>
    <x v="3"/>
    <d v="2025-08-28T00:00:00"/>
    <x v="2"/>
    <n v="1663.87"/>
    <n v="10"/>
    <x v="0"/>
    <n v="1331.1"/>
    <x v="808"/>
    <n v="11979.86"/>
    <x v="0"/>
    <n v="2025"/>
  </r>
  <r>
    <s v="TXN00810"/>
    <x v="0"/>
    <x v="0"/>
    <x v="24"/>
    <x v="3"/>
    <d v="2024-09-10T00:00:00"/>
    <x v="3"/>
    <n v="7059.94"/>
    <n v="5"/>
    <x v="0"/>
    <n v="2117.98"/>
    <x v="809"/>
    <n v="40241.660000000003"/>
    <x v="7"/>
    <n v="2024"/>
  </r>
  <r>
    <s v="TXN00811"/>
    <x v="14"/>
    <x v="2"/>
    <x v="5"/>
    <x v="6"/>
    <d v="2025-03-03T00:00:00"/>
    <x v="8"/>
    <n v="1092.02"/>
    <n v="15"/>
    <x v="1"/>
    <n v="163.80000000000001"/>
    <x v="810"/>
    <n v="928.22"/>
    <x v="6"/>
    <n v="2025"/>
  </r>
  <r>
    <s v="TXN00812"/>
    <x v="1"/>
    <x v="2"/>
    <x v="10"/>
    <x v="6"/>
    <d v="2025-05-05T00:00:00"/>
    <x v="5"/>
    <n v="2532.7800000000002"/>
    <n v="5"/>
    <x v="2"/>
    <n v="253.28"/>
    <x v="811"/>
    <n v="4812.28"/>
    <x v="9"/>
    <n v="2025"/>
  </r>
  <r>
    <s v="TXN00813"/>
    <x v="10"/>
    <x v="0"/>
    <x v="1"/>
    <x v="1"/>
    <d v="2024-08-11T00:00:00"/>
    <x v="0"/>
    <n v="2968.8"/>
    <n v="5"/>
    <x v="2"/>
    <n v="445.32"/>
    <x v="812"/>
    <n v="8461.08"/>
    <x v="0"/>
    <n v="2024"/>
  </r>
  <r>
    <s v="TXN00814"/>
    <x v="11"/>
    <x v="0"/>
    <x v="0"/>
    <x v="2"/>
    <d v="2024-06-14T00:00:00"/>
    <x v="2"/>
    <n v="72441.23"/>
    <n v="20"/>
    <x v="4"/>
    <n v="115905.97"/>
    <x v="813"/>
    <n v="463623.87"/>
    <x v="5"/>
    <n v="2024"/>
  </r>
  <r>
    <s v="TXN00815"/>
    <x v="11"/>
    <x v="0"/>
    <x v="24"/>
    <x v="3"/>
    <d v="2025-12-21T00:00:00"/>
    <x v="4"/>
    <n v="7286.02"/>
    <n v="10"/>
    <x v="3"/>
    <n v="5100.21"/>
    <x v="814"/>
    <n v="45901.93"/>
    <x v="3"/>
    <n v="2025"/>
  </r>
  <r>
    <s v="TXN00816"/>
    <x v="4"/>
    <x v="4"/>
    <x v="17"/>
    <x v="2"/>
    <d v="2025-01-29T00:00:00"/>
    <x v="3"/>
    <n v="3614.56"/>
    <n v="10"/>
    <x v="7"/>
    <n v="2168.7399999999998"/>
    <x v="815"/>
    <n v="19518.62"/>
    <x v="10"/>
    <n v="2025"/>
  </r>
  <r>
    <s v="TXN00817"/>
    <x v="0"/>
    <x v="4"/>
    <x v="19"/>
    <x v="6"/>
    <d v="2025-12-02T00:00:00"/>
    <x v="5"/>
    <n v="9285"/>
    <n v="10"/>
    <x v="0"/>
    <n v="1857"/>
    <x v="816"/>
    <n v="16713"/>
    <x v="3"/>
    <n v="2025"/>
  </r>
  <r>
    <s v="TXN00818"/>
    <x v="14"/>
    <x v="0"/>
    <x v="1"/>
    <x v="2"/>
    <d v="2024-02-22T00:00:00"/>
    <x v="5"/>
    <n v="2987.22"/>
    <n v="15"/>
    <x v="5"/>
    <n v="896.17"/>
    <x v="817"/>
    <n v="5078.2700000000004"/>
    <x v="2"/>
    <n v="2024"/>
  </r>
  <r>
    <s v="TXN00819"/>
    <x v="3"/>
    <x v="2"/>
    <x v="10"/>
    <x v="0"/>
    <d v="2025-10-25T00:00:00"/>
    <x v="6"/>
    <n v="2959.6"/>
    <n v="20"/>
    <x v="3"/>
    <n v="5327.28"/>
    <x v="818"/>
    <n v="21309.119999999999"/>
    <x v="4"/>
    <n v="2025"/>
  </r>
  <r>
    <s v="TXN00820"/>
    <x v="3"/>
    <x v="1"/>
    <x v="13"/>
    <x v="4"/>
    <d v="2025-10-26T00:00:00"/>
    <x v="2"/>
    <n v="14313.35"/>
    <n v="20"/>
    <x v="7"/>
    <n v="22901.360000000001"/>
    <x v="819"/>
    <n v="91605.440000000002"/>
    <x v="4"/>
    <n v="2025"/>
  </r>
  <r>
    <s v="TXN00821"/>
    <x v="3"/>
    <x v="1"/>
    <x v="13"/>
    <x v="0"/>
    <d v="2025-05-30T00:00:00"/>
    <x v="4"/>
    <n v="11631.44"/>
    <n v="0"/>
    <x v="4"/>
    <n v="0"/>
    <x v="820"/>
    <n v="81420.08"/>
    <x v="9"/>
    <n v="2025"/>
  </r>
  <r>
    <s v="TXN00822"/>
    <x v="11"/>
    <x v="3"/>
    <x v="20"/>
    <x v="5"/>
    <d v="2025-04-26T00:00:00"/>
    <x v="6"/>
    <n v="3743.52"/>
    <n v="20"/>
    <x v="7"/>
    <n v="6738.34"/>
    <x v="821"/>
    <n v="26953.34"/>
    <x v="1"/>
    <n v="2025"/>
  </r>
  <r>
    <s v="TXN00823"/>
    <x v="12"/>
    <x v="3"/>
    <x v="16"/>
    <x v="0"/>
    <d v="2024-07-11T00:00:00"/>
    <x v="2"/>
    <n v="1382.74"/>
    <n v="15"/>
    <x v="7"/>
    <n v="1659.29"/>
    <x v="822"/>
    <n v="9402.6299999999992"/>
    <x v="11"/>
    <n v="2024"/>
  </r>
  <r>
    <s v="TXN00824"/>
    <x v="6"/>
    <x v="1"/>
    <x v="4"/>
    <x v="1"/>
    <d v="2024-10-09T00:00:00"/>
    <x v="5"/>
    <n v="9453.58"/>
    <n v="15"/>
    <x v="3"/>
    <n v="2836.07"/>
    <x v="823"/>
    <n v="16071.09"/>
    <x v="4"/>
    <n v="2024"/>
  </r>
  <r>
    <s v="TXN00825"/>
    <x v="9"/>
    <x v="1"/>
    <x v="13"/>
    <x v="2"/>
    <d v="2024-10-27T00:00:00"/>
    <x v="4"/>
    <n v="15079.6"/>
    <n v="20"/>
    <x v="1"/>
    <n v="21111.439999999999"/>
    <x v="824"/>
    <n v="84445.759999999995"/>
    <x v="4"/>
    <n v="2024"/>
  </r>
  <r>
    <s v="TXN00826"/>
    <x v="3"/>
    <x v="1"/>
    <x v="2"/>
    <x v="5"/>
    <d v="2025-10-22T00:00:00"/>
    <x v="8"/>
    <n v="26754.18"/>
    <n v="0"/>
    <x v="6"/>
    <n v="0"/>
    <x v="825"/>
    <n v="26754.18"/>
    <x v="4"/>
    <n v="2025"/>
  </r>
  <r>
    <s v="TXN00827"/>
    <x v="4"/>
    <x v="0"/>
    <x v="6"/>
    <x v="6"/>
    <d v="2025-02-25T00:00:00"/>
    <x v="9"/>
    <n v="24642.45"/>
    <n v="10"/>
    <x v="5"/>
    <n v="24642.45"/>
    <x v="826"/>
    <n v="221782.05"/>
    <x v="2"/>
    <n v="2025"/>
  </r>
  <r>
    <s v="TXN00828"/>
    <x v="8"/>
    <x v="4"/>
    <x v="14"/>
    <x v="2"/>
    <d v="2025-04-13T00:00:00"/>
    <x v="7"/>
    <n v="1562.72"/>
    <n v="10"/>
    <x v="6"/>
    <n v="781.36"/>
    <x v="827"/>
    <n v="7032.24"/>
    <x v="1"/>
    <n v="2025"/>
  </r>
  <r>
    <s v="TXN00829"/>
    <x v="2"/>
    <x v="1"/>
    <x v="4"/>
    <x v="5"/>
    <d v="2024-10-22T00:00:00"/>
    <x v="8"/>
    <n v="8246.34"/>
    <n v="10"/>
    <x v="5"/>
    <n v="824.63"/>
    <x v="828"/>
    <n v="7421.71"/>
    <x v="4"/>
    <n v="2024"/>
  </r>
  <r>
    <s v="TXN00830"/>
    <x v="12"/>
    <x v="4"/>
    <x v="18"/>
    <x v="4"/>
    <d v="2024-07-05T00:00:00"/>
    <x v="0"/>
    <n v="13318"/>
    <n v="5"/>
    <x v="4"/>
    <n v="1997.7"/>
    <x v="829"/>
    <n v="37956.300000000003"/>
    <x v="11"/>
    <n v="2024"/>
  </r>
  <r>
    <s v="TXN00831"/>
    <x v="6"/>
    <x v="1"/>
    <x v="13"/>
    <x v="1"/>
    <d v="2025-08-11T00:00:00"/>
    <x v="0"/>
    <n v="12122.67"/>
    <n v="10"/>
    <x v="5"/>
    <n v="3636.8"/>
    <x v="830"/>
    <n v="32731.21"/>
    <x v="0"/>
    <n v="2025"/>
  </r>
  <r>
    <s v="TXN00832"/>
    <x v="9"/>
    <x v="1"/>
    <x v="13"/>
    <x v="2"/>
    <d v="2025-11-12T00:00:00"/>
    <x v="3"/>
    <n v="15107.47"/>
    <n v="5"/>
    <x v="1"/>
    <n v="4532.24"/>
    <x v="831"/>
    <n v="86112.58"/>
    <x v="8"/>
    <n v="2025"/>
  </r>
  <r>
    <s v="TXN00833"/>
    <x v="9"/>
    <x v="3"/>
    <x v="16"/>
    <x v="4"/>
    <d v="2024-05-04T00:00:00"/>
    <x v="8"/>
    <n v="1501.71"/>
    <n v="15"/>
    <x v="4"/>
    <n v="225.26"/>
    <x v="832"/>
    <n v="1276.45"/>
    <x v="9"/>
    <n v="2024"/>
  </r>
  <r>
    <s v="TXN00834"/>
    <x v="14"/>
    <x v="1"/>
    <x v="2"/>
    <x v="0"/>
    <d v="2024-01-05T00:00:00"/>
    <x v="6"/>
    <n v="28597.51"/>
    <n v="10"/>
    <x v="3"/>
    <n v="25737.759999999998"/>
    <x v="833"/>
    <n v="231639.83"/>
    <x v="10"/>
    <n v="2024"/>
  </r>
  <r>
    <s v="TXN00835"/>
    <x v="14"/>
    <x v="3"/>
    <x v="16"/>
    <x v="0"/>
    <d v="2025-08-01T00:00:00"/>
    <x v="2"/>
    <n v="1477.01"/>
    <n v="0"/>
    <x v="3"/>
    <n v="0"/>
    <x v="834"/>
    <n v="11816.08"/>
    <x v="0"/>
    <n v="2025"/>
  </r>
  <r>
    <s v="TXN00836"/>
    <x v="7"/>
    <x v="4"/>
    <x v="17"/>
    <x v="2"/>
    <d v="2024-11-11T00:00:00"/>
    <x v="8"/>
    <n v="3851.57"/>
    <n v="5"/>
    <x v="7"/>
    <n v="192.58"/>
    <x v="835"/>
    <n v="3658.99"/>
    <x v="8"/>
    <n v="2024"/>
  </r>
  <r>
    <s v="TXN00837"/>
    <x v="6"/>
    <x v="4"/>
    <x v="19"/>
    <x v="0"/>
    <d v="2025-09-14T00:00:00"/>
    <x v="1"/>
    <n v="8366.86"/>
    <n v="5"/>
    <x v="1"/>
    <n v="1673.37"/>
    <x v="836"/>
    <n v="31794.07"/>
    <x v="7"/>
    <n v="2025"/>
  </r>
  <r>
    <s v="TXN00838"/>
    <x v="13"/>
    <x v="3"/>
    <x v="7"/>
    <x v="1"/>
    <d v="2025-11-24T00:00:00"/>
    <x v="5"/>
    <n v="2265.04"/>
    <n v="15"/>
    <x v="6"/>
    <n v="679.51"/>
    <x v="837"/>
    <n v="3850.57"/>
    <x v="8"/>
    <n v="2025"/>
  </r>
  <r>
    <s v="TXN00839"/>
    <x v="3"/>
    <x v="1"/>
    <x v="2"/>
    <x v="6"/>
    <d v="2025-11-13T00:00:00"/>
    <x v="3"/>
    <n v="27483.21"/>
    <n v="15"/>
    <x v="1"/>
    <n v="24734.89"/>
    <x v="838"/>
    <n v="140164.37"/>
    <x v="8"/>
    <n v="2025"/>
  </r>
  <r>
    <s v="TXN00840"/>
    <x v="3"/>
    <x v="3"/>
    <x v="16"/>
    <x v="1"/>
    <d v="2024-12-19T00:00:00"/>
    <x v="3"/>
    <n v="1612.09"/>
    <n v="15"/>
    <x v="4"/>
    <n v="1450.88"/>
    <x v="839"/>
    <n v="8221.66"/>
    <x v="3"/>
    <n v="2024"/>
  </r>
  <r>
    <s v="TXN00841"/>
    <x v="2"/>
    <x v="2"/>
    <x v="10"/>
    <x v="2"/>
    <d v="2025-03-01T00:00:00"/>
    <x v="2"/>
    <n v="2430.4"/>
    <n v="15"/>
    <x v="6"/>
    <n v="2916.48"/>
    <x v="840"/>
    <n v="16526.72"/>
    <x v="6"/>
    <n v="2025"/>
  </r>
  <r>
    <s v="TXN00842"/>
    <x v="4"/>
    <x v="4"/>
    <x v="18"/>
    <x v="6"/>
    <d v="2024-05-27T00:00:00"/>
    <x v="1"/>
    <n v="11709.69"/>
    <n v="20"/>
    <x v="7"/>
    <n v="9367.75"/>
    <x v="841"/>
    <n v="37471.01"/>
    <x v="9"/>
    <n v="2024"/>
  </r>
  <r>
    <s v="TXN00843"/>
    <x v="14"/>
    <x v="3"/>
    <x v="15"/>
    <x v="6"/>
    <d v="2024-03-31T00:00:00"/>
    <x v="8"/>
    <n v="801.89"/>
    <n v="10"/>
    <x v="2"/>
    <n v="80.19"/>
    <x v="842"/>
    <n v="721.7"/>
    <x v="6"/>
    <n v="2024"/>
  </r>
  <r>
    <s v="TXN00844"/>
    <x v="9"/>
    <x v="4"/>
    <x v="18"/>
    <x v="5"/>
    <d v="2024-07-23T00:00:00"/>
    <x v="0"/>
    <n v="13296.85"/>
    <n v="10"/>
    <x v="3"/>
    <n v="3989.06"/>
    <x v="843"/>
    <n v="35901.49"/>
    <x v="11"/>
    <n v="2024"/>
  </r>
  <r>
    <s v="TXN00845"/>
    <x v="13"/>
    <x v="2"/>
    <x v="9"/>
    <x v="3"/>
    <d v="2025-08-22T00:00:00"/>
    <x v="7"/>
    <n v="4605.8599999999997"/>
    <n v="15"/>
    <x v="4"/>
    <n v="3454.39"/>
    <x v="844"/>
    <n v="19574.91"/>
    <x v="0"/>
    <n v="2025"/>
  </r>
  <r>
    <s v="TXN00846"/>
    <x v="10"/>
    <x v="1"/>
    <x v="12"/>
    <x v="1"/>
    <d v="2024-09-25T00:00:00"/>
    <x v="7"/>
    <n v="6834.04"/>
    <n v="15"/>
    <x v="3"/>
    <n v="5125.53"/>
    <x v="845"/>
    <n v="29044.67"/>
    <x v="7"/>
    <n v="2024"/>
  </r>
  <r>
    <s v="TXN00847"/>
    <x v="1"/>
    <x v="0"/>
    <x v="3"/>
    <x v="4"/>
    <d v="2025-12-05T00:00:00"/>
    <x v="1"/>
    <n v="17960.79"/>
    <n v="10"/>
    <x v="6"/>
    <n v="7184.32"/>
    <x v="846"/>
    <n v="64658.84"/>
    <x v="3"/>
    <n v="2025"/>
  </r>
  <r>
    <s v="TXN00848"/>
    <x v="12"/>
    <x v="4"/>
    <x v="17"/>
    <x v="2"/>
    <d v="2025-08-18T00:00:00"/>
    <x v="2"/>
    <n v="3644.88"/>
    <n v="10"/>
    <x v="5"/>
    <n v="2915.9"/>
    <x v="847"/>
    <n v="26243.14"/>
    <x v="0"/>
    <n v="2025"/>
  </r>
  <r>
    <s v="TXN00849"/>
    <x v="3"/>
    <x v="4"/>
    <x v="17"/>
    <x v="6"/>
    <d v="2024-09-22T00:00:00"/>
    <x v="0"/>
    <n v="3658.95"/>
    <n v="5"/>
    <x v="1"/>
    <n v="548.84"/>
    <x v="848"/>
    <n v="10428.01"/>
    <x v="7"/>
    <n v="2024"/>
  </r>
  <r>
    <s v="TXN00850"/>
    <x v="14"/>
    <x v="3"/>
    <x v="16"/>
    <x v="2"/>
    <d v="2024-12-31T00:00:00"/>
    <x v="0"/>
    <n v="1506.82"/>
    <n v="10"/>
    <x v="3"/>
    <n v="452.05"/>
    <x v="849"/>
    <n v="4068.41"/>
    <x v="3"/>
    <n v="2024"/>
  </r>
  <r>
    <s v="TXN00851"/>
    <x v="13"/>
    <x v="4"/>
    <x v="19"/>
    <x v="0"/>
    <d v="2025-06-26T00:00:00"/>
    <x v="5"/>
    <n v="8227.73"/>
    <n v="5"/>
    <x v="4"/>
    <n v="822.77"/>
    <x v="850"/>
    <n v="15632.69"/>
    <x v="5"/>
    <n v="2025"/>
  </r>
  <r>
    <s v="TXN00852"/>
    <x v="10"/>
    <x v="0"/>
    <x v="1"/>
    <x v="4"/>
    <d v="2024-11-19T00:00:00"/>
    <x v="7"/>
    <n v="3193.95"/>
    <n v="10"/>
    <x v="5"/>
    <n v="1596.98"/>
    <x v="851"/>
    <n v="14372.77"/>
    <x v="8"/>
    <n v="2024"/>
  </r>
  <r>
    <s v="TXN00853"/>
    <x v="12"/>
    <x v="0"/>
    <x v="1"/>
    <x v="0"/>
    <d v="2024-01-14T00:00:00"/>
    <x v="0"/>
    <n v="3088.63"/>
    <n v="10"/>
    <x v="3"/>
    <n v="926.59"/>
    <x v="852"/>
    <n v="8339.2999999999993"/>
    <x v="10"/>
    <n v="2024"/>
  </r>
  <r>
    <s v="TXN00854"/>
    <x v="3"/>
    <x v="4"/>
    <x v="23"/>
    <x v="4"/>
    <d v="2024-08-11T00:00:00"/>
    <x v="0"/>
    <n v="10258.459999999999"/>
    <n v="5"/>
    <x v="7"/>
    <n v="1538.77"/>
    <x v="853"/>
    <n v="29236.61"/>
    <x v="0"/>
    <n v="2024"/>
  </r>
  <r>
    <s v="TXN00855"/>
    <x v="0"/>
    <x v="2"/>
    <x v="11"/>
    <x v="3"/>
    <d v="2025-03-03T00:00:00"/>
    <x v="2"/>
    <n v="5645.04"/>
    <n v="0"/>
    <x v="7"/>
    <n v="0"/>
    <x v="854"/>
    <n v="45160.32"/>
    <x v="6"/>
    <n v="2025"/>
  </r>
  <r>
    <s v="TXN00856"/>
    <x v="11"/>
    <x v="1"/>
    <x v="12"/>
    <x v="0"/>
    <d v="2025-12-08T00:00:00"/>
    <x v="3"/>
    <n v="6169.37"/>
    <n v="15"/>
    <x v="4"/>
    <n v="5552.43"/>
    <x v="855"/>
    <n v="31463.79"/>
    <x v="3"/>
    <n v="2025"/>
  </r>
  <r>
    <s v="TXN00857"/>
    <x v="10"/>
    <x v="2"/>
    <x v="11"/>
    <x v="0"/>
    <d v="2025-12-27T00:00:00"/>
    <x v="7"/>
    <n v="4989.54"/>
    <n v="0"/>
    <x v="3"/>
    <n v="0"/>
    <x v="856"/>
    <n v="24947.7"/>
    <x v="3"/>
    <n v="2025"/>
  </r>
  <r>
    <s v="TXN00858"/>
    <x v="4"/>
    <x v="1"/>
    <x v="13"/>
    <x v="2"/>
    <d v="2025-12-05T00:00:00"/>
    <x v="1"/>
    <n v="12894.51"/>
    <n v="5"/>
    <x v="3"/>
    <n v="2578.9"/>
    <x v="857"/>
    <n v="48999.14"/>
    <x v="3"/>
    <n v="2025"/>
  </r>
  <r>
    <s v="TXN00859"/>
    <x v="1"/>
    <x v="1"/>
    <x v="12"/>
    <x v="2"/>
    <d v="2024-03-20T00:00:00"/>
    <x v="8"/>
    <n v="6562.04"/>
    <n v="15"/>
    <x v="7"/>
    <n v="984.31"/>
    <x v="858"/>
    <n v="5577.73"/>
    <x v="6"/>
    <n v="2024"/>
  </r>
  <r>
    <s v="TXN00860"/>
    <x v="6"/>
    <x v="0"/>
    <x v="6"/>
    <x v="1"/>
    <d v="2025-04-25T00:00:00"/>
    <x v="5"/>
    <n v="28178.31"/>
    <n v="0"/>
    <x v="1"/>
    <n v="0"/>
    <x v="859"/>
    <n v="56356.62"/>
    <x v="1"/>
    <n v="2025"/>
  </r>
  <r>
    <s v="TXN00861"/>
    <x v="8"/>
    <x v="0"/>
    <x v="3"/>
    <x v="1"/>
    <d v="2024-05-06T00:00:00"/>
    <x v="9"/>
    <n v="17124.310000000001"/>
    <n v="5"/>
    <x v="7"/>
    <n v="8562.16"/>
    <x v="860"/>
    <n v="162680.94"/>
    <x v="9"/>
    <n v="2024"/>
  </r>
  <r>
    <s v="TXN00862"/>
    <x v="13"/>
    <x v="1"/>
    <x v="4"/>
    <x v="1"/>
    <d v="2024-10-11T00:00:00"/>
    <x v="9"/>
    <n v="8685.24"/>
    <n v="5"/>
    <x v="3"/>
    <n v="4342.62"/>
    <x v="861"/>
    <n v="82509.78"/>
    <x v="4"/>
    <n v="2024"/>
  </r>
  <r>
    <s v="TXN00863"/>
    <x v="2"/>
    <x v="2"/>
    <x v="11"/>
    <x v="6"/>
    <d v="2024-04-11T00:00:00"/>
    <x v="9"/>
    <n v="5454.06"/>
    <n v="20"/>
    <x v="7"/>
    <n v="10908.12"/>
    <x v="862"/>
    <n v="43632.480000000003"/>
    <x v="1"/>
    <n v="2024"/>
  </r>
  <r>
    <s v="TXN00864"/>
    <x v="5"/>
    <x v="1"/>
    <x v="13"/>
    <x v="4"/>
    <d v="2024-04-11T00:00:00"/>
    <x v="1"/>
    <n v="13561.43"/>
    <n v="15"/>
    <x v="1"/>
    <n v="8136.86"/>
    <x v="863"/>
    <n v="46108.86"/>
    <x v="1"/>
    <n v="2024"/>
  </r>
  <r>
    <s v="TXN00865"/>
    <x v="7"/>
    <x v="3"/>
    <x v="21"/>
    <x v="5"/>
    <d v="2024-07-04T00:00:00"/>
    <x v="3"/>
    <n v="2863.31"/>
    <n v="15"/>
    <x v="7"/>
    <n v="2576.98"/>
    <x v="864"/>
    <n v="14602.88"/>
    <x v="11"/>
    <n v="2024"/>
  </r>
  <r>
    <s v="TXN00866"/>
    <x v="2"/>
    <x v="1"/>
    <x v="8"/>
    <x v="5"/>
    <d v="2024-11-17T00:00:00"/>
    <x v="5"/>
    <n v="44724.92"/>
    <n v="20"/>
    <x v="7"/>
    <n v="17889.97"/>
    <x v="865"/>
    <n v="71559.87"/>
    <x v="8"/>
    <n v="2024"/>
  </r>
  <r>
    <s v="TXN00867"/>
    <x v="10"/>
    <x v="1"/>
    <x v="2"/>
    <x v="0"/>
    <d v="2025-07-24T00:00:00"/>
    <x v="8"/>
    <n v="23014.05"/>
    <n v="15"/>
    <x v="4"/>
    <n v="3452.11"/>
    <x v="866"/>
    <n v="19561.939999999999"/>
    <x v="11"/>
    <n v="2025"/>
  </r>
  <r>
    <s v="TXN00868"/>
    <x v="5"/>
    <x v="0"/>
    <x v="24"/>
    <x v="5"/>
    <d v="2025-12-04T00:00:00"/>
    <x v="2"/>
    <n v="7364.81"/>
    <n v="15"/>
    <x v="4"/>
    <n v="8837.77"/>
    <x v="867"/>
    <n v="50080.71"/>
    <x v="3"/>
    <n v="2025"/>
  </r>
  <r>
    <s v="TXN00869"/>
    <x v="2"/>
    <x v="3"/>
    <x v="16"/>
    <x v="3"/>
    <d v="2025-05-02T00:00:00"/>
    <x v="3"/>
    <n v="1417.24"/>
    <n v="15"/>
    <x v="7"/>
    <n v="1275.52"/>
    <x v="868"/>
    <n v="7227.92"/>
    <x v="9"/>
    <n v="2025"/>
  </r>
  <r>
    <s v="TXN00870"/>
    <x v="11"/>
    <x v="0"/>
    <x v="24"/>
    <x v="6"/>
    <d v="2024-05-02T00:00:00"/>
    <x v="0"/>
    <n v="6990.92"/>
    <n v="20"/>
    <x v="7"/>
    <n v="4194.55"/>
    <x v="869"/>
    <n v="16778.21"/>
    <x v="9"/>
    <n v="2024"/>
  </r>
  <r>
    <s v="TXN00871"/>
    <x v="6"/>
    <x v="0"/>
    <x v="6"/>
    <x v="0"/>
    <d v="2024-12-12T00:00:00"/>
    <x v="1"/>
    <n v="28840.36"/>
    <n v="15"/>
    <x v="0"/>
    <n v="17304.22"/>
    <x v="870"/>
    <n v="98057.22"/>
    <x v="3"/>
    <n v="2024"/>
  </r>
  <r>
    <s v="TXN00872"/>
    <x v="4"/>
    <x v="0"/>
    <x v="6"/>
    <x v="5"/>
    <d v="2024-10-12T00:00:00"/>
    <x v="9"/>
    <n v="28831.34"/>
    <n v="15"/>
    <x v="6"/>
    <n v="43247.01"/>
    <x v="871"/>
    <n v="245066.39"/>
    <x v="4"/>
    <n v="2024"/>
  </r>
  <r>
    <s v="TXN00873"/>
    <x v="8"/>
    <x v="3"/>
    <x v="16"/>
    <x v="6"/>
    <d v="2025-05-11T00:00:00"/>
    <x v="6"/>
    <n v="1454.58"/>
    <n v="15"/>
    <x v="2"/>
    <n v="1963.68"/>
    <x v="872"/>
    <n v="11127.54"/>
    <x v="9"/>
    <n v="2025"/>
  </r>
  <r>
    <s v="TXN00874"/>
    <x v="5"/>
    <x v="0"/>
    <x v="0"/>
    <x v="5"/>
    <d v="2024-08-24T00:00:00"/>
    <x v="0"/>
    <n v="58983.01"/>
    <n v="0"/>
    <x v="6"/>
    <n v="0"/>
    <x v="873"/>
    <n v="176949.03"/>
    <x v="0"/>
    <n v="2024"/>
  </r>
  <r>
    <s v="TXN00875"/>
    <x v="8"/>
    <x v="0"/>
    <x v="24"/>
    <x v="1"/>
    <d v="2025-01-26T00:00:00"/>
    <x v="9"/>
    <n v="7488.61"/>
    <n v="5"/>
    <x v="3"/>
    <n v="3744.31"/>
    <x v="874"/>
    <n v="71141.789999999994"/>
    <x v="10"/>
    <n v="2025"/>
  </r>
  <r>
    <s v="TXN00876"/>
    <x v="12"/>
    <x v="3"/>
    <x v="21"/>
    <x v="1"/>
    <d v="2025-11-07T00:00:00"/>
    <x v="6"/>
    <n v="3002.71"/>
    <n v="15"/>
    <x v="7"/>
    <n v="4053.66"/>
    <x v="875"/>
    <n v="22970.73"/>
    <x v="8"/>
    <n v="2025"/>
  </r>
  <r>
    <s v="TXN00877"/>
    <x v="8"/>
    <x v="1"/>
    <x v="4"/>
    <x v="5"/>
    <d v="2025-05-31T00:00:00"/>
    <x v="7"/>
    <n v="8284.8799999999992"/>
    <n v="20"/>
    <x v="6"/>
    <n v="8284.8799999999992"/>
    <x v="876"/>
    <n v="33139.519999999997"/>
    <x v="9"/>
    <n v="2025"/>
  </r>
  <r>
    <s v="TXN00878"/>
    <x v="10"/>
    <x v="2"/>
    <x v="10"/>
    <x v="1"/>
    <d v="2024-05-01T00:00:00"/>
    <x v="4"/>
    <n v="2531.3200000000002"/>
    <n v="15"/>
    <x v="2"/>
    <n v="2657.89"/>
    <x v="877"/>
    <n v="15061.35"/>
    <x v="9"/>
    <n v="2024"/>
  </r>
  <r>
    <s v="TXN00879"/>
    <x v="13"/>
    <x v="4"/>
    <x v="23"/>
    <x v="1"/>
    <d v="2025-07-24T00:00:00"/>
    <x v="7"/>
    <n v="11211.75"/>
    <n v="5"/>
    <x v="3"/>
    <n v="2802.94"/>
    <x v="878"/>
    <n v="53255.81"/>
    <x v="11"/>
    <n v="2025"/>
  </r>
  <r>
    <s v="TXN00880"/>
    <x v="7"/>
    <x v="4"/>
    <x v="23"/>
    <x v="0"/>
    <d v="2025-05-14T00:00:00"/>
    <x v="5"/>
    <n v="10422.14"/>
    <n v="15"/>
    <x v="2"/>
    <n v="3126.64"/>
    <x v="879"/>
    <n v="17717.64"/>
    <x v="9"/>
    <n v="2025"/>
  </r>
  <r>
    <s v="TXN00881"/>
    <x v="12"/>
    <x v="2"/>
    <x v="11"/>
    <x v="5"/>
    <d v="2025-07-29T00:00:00"/>
    <x v="0"/>
    <n v="5133.3599999999997"/>
    <n v="15"/>
    <x v="6"/>
    <n v="2310.0100000000002"/>
    <x v="880"/>
    <n v="13090.07"/>
    <x v="11"/>
    <n v="2025"/>
  </r>
  <r>
    <s v="TXN00882"/>
    <x v="12"/>
    <x v="3"/>
    <x v="16"/>
    <x v="5"/>
    <d v="2024-10-18T00:00:00"/>
    <x v="3"/>
    <n v="1510.34"/>
    <n v="20"/>
    <x v="5"/>
    <n v="1812.41"/>
    <x v="881"/>
    <n v="7249.63"/>
    <x v="4"/>
    <n v="2024"/>
  </r>
  <r>
    <s v="TXN00883"/>
    <x v="4"/>
    <x v="0"/>
    <x v="6"/>
    <x v="0"/>
    <d v="2025-08-20T00:00:00"/>
    <x v="8"/>
    <n v="27282.46"/>
    <n v="10"/>
    <x v="5"/>
    <n v="2728.25"/>
    <x v="882"/>
    <n v="24554.21"/>
    <x v="0"/>
    <n v="2025"/>
  </r>
  <r>
    <s v="TXN00884"/>
    <x v="1"/>
    <x v="4"/>
    <x v="17"/>
    <x v="0"/>
    <d v="2025-02-25T00:00:00"/>
    <x v="3"/>
    <n v="3199.39"/>
    <n v="5"/>
    <x v="5"/>
    <n v="959.82"/>
    <x v="883"/>
    <n v="18236.52"/>
    <x v="2"/>
    <n v="2025"/>
  </r>
  <r>
    <s v="TXN00885"/>
    <x v="8"/>
    <x v="1"/>
    <x v="13"/>
    <x v="0"/>
    <d v="2025-12-05T00:00:00"/>
    <x v="5"/>
    <n v="14747.5"/>
    <n v="0"/>
    <x v="7"/>
    <n v="0"/>
    <x v="884"/>
    <n v="29495"/>
    <x v="3"/>
    <n v="2025"/>
  </r>
  <r>
    <s v="TXN00886"/>
    <x v="13"/>
    <x v="3"/>
    <x v="7"/>
    <x v="6"/>
    <d v="2024-02-08T00:00:00"/>
    <x v="2"/>
    <n v="1916"/>
    <n v="15"/>
    <x v="5"/>
    <n v="2299.1999999999998"/>
    <x v="885"/>
    <n v="13028.8"/>
    <x v="2"/>
    <n v="2024"/>
  </r>
  <r>
    <s v="TXN00887"/>
    <x v="14"/>
    <x v="2"/>
    <x v="11"/>
    <x v="5"/>
    <d v="2024-01-21T00:00:00"/>
    <x v="2"/>
    <n v="5234.99"/>
    <n v="10"/>
    <x v="4"/>
    <n v="4187.99"/>
    <x v="886"/>
    <n v="37691.93"/>
    <x v="10"/>
    <n v="2024"/>
  </r>
  <r>
    <s v="TXN00888"/>
    <x v="1"/>
    <x v="4"/>
    <x v="14"/>
    <x v="0"/>
    <d v="2025-05-15T00:00:00"/>
    <x v="5"/>
    <n v="1609.07"/>
    <n v="5"/>
    <x v="7"/>
    <n v="160.91"/>
    <x v="887"/>
    <n v="3057.23"/>
    <x v="9"/>
    <n v="2025"/>
  </r>
  <r>
    <s v="TXN00889"/>
    <x v="9"/>
    <x v="3"/>
    <x v="16"/>
    <x v="3"/>
    <d v="2024-06-19T00:00:00"/>
    <x v="9"/>
    <n v="1462.32"/>
    <n v="15"/>
    <x v="5"/>
    <n v="2193.48"/>
    <x v="888"/>
    <n v="12429.72"/>
    <x v="5"/>
    <n v="2024"/>
  </r>
  <r>
    <s v="TXN00890"/>
    <x v="8"/>
    <x v="1"/>
    <x v="2"/>
    <x v="3"/>
    <d v="2025-07-02T00:00:00"/>
    <x v="1"/>
    <n v="24295.97"/>
    <n v="0"/>
    <x v="7"/>
    <n v="0"/>
    <x v="889"/>
    <n v="97183.88"/>
    <x v="11"/>
    <n v="2025"/>
  </r>
  <r>
    <s v="TXN00891"/>
    <x v="1"/>
    <x v="3"/>
    <x v="21"/>
    <x v="3"/>
    <d v="2025-10-01T00:00:00"/>
    <x v="5"/>
    <n v="2968.42"/>
    <n v="20"/>
    <x v="0"/>
    <n v="1187.3699999999999"/>
    <x v="890"/>
    <n v="4749.47"/>
    <x v="4"/>
    <n v="2025"/>
  </r>
  <r>
    <s v="TXN00892"/>
    <x v="3"/>
    <x v="0"/>
    <x v="1"/>
    <x v="0"/>
    <d v="2025-08-03T00:00:00"/>
    <x v="6"/>
    <n v="3056.45"/>
    <n v="5"/>
    <x v="7"/>
    <n v="1375.4"/>
    <x v="891"/>
    <n v="26132.65"/>
    <x v="0"/>
    <n v="2025"/>
  </r>
  <r>
    <s v="TXN00893"/>
    <x v="8"/>
    <x v="3"/>
    <x v="15"/>
    <x v="3"/>
    <d v="2025-05-31T00:00:00"/>
    <x v="7"/>
    <n v="806.58"/>
    <n v="20"/>
    <x v="4"/>
    <n v="806.58"/>
    <x v="892"/>
    <n v="3226.32"/>
    <x v="9"/>
    <n v="2025"/>
  </r>
  <r>
    <s v="TXN00894"/>
    <x v="1"/>
    <x v="3"/>
    <x v="7"/>
    <x v="5"/>
    <d v="2025-10-01T00:00:00"/>
    <x v="6"/>
    <n v="2006.35"/>
    <n v="20"/>
    <x v="4"/>
    <n v="3611.43"/>
    <x v="893"/>
    <n v="14445.72"/>
    <x v="4"/>
    <n v="2025"/>
  </r>
  <r>
    <s v="TXN00895"/>
    <x v="8"/>
    <x v="1"/>
    <x v="12"/>
    <x v="2"/>
    <d v="2025-08-13T00:00:00"/>
    <x v="2"/>
    <n v="5719.43"/>
    <n v="15"/>
    <x v="3"/>
    <n v="6863.32"/>
    <x v="894"/>
    <n v="38892.120000000003"/>
    <x v="0"/>
    <n v="2025"/>
  </r>
  <r>
    <s v="TXN00896"/>
    <x v="10"/>
    <x v="3"/>
    <x v="21"/>
    <x v="6"/>
    <d v="2025-08-02T00:00:00"/>
    <x v="8"/>
    <n v="2576.42"/>
    <n v="10"/>
    <x v="2"/>
    <n v="257.64"/>
    <x v="895"/>
    <n v="2318.7800000000002"/>
    <x v="0"/>
    <n v="2025"/>
  </r>
  <r>
    <s v="TXN00897"/>
    <x v="2"/>
    <x v="4"/>
    <x v="18"/>
    <x v="4"/>
    <d v="2025-03-21T00:00:00"/>
    <x v="4"/>
    <n v="11755.96"/>
    <n v="0"/>
    <x v="4"/>
    <n v="0"/>
    <x v="896"/>
    <n v="82291.72"/>
    <x v="6"/>
    <n v="2025"/>
  </r>
  <r>
    <s v="TXN00898"/>
    <x v="5"/>
    <x v="1"/>
    <x v="2"/>
    <x v="3"/>
    <d v="2025-10-23T00:00:00"/>
    <x v="0"/>
    <n v="26513.07"/>
    <n v="20"/>
    <x v="4"/>
    <n v="15907.84"/>
    <x v="897"/>
    <n v="63631.37"/>
    <x v="4"/>
    <n v="2025"/>
  </r>
  <r>
    <s v="TXN00899"/>
    <x v="2"/>
    <x v="1"/>
    <x v="2"/>
    <x v="1"/>
    <d v="2024-07-15T00:00:00"/>
    <x v="8"/>
    <n v="24034.92"/>
    <n v="10"/>
    <x v="3"/>
    <n v="2403.4899999999998"/>
    <x v="898"/>
    <n v="21631.43"/>
    <x v="11"/>
    <n v="2024"/>
  </r>
  <r>
    <s v="TXN00900"/>
    <x v="9"/>
    <x v="4"/>
    <x v="23"/>
    <x v="5"/>
    <d v="2025-10-24T00:00:00"/>
    <x v="8"/>
    <n v="10455.469999999999"/>
    <n v="10"/>
    <x v="2"/>
    <n v="1045.55"/>
    <x v="899"/>
    <n v="9409.92"/>
    <x v="4"/>
    <n v="2025"/>
  </r>
  <r>
    <s v="TXN00901"/>
    <x v="5"/>
    <x v="1"/>
    <x v="12"/>
    <x v="3"/>
    <d v="2025-11-05T00:00:00"/>
    <x v="6"/>
    <n v="6230.38"/>
    <n v="0"/>
    <x v="4"/>
    <n v="0"/>
    <x v="900"/>
    <n v="56073.42"/>
    <x v="8"/>
    <n v="2025"/>
  </r>
  <r>
    <s v="TXN00902"/>
    <x v="13"/>
    <x v="4"/>
    <x v="17"/>
    <x v="3"/>
    <d v="2024-11-17T00:00:00"/>
    <x v="9"/>
    <n v="3751.8"/>
    <n v="0"/>
    <x v="7"/>
    <n v="0"/>
    <x v="901"/>
    <n v="37518"/>
    <x v="8"/>
    <n v="2024"/>
  </r>
  <r>
    <s v="TXN00903"/>
    <x v="8"/>
    <x v="4"/>
    <x v="19"/>
    <x v="2"/>
    <d v="2025-02-10T00:00:00"/>
    <x v="0"/>
    <n v="7672.08"/>
    <n v="20"/>
    <x v="7"/>
    <n v="4603.25"/>
    <x v="902"/>
    <n v="18412.990000000002"/>
    <x v="2"/>
    <n v="2025"/>
  </r>
  <r>
    <s v="TXN00904"/>
    <x v="9"/>
    <x v="2"/>
    <x v="10"/>
    <x v="2"/>
    <d v="2025-05-23T00:00:00"/>
    <x v="5"/>
    <n v="2398.8000000000002"/>
    <n v="0"/>
    <x v="4"/>
    <n v="0"/>
    <x v="903"/>
    <n v="4797.6000000000004"/>
    <x v="9"/>
    <n v="2025"/>
  </r>
  <r>
    <s v="TXN00905"/>
    <x v="4"/>
    <x v="3"/>
    <x v="20"/>
    <x v="6"/>
    <d v="2024-08-29T00:00:00"/>
    <x v="4"/>
    <n v="3340.76"/>
    <n v="0"/>
    <x v="2"/>
    <n v="0"/>
    <x v="904"/>
    <n v="23385.32"/>
    <x v="0"/>
    <n v="2024"/>
  </r>
  <r>
    <s v="TXN00906"/>
    <x v="5"/>
    <x v="1"/>
    <x v="13"/>
    <x v="5"/>
    <d v="2024-09-17T00:00:00"/>
    <x v="9"/>
    <n v="10967.78"/>
    <n v="20"/>
    <x v="2"/>
    <n v="21935.56"/>
    <x v="905"/>
    <n v="87742.24"/>
    <x v="7"/>
    <n v="2024"/>
  </r>
  <r>
    <s v="TXN00907"/>
    <x v="3"/>
    <x v="3"/>
    <x v="15"/>
    <x v="6"/>
    <d v="2025-05-01T00:00:00"/>
    <x v="1"/>
    <n v="912.66"/>
    <n v="5"/>
    <x v="2"/>
    <n v="182.53"/>
    <x v="906"/>
    <n v="3468.11"/>
    <x v="9"/>
    <n v="2025"/>
  </r>
  <r>
    <s v="TXN00908"/>
    <x v="0"/>
    <x v="3"/>
    <x v="16"/>
    <x v="0"/>
    <d v="2024-01-22T00:00:00"/>
    <x v="9"/>
    <n v="1363.05"/>
    <n v="0"/>
    <x v="4"/>
    <n v="0"/>
    <x v="907"/>
    <n v="13630.5"/>
    <x v="10"/>
    <n v="2024"/>
  </r>
  <r>
    <s v="TXN00909"/>
    <x v="9"/>
    <x v="1"/>
    <x v="4"/>
    <x v="5"/>
    <d v="2025-10-16T00:00:00"/>
    <x v="3"/>
    <n v="9906.9500000000007"/>
    <n v="0"/>
    <x v="4"/>
    <n v="0"/>
    <x v="908"/>
    <n v="59441.7"/>
    <x v="4"/>
    <n v="2025"/>
  </r>
  <r>
    <s v="TXN00910"/>
    <x v="4"/>
    <x v="2"/>
    <x v="5"/>
    <x v="5"/>
    <d v="2024-01-09T00:00:00"/>
    <x v="4"/>
    <n v="1358.25"/>
    <n v="10"/>
    <x v="2"/>
    <n v="950.78"/>
    <x v="909"/>
    <n v="8556.9699999999993"/>
    <x v="10"/>
    <n v="2024"/>
  </r>
  <r>
    <s v="TXN00911"/>
    <x v="14"/>
    <x v="3"/>
    <x v="15"/>
    <x v="3"/>
    <d v="2024-10-31T00:00:00"/>
    <x v="1"/>
    <n v="981.07"/>
    <n v="5"/>
    <x v="0"/>
    <n v="196.21"/>
    <x v="910"/>
    <n v="3728.07"/>
    <x v="4"/>
    <n v="2024"/>
  </r>
  <r>
    <s v="TXN00912"/>
    <x v="14"/>
    <x v="4"/>
    <x v="19"/>
    <x v="3"/>
    <d v="2024-02-04T00:00:00"/>
    <x v="7"/>
    <n v="8932.89"/>
    <n v="15"/>
    <x v="2"/>
    <n v="6699.67"/>
    <x v="911"/>
    <n v="37964.78"/>
    <x v="2"/>
    <n v="2024"/>
  </r>
  <r>
    <s v="TXN00913"/>
    <x v="14"/>
    <x v="4"/>
    <x v="23"/>
    <x v="3"/>
    <d v="2025-03-08T00:00:00"/>
    <x v="5"/>
    <n v="11061"/>
    <n v="10"/>
    <x v="5"/>
    <n v="2212.1999999999998"/>
    <x v="912"/>
    <n v="19909.8"/>
    <x v="6"/>
    <n v="2025"/>
  </r>
  <r>
    <s v="TXN00914"/>
    <x v="3"/>
    <x v="2"/>
    <x v="10"/>
    <x v="5"/>
    <d v="2025-04-09T00:00:00"/>
    <x v="8"/>
    <n v="2726.23"/>
    <n v="5"/>
    <x v="5"/>
    <n v="136.31"/>
    <x v="913"/>
    <n v="2589.92"/>
    <x v="1"/>
    <n v="2025"/>
  </r>
  <r>
    <s v="TXN00915"/>
    <x v="13"/>
    <x v="4"/>
    <x v="18"/>
    <x v="5"/>
    <d v="2025-10-05T00:00:00"/>
    <x v="7"/>
    <n v="12915.28"/>
    <n v="0"/>
    <x v="0"/>
    <n v="0"/>
    <x v="914"/>
    <n v="64576.4"/>
    <x v="4"/>
    <n v="2025"/>
  </r>
  <r>
    <s v="TXN00916"/>
    <x v="2"/>
    <x v="0"/>
    <x v="6"/>
    <x v="6"/>
    <d v="2025-08-31T00:00:00"/>
    <x v="4"/>
    <n v="27454.01"/>
    <n v="10"/>
    <x v="3"/>
    <n v="19217.810000000001"/>
    <x v="915"/>
    <n v="172960.26"/>
    <x v="0"/>
    <n v="2025"/>
  </r>
  <r>
    <s v="TXN00917"/>
    <x v="4"/>
    <x v="4"/>
    <x v="23"/>
    <x v="2"/>
    <d v="2024-09-23T00:00:00"/>
    <x v="0"/>
    <n v="10718.67"/>
    <n v="10"/>
    <x v="3"/>
    <n v="3215.6"/>
    <x v="916"/>
    <n v="28940.41"/>
    <x v="7"/>
    <n v="2024"/>
  </r>
  <r>
    <s v="TXN00918"/>
    <x v="6"/>
    <x v="3"/>
    <x v="7"/>
    <x v="5"/>
    <d v="2024-07-05T00:00:00"/>
    <x v="4"/>
    <n v="2014.38"/>
    <n v="20"/>
    <x v="5"/>
    <n v="2820.13"/>
    <x v="917"/>
    <n v="11280.53"/>
    <x v="11"/>
    <n v="2024"/>
  </r>
  <r>
    <s v="TXN00919"/>
    <x v="13"/>
    <x v="1"/>
    <x v="12"/>
    <x v="6"/>
    <d v="2024-04-01T00:00:00"/>
    <x v="2"/>
    <n v="5697.4"/>
    <n v="5"/>
    <x v="0"/>
    <n v="2278.96"/>
    <x v="918"/>
    <n v="43300.24"/>
    <x v="1"/>
    <n v="2024"/>
  </r>
  <r>
    <s v="TXN00920"/>
    <x v="12"/>
    <x v="0"/>
    <x v="24"/>
    <x v="5"/>
    <d v="2024-06-01T00:00:00"/>
    <x v="5"/>
    <n v="7976.56"/>
    <n v="5"/>
    <x v="4"/>
    <n v="797.66"/>
    <x v="919"/>
    <n v="15155.46"/>
    <x v="5"/>
    <n v="2024"/>
  </r>
  <r>
    <s v="TXN00921"/>
    <x v="13"/>
    <x v="2"/>
    <x v="10"/>
    <x v="2"/>
    <d v="2025-04-09T00:00:00"/>
    <x v="2"/>
    <n v="2324.0700000000002"/>
    <n v="5"/>
    <x v="2"/>
    <n v="929.63"/>
    <x v="920"/>
    <n v="17662.93"/>
    <x v="1"/>
    <n v="2025"/>
  </r>
  <r>
    <s v="TXN00922"/>
    <x v="5"/>
    <x v="1"/>
    <x v="4"/>
    <x v="2"/>
    <d v="2025-01-26T00:00:00"/>
    <x v="0"/>
    <n v="8062.62"/>
    <n v="5"/>
    <x v="6"/>
    <n v="1209.3900000000001"/>
    <x v="921"/>
    <n v="22978.47"/>
    <x v="10"/>
    <n v="2025"/>
  </r>
  <r>
    <s v="TXN00923"/>
    <x v="4"/>
    <x v="2"/>
    <x v="5"/>
    <x v="0"/>
    <d v="2025-03-04T00:00:00"/>
    <x v="0"/>
    <n v="1202.56"/>
    <n v="5"/>
    <x v="0"/>
    <n v="180.38"/>
    <x v="922"/>
    <n v="3427.3"/>
    <x v="6"/>
    <n v="2025"/>
  </r>
  <r>
    <s v="TXN00924"/>
    <x v="5"/>
    <x v="0"/>
    <x v="3"/>
    <x v="4"/>
    <d v="2024-09-11T00:00:00"/>
    <x v="3"/>
    <n v="18823.060000000001"/>
    <n v="15"/>
    <x v="6"/>
    <n v="16940.75"/>
    <x v="923"/>
    <n v="95997.61"/>
    <x v="7"/>
    <n v="2024"/>
  </r>
  <r>
    <s v="TXN00925"/>
    <x v="11"/>
    <x v="0"/>
    <x v="0"/>
    <x v="4"/>
    <d v="2025-12-10T00:00:00"/>
    <x v="4"/>
    <n v="76627.490000000005"/>
    <n v="15"/>
    <x v="5"/>
    <n v="80458.86"/>
    <x v="924"/>
    <n v="455933.57"/>
    <x v="3"/>
    <n v="2025"/>
  </r>
  <r>
    <s v="TXN00926"/>
    <x v="5"/>
    <x v="4"/>
    <x v="14"/>
    <x v="1"/>
    <d v="2025-07-24T00:00:00"/>
    <x v="8"/>
    <n v="1369.54"/>
    <n v="5"/>
    <x v="7"/>
    <n v="68.48"/>
    <x v="925"/>
    <n v="1301.06"/>
    <x v="11"/>
    <n v="2025"/>
  </r>
  <r>
    <s v="TXN00927"/>
    <x v="12"/>
    <x v="4"/>
    <x v="19"/>
    <x v="2"/>
    <d v="2024-01-06T00:00:00"/>
    <x v="7"/>
    <n v="8209.08"/>
    <n v="15"/>
    <x v="1"/>
    <n v="6156.81"/>
    <x v="926"/>
    <n v="34888.589999999997"/>
    <x v="10"/>
    <n v="2024"/>
  </r>
  <r>
    <s v="TXN00928"/>
    <x v="8"/>
    <x v="3"/>
    <x v="16"/>
    <x v="0"/>
    <d v="2025-07-26T00:00:00"/>
    <x v="8"/>
    <n v="1567.68"/>
    <n v="10"/>
    <x v="3"/>
    <n v="156.77000000000001"/>
    <x v="927"/>
    <n v="1410.91"/>
    <x v="11"/>
    <n v="2025"/>
  </r>
  <r>
    <s v="TXN00929"/>
    <x v="11"/>
    <x v="1"/>
    <x v="8"/>
    <x v="0"/>
    <d v="2024-05-15T00:00:00"/>
    <x v="5"/>
    <n v="39173.17"/>
    <n v="20"/>
    <x v="6"/>
    <n v="15669.27"/>
    <x v="928"/>
    <n v="62677.07"/>
    <x v="9"/>
    <n v="2024"/>
  </r>
  <r>
    <s v="TXN00930"/>
    <x v="5"/>
    <x v="4"/>
    <x v="18"/>
    <x v="1"/>
    <d v="2024-02-15T00:00:00"/>
    <x v="0"/>
    <n v="12297.63"/>
    <n v="10"/>
    <x v="5"/>
    <n v="3689.29"/>
    <x v="929"/>
    <n v="33203.599999999999"/>
    <x v="2"/>
    <n v="2024"/>
  </r>
  <r>
    <s v="TXN00931"/>
    <x v="5"/>
    <x v="3"/>
    <x v="16"/>
    <x v="0"/>
    <d v="2025-06-13T00:00:00"/>
    <x v="3"/>
    <n v="1513.42"/>
    <n v="5"/>
    <x v="4"/>
    <n v="454.03"/>
    <x v="930"/>
    <n v="8626.49"/>
    <x v="5"/>
    <n v="2025"/>
  </r>
  <r>
    <s v="TXN00932"/>
    <x v="10"/>
    <x v="3"/>
    <x v="16"/>
    <x v="4"/>
    <d v="2024-02-24T00:00:00"/>
    <x v="1"/>
    <n v="1405.73"/>
    <n v="5"/>
    <x v="6"/>
    <n v="281.14999999999998"/>
    <x v="931"/>
    <n v="5341.77"/>
    <x v="2"/>
    <n v="2024"/>
  </r>
  <r>
    <s v="TXN00933"/>
    <x v="11"/>
    <x v="1"/>
    <x v="12"/>
    <x v="0"/>
    <d v="2025-12-23T00:00:00"/>
    <x v="2"/>
    <n v="6660.11"/>
    <n v="15"/>
    <x v="3"/>
    <n v="7992.13"/>
    <x v="932"/>
    <n v="45288.75"/>
    <x v="3"/>
    <n v="2025"/>
  </r>
  <r>
    <s v="TXN00934"/>
    <x v="3"/>
    <x v="0"/>
    <x v="24"/>
    <x v="2"/>
    <d v="2025-04-13T00:00:00"/>
    <x v="2"/>
    <n v="6496.86"/>
    <n v="5"/>
    <x v="6"/>
    <n v="2598.7399999999998"/>
    <x v="933"/>
    <n v="49376.14"/>
    <x v="1"/>
    <n v="2025"/>
  </r>
  <r>
    <s v="TXN00935"/>
    <x v="6"/>
    <x v="0"/>
    <x v="3"/>
    <x v="4"/>
    <d v="2024-07-03T00:00:00"/>
    <x v="0"/>
    <n v="19574.71"/>
    <n v="10"/>
    <x v="4"/>
    <n v="5872.41"/>
    <x v="934"/>
    <n v="52851.72"/>
    <x v="11"/>
    <n v="2024"/>
  </r>
  <r>
    <s v="TXN00936"/>
    <x v="2"/>
    <x v="2"/>
    <x v="11"/>
    <x v="6"/>
    <d v="2025-06-22T00:00:00"/>
    <x v="9"/>
    <n v="4725.71"/>
    <n v="0"/>
    <x v="1"/>
    <n v="0"/>
    <x v="935"/>
    <n v="47257.1"/>
    <x v="5"/>
    <n v="2025"/>
  </r>
  <r>
    <s v="TXN00937"/>
    <x v="8"/>
    <x v="1"/>
    <x v="2"/>
    <x v="1"/>
    <d v="2024-01-27T00:00:00"/>
    <x v="7"/>
    <n v="26758.2"/>
    <n v="0"/>
    <x v="5"/>
    <n v="0"/>
    <x v="936"/>
    <n v="133791"/>
    <x v="10"/>
    <n v="2024"/>
  </r>
  <r>
    <s v="TXN00938"/>
    <x v="12"/>
    <x v="4"/>
    <x v="19"/>
    <x v="1"/>
    <d v="2024-06-06T00:00:00"/>
    <x v="8"/>
    <n v="7362.13"/>
    <n v="15"/>
    <x v="5"/>
    <n v="1104.32"/>
    <x v="937"/>
    <n v="6257.81"/>
    <x v="5"/>
    <n v="2024"/>
  </r>
  <r>
    <s v="TXN00939"/>
    <x v="12"/>
    <x v="4"/>
    <x v="19"/>
    <x v="2"/>
    <d v="2024-12-03T00:00:00"/>
    <x v="8"/>
    <n v="9363.58"/>
    <n v="15"/>
    <x v="1"/>
    <n v="1404.54"/>
    <x v="938"/>
    <n v="7959.04"/>
    <x v="3"/>
    <n v="2024"/>
  </r>
  <r>
    <s v="TXN00940"/>
    <x v="7"/>
    <x v="3"/>
    <x v="21"/>
    <x v="4"/>
    <d v="2025-10-21T00:00:00"/>
    <x v="7"/>
    <n v="2697.18"/>
    <n v="0"/>
    <x v="1"/>
    <n v="0"/>
    <x v="939"/>
    <n v="13485.9"/>
    <x v="4"/>
    <n v="2025"/>
  </r>
  <r>
    <s v="TXN00941"/>
    <x v="12"/>
    <x v="0"/>
    <x v="1"/>
    <x v="5"/>
    <d v="2025-02-12T00:00:00"/>
    <x v="7"/>
    <n v="2833.51"/>
    <n v="15"/>
    <x v="7"/>
    <n v="2125.13"/>
    <x v="940"/>
    <n v="12042.42"/>
    <x v="2"/>
    <n v="2025"/>
  </r>
  <r>
    <s v="TXN00942"/>
    <x v="4"/>
    <x v="0"/>
    <x v="0"/>
    <x v="4"/>
    <d v="2025-02-01T00:00:00"/>
    <x v="4"/>
    <n v="63130.21"/>
    <n v="5"/>
    <x v="3"/>
    <n v="22095.57"/>
    <x v="941"/>
    <n v="419815.9"/>
    <x v="2"/>
    <n v="2025"/>
  </r>
  <r>
    <s v="TXN00943"/>
    <x v="11"/>
    <x v="0"/>
    <x v="3"/>
    <x v="3"/>
    <d v="2024-11-13T00:00:00"/>
    <x v="9"/>
    <n v="18469.87"/>
    <n v="0"/>
    <x v="2"/>
    <n v="0"/>
    <x v="942"/>
    <n v="184698.7"/>
    <x v="8"/>
    <n v="2024"/>
  </r>
  <r>
    <s v="TXN00944"/>
    <x v="2"/>
    <x v="3"/>
    <x v="21"/>
    <x v="5"/>
    <d v="2025-02-01T00:00:00"/>
    <x v="2"/>
    <n v="2417.8000000000002"/>
    <n v="20"/>
    <x v="6"/>
    <n v="3868.48"/>
    <x v="943"/>
    <n v="15473.92"/>
    <x v="2"/>
    <n v="2025"/>
  </r>
  <r>
    <s v="TXN00945"/>
    <x v="10"/>
    <x v="4"/>
    <x v="17"/>
    <x v="5"/>
    <d v="2025-09-20T00:00:00"/>
    <x v="0"/>
    <n v="3529.84"/>
    <n v="15"/>
    <x v="5"/>
    <n v="1588.43"/>
    <x v="944"/>
    <n v="9001.09"/>
    <x v="7"/>
    <n v="2025"/>
  </r>
  <r>
    <s v="TXN00946"/>
    <x v="9"/>
    <x v="0"/>
    <x v="0"/>
    <x v="0"/>
    <d v="2025-11-23T00:00:00"/>
    <x v="1"/>
    <n v="75926.039999999994"/>
    <n v="5"/>
    <x v="6"/>
    <n v="15185.21"/>
    <x v="945"/>
    <n v="288518.95"/>
    <x v="8"/>
    <n v="2025"/>
  </r>
  <r>
    <s v="TXN00947"/>
    <x v="8"/>
    <x v="4"/>
    <x v="14"/>
    <x v="2"/>
    <d v="2024-10-24T00:00:00"/>
    <x v="2"/>
    <n v="1665.41"/>
    <n v="15"/>
    <x v="7"/>
    <n v="1998.49"/>
    <x v="946"/>
    <n v="11324.79"/>
    <x v="4"/>
    <n v="2024"/>
  </r>
  <r>
    <s v="TXN00948"/>
    <x v="7"/>
    <x v="3"/>
    <x v="7"/>
    <x v="2"/>
    <d v="2024-09-11T00:00:00"/>
    <x v="6"/>
    <n v="1812.48"/>
    <n v="20"/>
    <x v="4"/>
    <n v="3262.46"/>
    <x v="947"/>
    <n v="13049.86"/>
    <x v="7"/>
    <n v="2024"/>
  </r>
  <r>
    <s v="TXN00949"/>
    <x v="6"/>
    <x v="0"/>
    <x v="1"/>
    <x v="1"/>
    <d v="2025-06-06T00:00:00"/>
    <x v="4"/>
    <n v="3009.76"/>
    <n v="15"/>
    <x v="7"/>
    <n v="3160.25"/>
    <x v="948"/>
    <n v="17908.07"/>
    <x v="5"/>
    <n v="2025"/>
  </r>
  <r>
    <s v="TXN00950"/>
    <x v="3"/>
    <x v="2"/>
    <x v="22"/>
    <x v="0"/>
    <d v="2025-05-30T00:00:00"/>
    <x v="8"/>
    <n v="835.64"/>
    <n v="15"/>
    <x v="7"/>
    <n v="125.35"/>
    <x v="949"/>
    <n v="710.29"/>
    <x v="9"/>
    <n v="2025"/>
  </r>
  <r>
    <s v="TXN00951"/>
    <x v="4"/>
    <x v="1"/>
    <x v="13"/>
    <x v="5"/>
    <d v="2024-03-26T00:00:00"/>
    <x v="4"/>
    <n v="13430.27"/>
    <n v="10"/>
    <x v="1"/>
    <n v="9401.19"/>
    <x v="950"/>
    <n v="84610.7"/>
    <x v="6"/>
    <n v="2024"/>
  </r>
  <r>
    <s v="TXN00952"/>
    <x v="0"/>
    <x v="3"/>
    <x v="21"/>
    <x v="5"/>
    <d v="2025-09-30T00:00:00"/>
    <x v="7"/>
    <n v="2463.33"/>
    <n v="5"/>
    <x v="6"/>
    <n v="615.83000000000004"/>
    <x v="951"/>
    <n v="11700.82"/>
    <x v="7"/>
    <n v="2025"/>
  </r>
  <r>
    <s v="TXN00953"/>
    <x v="6"/>
    <x v="1"/>
    <x v="13"/>
    <x v="2"/>
    <d v="2025-11-20T00:00:00"/>
    <x v="5"/>
    <n v="13311.54"/>
    <n v="0"/>
    <x v="4"/>
    <n v="0"/>
    <x v="952"/>
    <n v="26623.08"/>
    <x v="8"/>
    <n v="2025"/>
  </r>
  <r>
    <s v="TXN00954"/>
    <x v="6"/>
    <x v="0"/>
    <x v="24"/>
    <x v="1"/>
    <d v="2025-11-02T00:00:00"/>
    <x v="2"/>
    <n v="7815.81"/>
    <n v="15"/>
    <x v="3"/>
    <n v="9378.9699999999993"/>
    <x v="953"/>
    <n v="53147.51"/>
    <x v="8"/>
    <n v="2025"/>
  </r>
  <r>
    <s v="TXN00955"/>
    <x v="5"/>
    <x v="2"/>
    <x v="9"/>
    <x v="6"/>
    <d v="2025-12-08T00:00:00"/>
    <x v="4"/>
    <n v="5450.74"/>
    <n v="0"/>
    <x v="5"/>
    <n v="0"/>
    <x v="954"/>
    <n v="38155.18"/>
    <x v="3"/>
    <n v="2025"/>
  </r>
  <r>
    <s v="TXN00956"/>
    <x v="13"/>
    <x v="1"/>
    <x v="13"/>
    <x v="4"/>
    <d v="2024-01-17T00:00:00"/>
    <x v="1"/>
    <n v="13377.04"/>
    <n v="5"/>
    <x v="7"/>
    <n v="2675.41"/>
    <x v="955"/>
    <n v="50832.75"/>
    <x v="10"/>
    <n v="2024"/>
  </r>
  <r>
    <s v="TXN00957"/>
    <x v="8"/>
    <x v="4"/>
    <x v="18"/>
    <x v="4"/>
    <d v="2025-10-03T00:00:00"/>
    <x v="6"/>
    <n v="12510.02"/>
    <n v="10"/>
    <x v="2"/>
    <n v="11259.02"/>
    <x v="956"/>
    <n v="101331.16"/>
    <x v="4"/>
    <n v="2025"/>
  </r>
  <r>
    <s v="TXN00958"/>
    <x v="11"/>
    <x v="4"/>
    <x v="18"/>
    <x v="5"/>
    <d v="2024-04-29T00:00:00"/>
    <x v="0"/>
    <n v="13507.25"/>
    <n v="15"/>
    <x v="1"/>
    <n v="6078.26"/>
    <x v="957"/>
    <n v="34443.49"/>
    <x v="1"/>
    <n v="2024"/>
  </r>
  <r>
    <s v="TXN00959"/>
    <x v="13"/>
    <x v="4"/>
    <x v="23"/>
    <x v="3"/>
    <d v="2025-08-22T00:00:00"/>
    <x v="1"/>
    <n v="9503.35"/>
    <n v="20"/>
    <x v="6"/>
    <n v="7602.68"/>
    <x v="958"/>
    <n v="30410.720000000001"/>
    <x v="0"/>
    <n v="2025"/>
  </r>
  <r>
    <s v="TXN00960"/>
    <x v="3"/>
    <x v="4"/>
    <x v="17"/>
    <x v="1"/>
    <d v="2025-10-07T00:00:00"/>
    <x v="4"/>
    <n v="4407.76"/>
    <n v="15"/>
    <x v="7"/>
    <n v="4628.1499999999996"/>
    <x v="959"/>
    <n v="26226.17"/>
    <x v="4"/>
    <n v="2025"/>
  </r>
  <r>
    <s v="TXN00961"/>
    <x v="0"/>
    <x v="2"/>
    <x v="11"/>
    <x v="6"/>
    <d v="2024-02-07T00:00:00"/>
    <x v="2"/>
    <n v="4999.6000000000004"/>
    <n v="20"/>
    <x v="4"/>
    <n v="7999.36"/>
    <x v="960"/>
    <n v="31997.439999999999"/>
    <x v="2"/>
    <n v="2024"/>
  </r>
  <r>
    <s v="TXN00962"/>
    <x v="14"/>
    <x v="2"/>
    <x v="11"/>
    <x v="2"/>
    <d v="2024-08-25T00:00:00"/>
    <x v="8"/>
    <n v="5160.3900000000003"/>
    <n v="15"/>
    <x v="6"/>
    <n v="774.06"/>
    <x v="961"/>
    <n v="4386.33"/>
    <x v="0"/>
    <n v="2024"/>
  </r>
  <r>
    <s v="TXN00963"/>
    <x v="9"/>
    <x v="2"/>
    <x v="22"/>
    <x v="1"/>
    <d v="2025-10-25T00:00:00"/>
    <x v="4"/>
    <n v="1111.06"/>
    <n v="0"/>
    <x v="4"/>
    <n v="0"/>
    <x v="962"/>
    <n v="7777.42"/>
    <x v="4"/>
    <n v="2025"/>
  </r>
  <r>
    <s v="TXN00964"/>
    <x v="8"/>
    <x v="4"/>
    <x v="14"/>
    <x v="0"/>
    <d v="2025-12-15T00:00:00"/>
    <x v="4"/>
    <n v="1493.58"/>
    <n v="10"/>
    <x v="6"/>
    <n v="1045.51"/>
    <x v="963"/>
    <n v="9409.5499999999993"/>
    <x v="3"/>
    <n v="2025"/>
  </r>
  <r>
    <s v="TXN00965"/>
    <x v="3"/>
    <x v="1"/>
    <x v="2"/>
    <x v="5"/>
    <d v="2025-06-03T00:00:00"/>
    <x v="1"/>
    <n v="26172.87"/>
    <n v="10"/>
    <x v="0"/>
    <n v="10469.15"/>
    <x v="964"/>
    <n v="94222.33"/>
    <x v="5"/>
    <n v="2025"/>
  </r>
  <r>
    <s v="TXN00966"/>
    <x v="7"/>
    <x v="2"/>
    <x v="9"/>
    <x v="0"/>
    <d v="2025-03-02T00:00:00"/>
    <x v="3"/>
    <n v="4945.47"/>
    <n v="5"/>
    <x v="2"/>
    <n v="1483.64"/>
    <x v="965"/>
    <n v="28189.18"/>
    <x v="6"/>
    <n v="2025"/>
  </r>
  <r>
    <s v="TXN00967"/>
    <x v="5"/>
    <x v="2"/>
    <x v="5"/>
    <x v="2"/>
    <d v="2025-11-14T00:00:00"/>
    <x v="2"/>
    <n v="1230.5999999999999"/>
    <n v="5"/>
    <x v="7"/>
    <n v="492.24"/>
    <x v="966"/>
    <n v="9352.56"/>
    <x v="8"/>
    <n v="2025"/>
  </r>
  <r>
    <s v="TXN00968"/>
    <x v="11"/>
    <x v="1"/>
    <x v="8"/>
    <x v="1"/>
    <d v="2025-05-20T00:00:00"/>
    <x v="7"/>
    <n v="38347.19"/>
    <n v="20"/>
    <x v="2"/>
    <n v="38347.19"/>
    <x v="967"/>
    <n v="153388.76"/>
    <x v="9"/>
    <n v="2025"/>
  </r>
  <r>
    <s v="TXN00969"/>
    <x v="3"/>
    <x v="0"/>
    <x v="0"/>
    <x v="0"/>
    <d v="2025-11-24T00:00:00"/>
    <x v="0"/>
    <n v="67473.03"/>
    <n v="20"/>
    <x v="5"/>
    <n v="40483.82"/>
    <x v="968"/>
    <n v="161935.26999999999"/>
    <x v="8"/>
    <n v="2025"/>
  </r>
  <r>
    <s v="TXN00970"/>
    <x v="3"/>
    <x v="0"/>
    <x v="0"/>
    <x v="5"/>
    <d v="2025-09-24T00:00:00"/>
    <x v="1"/>
    <n v="60461.18"/>
    <n v="5"/>
    <x v="7"/>
    <n v="12092.24"/>
    <x v="969"/>
    <n v="229752.48"/>
    <x v="7"/>
    <n v="2025"/>
  </r>
  <r>
    <s v="TXN00971"/>
    <x v="3"/>
    <x v="4"/>
    <x v="19"/>
    <x v="3"/>
    <d v="2024-02-17T00:00:00"/>
    <x v="6"/>
    <n v="7734.98"/>
    <n v="5"/>
    <x v="5"/>
    <n v="3480.74"/>
    <x v="970"/>
    <n v="66134.080000000002"/>
    <x v="2"/>
    <n v="2024"/>
  </r>
  <r>
    <s v="TXN00972"/>
    <x v="8"/>
    <x v="2"/>
    <x v="11"/>
    <x v="1"/>
    <d v="2025-03-24T00:00:00"/>
    <x v="2"/>
    <n v="5703.31"/>
    <n v="0"/>
    <x v="1"/>
    <n v="0"/>
    <x v="971"/>
    <n v="45626.48"/>
    <x v="6"/>
    <n v="2025"/>
  </r>
  <r>
    <s v="TXN00973"/>
    <x v="12"/>
    <x v="0"/>
    <x v="1"/>
    <x v="3"/>
    <d v="2025-07-29T00:00:00"/>
    <x v="8"/>
    <n v="3080.48"/>
    <n v="5"/>
    <x v="7"/>
    <n v="154.02000000000001"/>
    <x v="972"/>
    <n v="2926.46"/>
    <x v="11"/>
    <n v="2025"/>
  </r>
  <r>
    <s v="TXN00974"/>
    <x v="14"/>
    <x v="0"/>
    <x v="6"/>
    <x v="0"/>
    <d v="2024-10-26T00:00:00"/>
    <x v="2"/>
    <n v="29988.51"/>
    <n v="15"/>
    <x v="3"/>
    <n v="35986.21"/>
    <x v="973"/>
    <n v="203921.87"/>
    <x v="4"/>
    <n v="2024"/>
  </r>
  <r>
    <s v="TXN00975"/>
    <x v="8"/>
    <x v="0"/>
    <x v="6"/>
    <x v="0"/>
    <d v="2024-05-21T00:00:00"/>
    <x v="5"/>
    <n v="27803.72"/>
    <n v="15"/>
    <x v="5"/>
    <n v="8341.1200000000008"/>
    <x v="974"/>
    <n v="47266.32"/>
    <x v="9"/>
    <n v="2024"/>
  </r>
  <r>
    <s v="TXN00976"/>
    <x v="2"/>
    <x v="4"/>
    <x v="17"/>
    <x v="3"/>
    <d v="2024-12-15T00:00:00"/>
    <x v="7"/>
    <n v="3951.08"/>
    <n v="0"/>
    <x v="6"/>
    <n v="0"/>
    <x v="975"/>
    <n v="19755.400000000001"/>
    <x v="3"/>
    <n v="2024"/>
  </r>
  <r>
    <s v="TXN00977"/>
    <x v="0"/>
    <x v="3"/>
    <x v="20"/>
    <x v="3"/>
    <d v="2025-01-04T00:00:00"/>
    <x v="1"/>
    <n v="3282.66"/>
    <n v="20"/>
    <x v="2"/>
    <n v="2626.13"/>
    <x v="976"/>
    <n v="10504.51"/>
    <x v="10"/>
    <n v="2025"/>
  </r>
  <r>
    <s v="TXN00978"/>
    <x v="7"/>
    <x v="4"/>
    <x v="18"/>
    <x v="3"/>
    <d v="2025-02-27T00:00:00"/>
    <x v="4"/>
    <n v="13494.2"/>
    <n v="20"/>
    <x v="2"/>
    <n v="18891.88"/>
    <x v="977"/>
    <n v="75567.520000000004"/>
    <x v="2"/>
    <n v="2025"/>
  </r>
  <r>
    <s v="TXN00979"/>
    <x v="11"/>
    <x v="3"/>
    <x v="15"/>
    <x v="4"/>
    <d v="2025-06-13T00:00:00"/>
    <x v="5"/>
    <n v="736.96"/>
    <n v="10"/>
    <x v="1"/>
    <n v="147.38999999999999"/>
    <x v="978"/>
    <n v="1326.53"/>
    <x v="5"/>
    <n v="2025"/>
  </r>
  <r>
    <s v="TXN00980"/>
    <x v="1"/>
    <x v="4"/>
    <x v="18"/>
    <x v="1"/>
    <d v="2024-02-07T00:00:00"/>
    <x v="0"/>
    <n v="13507.53"/>
    <n v="0"/>
    <x v="2"/>
    <n v="0"/>
    <x v="979"/>
    <n v="40522.589999999997"/>
    <x v="2"/>
    <n v="2024"/>
  </r>
  <r>
    <s v="TXN00981"/>
    <x v="1"/>
    <x v="2"/>
    <x v="22"/>
    <x v="5"/>
    <d v="2024-11-17T00:00:00"/>
    <x v="3"/>
    <n v="892.96"/>
    <n v="10"/>
    <x v="4"/>
    <n v="535.78"/>
    <x v="980"/>
    <n v="4821.9799999999996"/>
    <x v="8"/>
    <n v="2024"/>
  </r>
  <r>
    <s v="TXN00982"/>
    <x v="14"/>
    <x v="2"/>
    <x v="11"/>
    <x v="4"/>
    <d v="2025-04-01T00:00:00"/>
    <x v="1"/>
    <n v="5609.47"/>
    <n v="20"/>
    <x v="2"/>
    <n v="4487.58"/>
    <x v="981"/>
    <n v="17950.3"/>
    <x v="1"/>
    <n v="2025"/>
  </r>
  <r>
    <s v="TXN00983"/>
    <x v="0"/>
    <x v="2"/>
    <x v="9"/>
    <x v="0"/>
    <d v="2024-07-21T00:00:00"/>
    <x v="7"/>
    <n v="4144.82"/>
    <n v="20"/>
    <x v="2"/>
    <n v="4144.82"/>
    <x v="982"/>
    <n v="16579.28"/>
    <x v="11"/>
    <n v="2024"/>
  </r>
  <r>
    <s v="TXN00984"/>
    <x v="0"/>
    <x v="3"/>
    <x v="16"/>
    <x v="2"/>
    <d v="2025-06-16T00:00:00"/>
    <x v="6"/>
    <n v="1456.47"/>
    <n v="0"/>
    <x v="3"/>
    <n v="0"/>
    <x v="983"/>
    <n v="13108.23"/>
    <x v="5"/>
    <n v="2025"/>
  </r>
  <r>
    <s v="TXN00985"/>
    <x v="5"/>
    <x v="2"/>
    <x v="11"/>
    <x v="6"/>
    <d v="2025-10-12T00:00:00"/>
    <x v="0"/>
    <n v="4982.2"/>
    <n v="20"/>
    <x v="5"/>
    <n v="2989.32"/>
    <x v="984"/>
    <n v="11957.28"/>
    <x v="4"/>
    <n v="2025"/>
  </r>
  <r>
    <s v="TXN00986"/>
    <x v="2"/>
    <x v="2"/>
    <x v="22"/>
    <x v="3"/>
    <d v="2025-03-08T00:00:00"/>
    <x v="6"/>
    <n v="834.85"/>
    <n v="0"/>
    <x v="4"/>
    <n v="0"/>
    <x v="985"/>
    <n v="7513.65"/>
    <x v="6"/>
    <n v="2025"/>
  </r>
  <r>
    <s v="TXN00987"/>
    <x v="8"/>
    <x v="3"/>
    <x v="20"/>
    <x v="6"/>
    <d v="2024-05-06T00:00:00"/>
    <x v="8"/>
    <n v="3811.99"/>
    <n v="0"/>
    <x v="5"/>
    <n v="0"/>
    <x v="986"/>
    <n v="3811.99"/>
    <x v="9"/>
    <n v="2024"/>
  </r>
  <r>
    <s v="TXN00988"/>
    <x v="12"/>
    <x v="4"/>
    <x v="19"/>
    <x v="2"/>
    <d v="2025-04-09T00:00:00"/>
    <x v="3"/>
    <n v="9165.9"/>
    <n v="20"/>
    <x v="1"/>
    <n v="10999.08"/>
    <x v="987"/>
    <n v="43996.32"/>
    <x v="1"/>
    <n v="2025"/>
  </r>
  <r>
    <s v="TXN00989"/>
    <x v="4"/>
    <x v="2"/>
    <x v="11"/>
    <x v="6"/>
    <d v="2024-12-24T00:00:00"/>
    <x v="7"/>
    <n v="5341.24"/>
    <n v="20"/>
    <x v="0"/>
    <n v="5341.24"/>
    <x v="988"/>
    <n v="21364.959999999999"/>
    <x v="3"/>
    <n v="2024"/>
  </r>
  <r>
    <s v="TXN00990"/>
    <x v="9"/>
    <x v="1"/>
    <x v="2"/>
    <x v="2"/>
    <d v="2024-04-17T00:00:00"/>
    <x v="3"/>
    <n v="25727.82"/>
    <n v="5"/>
    <x v="0"/>
    <n v="7718.35"/>
    <x v="989"/>
    <n v="146648.57"/>
    <x v="1"/>
    <n v="2024"/>
  </r>
  <r>
    <s v="TXN00991"/>
    <x v="6"/>
    <x v="3"/>
    <x v="16"/>
    <x v="4"/>
    <d v="2025-02-25T00:00:00"/>
    <x v="5"/>
    <n v="1384.59"/>
    <n v="15"/>
    <x v="2"/>
    <n v="415.38"/>
    <x v="990"/>
    <n v="2353.8000000000002"/>
    <x v="2"/>
    <n v="2025"/>
  </r>
  <r>
    <s v="TXN00992"/>
    <x v="2"/>
    <x v="1"/>
    <x v="2"/>
    <x v="5"/>
    <d v="2025-01-13T00:00:00"/>
    <x v="6"/>
    <n v="25017.21"/>
    <n v="20"/>
    <x v="7"/>
    <n v="45030.98"/>
    <x v="991"/>
    <n v="180123.91"/>
    <x v="10"/>
    <n v="2025"/>
  </r>
  <r>
    <s v="TXN00993"/>
    <x v="4"/>
    <x v="2"/>
    <x v="9"/>
    <x v="0"/>
    <d v="2025-10-13T00:00:00"/>
    <x v="4"/>
    <n v="5688.18"/>
    <n v="15"/>
    <x v="6"/>
    <n v="5972.59"/>
    <x v="992"/>
    <n v="33844.67"/>
    <x v="4"/>
    <n v="2025"/>
  </r>
  <r>
    <s v="TXN00994"/>
    <x v="7"/>
    <x v="4"/>
    <x v="18"/>
    <x v="6"/>
    <d v="2025-05-11T00:00:00"/>
    <x v="2"/>
    <n v="11188.16"/>
    <n v="20"/>
    <x v="3"/>
    <n v="17901.060000000001"/>
    <x v="993"/>
    <n v="71604.22"/>
    <x v="9"/>
    <n v="2025"/>
  </r>
  <r>
    <s v="TXN00995"/>
    <x v="0"/>
    <x v="2"/>
    <x v="10"/>
    <x v="4"/>
    <d v="2025-04-29T00:00:00"/>
    <x v="8"/>
    <n v="2716.56"/>
    <n v="20"/>
    <x v="6"/>
    <n v="543.30999999999995"/>
    <x v="994"/>
    <n v="2173.25"/>
    <x v="1"/>
    <n v="2025"/>
  </r>
  <r>
    <s v="TXN00996"/>
    <x v="12"/>
    <x v="3"/>
    <x v="15"/>
    <x v="3"/>
    <d v="2024-04-22T00:00:00"/>
    <x v="5"/>
    <n v="793.92"/>
    <n v="10"/>
    <x v="2"/>
    <n v="158.78"/>
    <x v="995"/>
    <n v="1429.06"/>
    <x v="1"/>
    <n v="2024"/>
  </r>
  <r>
    <s v="TXN00997"/>
    <x v="7"/>
    <x v="0"/>
    <x v="1"/>
    <x v="1"/>
    <d v="2024-11-08T00:00:00"/>
    <x v="3"/>
    <n v="3220.19"/>
    <n v="15"/>
    <x v="5"/>
    <n v="2898.17"/>
    <x v="996"/>
    <n v="16422.97"/>
    <x v="8"/>
    <n v="2024"/>
  </r>
  <r>
    <s v="TXN00998"/>
    <x v="7"/>
    <x v="0"/>
    <x v="6"/>
    <x v="3"/>
    <d v="2024-02-19T00:00:00"/>
    <x v="7"/>
    <n v="28056.61"/>
    <n v="5"/>
    <x v="2"/>
    <n v="7014.15"/>
    <x v="997"/>
    <n v="133268.9"/>
    <x v="2"/>
    <n v="2024"/>
  </r>
  <r>
    <s v="TXN00999"/>
    <x v="13"/>
    <x v="1"/>
    <x v="2"/>
    <x v="1"/>
    <d v="2024-03-10T00:00:00"/>
    <x v="8"/>
    <n v="25109.84"/>
    <n v="20"/>
    <x v="5"/>
    <n v="5021.97"/>
    <x v="998"/>
    <n v="20087.87"/>
    <x v="6"/>
    <n v="2024"/>
  </r>
  <r>
    <s v="TXN01000"/>
    <x v="11"/>
    <x v="3"/>
    <x v="21"/>
    <x v="0"/>
    <d v="2025-05-01T00:00:00"/>
    <x v="9"/>
    <n v="2333.0100000000002"/>
    <n v="5"/>
    <x v="2"/>
    <n v="1166.5"/>
    <x v="999"/>
    <n v="22163.599999999999"/>
    <x v="9"/>
    <n v="2025"/>
  </r>
  <r>
    <s v="TXN01001"/>
    <x v="10"/>
    <x v="2"/>
    <x v="9"/>
    <x v="5"/>
    <d v="2024-06-01T00:00:00"/>
    <x v="3"/>
    <n v="4150.4799999999996"/>
    <n v="20"/>
    <x v="6"/>
    <n v="4980.58"/>
    <x v="1000"/>
    <n v="19922.3"/>
    <x v="5"/>
    <n v="2024"/>
  </r>
  <r>
    <s v="TXN01002"/>
    <x v="1"/>
    <x v="2"/>
    <x v="9"/>
    <x v="4"/>
    <d v="2024-12-13T00:00:00"/>
    <x v="6"/>
    <n v="4511.7"/>
    <n v="15"/>
    <x v="2"/>
    <n v="6090.8"/>
    <x v="1001"/>
    <n v="34514.5"/>
    <x v="3"/>
    <n v="2024"/>
  </r>
  <r>
    <s v="TXN01003"/>
    <x v="4"/>
    <x v="3"/>
    <x v="15"/>
    <x v="4"/>
    <d v="2025-08-08T00:00:00"/>
    <x v="7"/>
    <n v="832.21"/>
    <n v="0"/>
    <x v="1"/>
    <n v="0"/>
    <x v="1002"/>
    <n v="4161.05"/>
    <x v="0"/>
    <n v="2025"/>
  </r>
  <r>
    <s v="TXN01004"/>
    <x v="2"/>
    <x v="2"/>
    <x v="10"/>
    <x v="6"/>
    <d v="2025-08-06T00:00:00"/>
    <x v="6"/>
    <n v="2368.37"/>
    <n v="15"/>
    <x v="1"/>
    <n v="3197.3"/>
    <x v="1003"/>
    <n v="18118.03"/>
    <x v="0"/>
    <n v="2025"/>
  </r>
  <r>
    <s v="TXN01005"/>
    <x v="6"/>
    <x v="2"/>
    <x v="10"/>
    <x v="2"/>
    <d v="2024-01-20T00:00:00"/>
    <x v="7"/>
    <n v="2741.72"/>
    <n v="5"/>
    <x v="3"/>
    <n v="685.43"/>
    <x v="1004"/>
    <n v="13023.17"/>
    <x v="10"/>
    <n v="2024"/>
  </r>
  <r>
    <s v="TXN01006"/>
    <x v="6"/>
    <x v="2"/>
    <x v="9"/>
    <x v="3"/>
    <d v="2025-02-15T00:00:00"/>
    <x v="9"/>
    <n v="4100.6099999999997"/>
    <n v="0"/>
    <x v="5"/>
    <n v="0"/>
    <x v="1005"/>
    <n v="41006.1"/>
    <x v="2"/>
    <n v="2025"/>
  </r>
  <r>
    <s v="TXN01007"/>
    <x v="7"/>
    <x v="3"/>
    <x v="16"/>
    <x v="5"/>
    <d v="2025-06-24T00:00:00"/>
    <x v="3"/>
    <n v="1493.25"/>
    <n v="0"/>
    <x v="1"/>
    <n v="0"/>
    <x v="1006"/>
    <n v="8959.5"/>
    <x v="5"/>
    <n v="2025"/>
  </r>
  <r>
    <s v="TXN01008"/>
    <x v="9"/>
    <x v="0"/>
    <x v="0"/>
    <x v="4"/>
    <d v="2024-05-27T00:00:00"/>
    <x v="0"/>
    <n v="62652.76"/>
    <n v="0"/>
    <x v="4"/>
    <n v="0"/>
    <x v="1007"/>
    <n v="187958.28"/>
    <x v="9"/>
    <n v="2024"/>
  </r>
  <r>
    <s v="TXN01009"/>
    <x v="1"/>
    <x v="1"/>
    <x v="4"/>
    <x v="2"/>
    <d v="2024-03-01T00:00:00"/>
    <x v="9"/>
    <n v="9122.25"/>
    <n v="5"/>
    <x v="3"/>
    <n v="4561.12"/>
    <x v="1008"/>
    <n v="86661.38"/>
    <x v="6"/>
    <n v="2024"/>
  </r>
  <r>
    <s v="TXN01010"/>
    <x v="5"/>
    <x v="0"/>
    <x v="0"/>
    <x v="5"/>
    <d v="2024-11-23T00:00:00"/>
    <x v="0"/>
    <n v="71729.210000000006"/>
    <n v="10"/>
    <x v="7"/>
    <n v="21518.76"/>
    <x v="1009"/>
    <n v="193668.87"/>
    <x v="8"/>
    <n v="2024"/>
  </r>
  <r>
    <s v="TXN01011"/>
    <x v="4"/>
    <x v="3"/>
    <x v="16"/>
    <x v="1"/>
    <d v="2024-07-26T00:00:00"/>
    <x v="1"/>
    <n v="1632.05"/>
    <n v="20"/>
    <x v="1"/>
    <n v="1305.6400000000001"/>
    <x v="1010"/>
    <n v="5222.5600000000004"/>
    <x v="11"/>
    <n v="2024"/>
  </r>
  <r>
    <s v="TXN01012"/>
    <x v="9"/>
    <x v="1"/>
    <x v="2"/>
    <x v="3"/>
    <d v="2024-04-27T00:00:00"/>
    <x v="7"/>
    <n v="22878.95"/>
    <n v="15"/>
    <x v="2"/>
    <n v="17159.21"/>
    <x v="1011"/>
    <n v="97235.54"/>
    <x v="1"/>
    <n v="2024"/>
  </r>
  <r>
    <s v="TXN01013"/>
    <x v="6"/>
    <x v="2"/>
    <x v="9"/>
    <x v="5"/>
    <d v="2025-02-21T00:00:00"/>
    <x v="1"/>
    <n v="5077.95"/>
    <n v="0"/>
    <x v="1"/>
    <n v="0"/>
    <x v="1012"/>
    <n v="20311.8"/>
    <x v="2"/>
    <n v="2025"/>
  </r>
  <r>
    <s v="TXN01014"/>
    <x v="12"/>
    <x v="3"/>
    <x v="21"/>
    <x v="2"/>
    <d v="2024-09-09T00:00:00"/>
    <x v="6"/>
    <n v="2657.22"/>
    <n v="5"/>
    <x v="7"/>
    <n v="1195.75"/>
    <x v="1013"/>
    <n v="22719.23"/>
    <x v="7"/>
    <n v="2024"/>
  </r>
  <r>
    <s v="TXN01015"/>
    <x v="1"/>
    <x v="3"/>
    <x v="21"/>
    <x v="5"/>
    <d v="2025-10-13T00:00:00"/>
    <x v="6"/>
    <n v="2614.88"/>
    <n v="5"/>
    <x v="7"/>
    <n v="1176.7"/>
    <x v="1014"/>
    <n v="22357.22"/>
    <x v="4"/>
    <n v="2025"/>
  </r>
  <r>
    <s v="TXN01016"/>
    <x v="7"/>
    <x v="3"/>
    <x v="21"/>
    <x v="3"/>
    <d v="2025-07-04T00:00:00"/>
    <x v="4"/>
    <n v="2850.85"/>
    <n v="20"/>
    <x v="0"/>
    <n v="3991.19"/>
    <x v="1015"/>
    <n v="15964.76"/>
    <x v="11"/>
    <n v="2025"/>
  </r>
  <r>
    <s v="TXN01017"/>
    <x v="13"/>
    <x v="4"/>
    <x v="17"/>
    <x v="3"/>
    <d v="2025-09-27T00:00:00"/>
    <x v="7"/>
    <n v="3721.43"/>
    <n v="5"/>
    <x v="6"/>
    <n v="930.36"/>
    <x v="1016"/>
    <n v="17676.79"/>
    <x v="7"/>
    <n v="2025"/>
  </r>
  <r>
    <s v="TXN01018"/>
    <x v="14"/>
    <x v="0"/>
    <x v="0"/>
    <x v="5"/>
    <d v="2025-09-04T00:00:00"/>
    <x v="7"/>
    <n v="72141.679999999993"/>
    <n v="15"/>
    <x v="4"/>
    <n v="54106.26"/>
    <x v="1017"/>
    <n v="306602.14"/>
    <x v="7"/>
    <n v="2025"/>
  </r>
  <r>
    <s v="TXN01019"/>
    <x v="12"/>
    <x v="3"/>
    <x v="7"/>
    <x v="3"/>
    <d v="2024-02-16T00:00:00"/>
    <x v="0"/>
    <n v="1952.63"/>
    <n v="20"/>
    <x v="4"/>
    <n v="1171.58"/>
    <x v="1018"/>
    <n v="4686.3100000000004"/>
    <x v="2"/>
    <n v="2024"/>
  </r>
  <r>
    <s v="TXN01020"/>
    <x v="6"/>
    <x v="0"/>
    <x v="3"/>
    <x v="5"/>
    <d v="2024-05-23T00:00:00"/>
    <x v="6"/>
    <n v="20694.7"/>
    <n v="15"/>
    <x v="7"/>
    <n v="27937.84"/>
    <x v="1019"/>
    <n v="158314.46"/>
    <x v="9"/>
    <n v="2024"/>
  </r>
  <r>
    <s v="TXN01021"/>
    <x v="9"/>
    <x v="1"/>
    <x v="8"/>
    <x v="3"/>
    <d v="2025-11-29T00:00:00"/>
    <x v="3"/>
    <n v="46586.87"/>
    <n v="15"/>
    <x v="5"/>
    <n v="41928.18"/>
    <x v="1020"/>
    <n v="237593.04"/>
    <x v="8"/>
    <n v="2025"/>
  </r>
  <r>
    <s v="TXN01022"/>
    <x v="8"/>
    <x v="3"/>
    <x v="7"/>
    <x v="0"/>
    <d v="2024-08-03T00:00:00"/>
    <x v="2"/>
    <n v="2051.5500000000002"/>
    <n v="10"/>
    <x v="5"/>
    <n v="1641.24"/>
    <x v="1021"/>
    <n v="14771.16"/>
    <x v="0"/>
    <n v="2024"/>
  </r>
  <r>
    <s v="TXN01023"/>
    <x v="8"/>
    <x v="0"/>
    <x v="6"/>
    <x v="1"/>
    <d v="2024-01-05T00:00:00"/>
    <x v="8"/>
    <n v="26704.42"/>
    <n v="15"/>
    <x v="6"/>
    <n v="4005.66"/>
    <x v="1022"/>
    <n v="22698.76"/>
    <x v="10"/>
    <n v="2024"/>
  </r>
  <r>
    <s v="TXN01024"/>
    <x v="10"/>
    <x v="2"/>
    <x v="9"/>
    <x v="5"/>
    <d v="2025-10-26T00:00:00"/>
    <x v="5"/>
    <n v="5121.58"/>
    <n v="15"/>
    <x v="7"/>
    <n v="1536.47"/>
    <x v="1023"/>
    <n v="8706.69"/>
    <x v="4"/>
    <n v="2025"/>
  </r>
  <r>
    <s v="TXN01025"/>
    <x v="4"/>
    <x v="0"/>
    <x v="3"/>
    <x v="5"/>
    <d v="2025-01-31T00:00:00"/>
    <x v="0"/>
    <n v="19976.16"/>
    <n v="0"/>
    <x v="5"/>
    <n v="0"/>
    <x v="1024"/>
    <n v="59928.480000000003"/>
    <x v="10"/>
    <n v="2025"/>
  </r>
  <r>
    <s v="TXN01026"/>
    <x v="3"/>
    <x v="0"/>
    <x v="24"/>
    <x v="4"/>
    <d v="2024-01-10T00:00:00"/>
    <x v="1"/>
    <n v="7600.5"/>
    <n v="10"/>
    <x v="6"/>
    <n v="3040.2"/>
    <x v="1025"/>
    <n v="27361.8"/>
    <x v="10"/>
    <n v="2024"/>
  </r>
  <r>
    <s v="TXN01027"/>
    <x v="6"/>
    <x v="3"/>
    <x v="7"/>
    <x v="3"/>
    <d v="2024-08-14T00:00:00"/>
    <x v="1"/>
    <n v="2061.0500000000002"/>
    <n v="10"/>
    <x v="4"/>
    <n v="824.42"/>
    <x v="1026"/>
    <n v="7419.78"/>
    <x v="0"/>
    <n v="2024"/>
  </r>
  <r>
    <s v="TXN01028"/>
    <x v="11"/>
    <x v="0"/>
    <x v="3"/>
    <x v="2"/>
    <d v="2024-01-08T00:00:00"/>
    <x v="1"/>
    <n v="20629.189999999999"/>
    <n v="15"/>
    <x v="0"/>
    <n v="12377.51"/>
    <x v="1027"/>
    <n v="70139.25"/>
    <x v="10"/>
    <n v="2024"/>
  </r>
  <r>
    <s v="TXN01029"/>
    <x v="12"/>
    <x v="0"/>
    <x v="3"/>
    <x v="6"/>
    <d v="2024-06-23T00:00:00"/>
    <x v="6"/>
    <n v="17071.97"/>
    <n v="20"/>
    <x v="6"/>
    <n v="30729.55"/>
    <x v="1028"/>
    <n v="122918.18"/>
    <x v="5"/>
    <n v="2024"/>
  </r>
  <r>
    <s v="TXN01030"/>
    <x v="7"/>
    <x v="2"/>
    <x v="11"/>
    <x v="1"/>
    <d v="2024-03-07T00:00:00"/>
    <x v="0"/>
    <n v="4824.53"/>
    <n v="20"/>
    <x v="3"/>
    <n v="2894.72"/>
    <x v="1029"/>
    <n v="11578.87"/>
    <x v="6"/>
    <n v="2024"/>
  </r>
  <r>
    <s v="TXN01031"/>
    <x v="0"/>
    <x v="1"/>
    <x v="8"/>
    <x v="3"/>
    <d v="2024-07-15T00:00:00"/>
    <x v="8"/>
    <n v="45919.51"/>
    <n v="20"/>
    <x v="4"/>
    <n v="9183.9"/>
    <x v="1030"/>
    <n v="36735.61"/>
    <x v="11"/>
    <n v="2024"/>
  </r>
  <r>
    <s v="TXN01032"/>
    <x v="8"/>
    <x v="2"/>
    <x v="22"/>
    <x v="6"/>
    <d v="2024-01-03T00:00:00"/>
    <x v="4"/>
    <n v="954.22"/>
    <n v="0"/>
    <x v="6"/>
    <n v="0"/>
    <x v="1031"/>
    <n v="6679.54"/>
    <x v="10"/>
    <n v="2024"/>
  </r>
  <r>
    <s v="TXN01033"/>
    <x v="4"/>
    <x v="3"/>
    <x v="16"/>
    <x v="5"/>
    <d v="2024-05-04T00:00:00"/>
    <x v="6"/>
    <n v="1524.97"/>
    <n v="10"/>
    <x v="4"/>
    <n v="1372.47"/>
    <x v="1032"/>
    <n v="12352.26"/>
    <x v="9"/>
    <n v="2024"/>
  </r>
  <r>
    <s v="TXN01034"/>
    <x v="14"/>
    <x v="2"/>
    <x v="10"/>
    <x v="2"/>
    <d v="2024-02-18T00:00:00"/>
    <x v="7"/>
    <n v="2823.99"/>
    <n v="20"/>
    <x v="0"/>
    <n v="2823.99"/>
    <x v="1033"/>
    <n v="11295.96"/>
    <x v="2"/>
    <n v="2024"/>
  </r>
  <r>
    <s v="TXN01035"/>
    <x v="13"/>
    <x v="4"/>
    <x v="19"/>
    <x v="5"/>
    <d v="2024-12-08T00:00:00"/>
    <x v="5"/>
    <n v="9856.2199999999993"/>
    <n v="0"/>
    <x v="0"/>
    <n v="0"/>
    <x v="1034"/>
    <n v="19712.439999999999"/>
    <x v="3"/>
    <n v="2024"/>
  </r>
  <r>
    <s v="TXN01036"/>
    <x v="6"/>
    <x v="1"/>
    <x v="2"/>
    <x v="4"/>
    <d v="2024-06-17T00:00:00"/>
    <x v="3"/>
    <n v="24442.54"/>
    <n v="0"/>
    <x v="0"/>
    <n v="0"/>
    <x v="1035"/>
    <n v="146655.24"/>
    <x v="5"/>
    <n v="2024"/>
  </r>
  <r>
    <s v="TXN01037"/>
    <x v="1"/>
    <x v="0"/>
    <x v="24"/>
    <x v="3"/>
    <d v="2025-08-29T00:00:00"/>
    <x v="3"/>
    <n v="7770.89"/>
    <n v="5"/>
    <x v="1"/>
    <n v="2331.27"/>
    <x v="1036"/>
    <n v="44294.07"/>
    <x v="0"/>
    <n v="2025"/>
  </r>
  <r>
    <s v="TXN01038"/>
    <x v="2"/>
    <x v="0"/>
    <x v="24"/>
    <x v="0"/>
    <d v="2024-12-07T00:00:00"/>
    <x v="6"/>
    <n v="8458.66"/>
    <n v="0"/>
    <x v="1"/>
    <n v="0"/>
    <x v="1037"/>
    <n v="76127.94"/>
    <x v="3"/>
    <n v="2024"/>
  </r>
  <r>
    <s v="TXN01039"/>
    <x v="11"/>
    <x v="2"/>
    <x v="11"/>
    <x v="3"/>
    <d v="2025-10-02T00:00:00"/>
    <x v="2"/>
    <n v="5746.03"/>
    <n v="0"/>
    <x v="7"/>
    <n v="0"/>
    <x v="1038"/>
    <n v="45968.24"/>
    <x v="4"/>
    <n v="2025"/>
  </r>
  <r>
    <s v="TXN01040"/>
    <x v="1"/>
    <x v="0"/>
    <x v="0"/>
    <x v="0"/>
    <d v="2024-05-10T00:00:00"/>
    <x v="8"/>
    <n v="73435.63"/>
    <n v="15"/>
    <x v="7"/>
    <n v="11015.34"/>
    <x v="1039"/>
    <n v="62420.29"/>
    <x v="9"/>
    <n v="2024"/>
  </r>
  <r>
    <s v="TXN01041"/>
    <x v="12"/>
    <x v="0"/>
    <x v="3"/>
    <x v="2"/>
    <d v="2024-03-08T00:00:00"/>
    <x v="5"/>
    <n v="19249.04"/>
    <n v="20"/>
    <x v="2"/>
    <n v="7699.62"/>
    <x v="1040"/>
    <n v="30798.46"/>
    <x v="6"/>
    <n v="2024"/>
  </r>
  <r>
    <s v="TXN01042"/>
    <x v="4"/>
    <x v="0"/>
    <x v="3"/>
    <x v="5"/>
    <d v="2024-04-08T00:00:00"/>
    <x v="9"/>
    <n v="19583.84"/>
    <n v="5"/>
    <x v="2"/>
    <n v="9791.92"/>
    <x v="1041"/>
    <n v="186046.48"/>
    <x v="1"/>
    <n v="2024"/>
  </r>
  <r>
    <s v="TXN01043"/>
    <x v="13"/>
    <x v="2"/>
    <x v="11"/>
    <x v="5"/>
    <d v="2025-04-20T00:00:00"/>
    <x v="4"/>
    <n v="5599.92"/>
    <n v="20"/>
    <x v="2"/>
    <n v="7839.89"/>
    <x v="1042"/>
    <n v="31359.55"/>
    <x v="1"/>
    <n v="2025"/>
  </r>
  <r>
    <s v="TXN01044"/>
    <x v="8"/>
    <x v="0"/>
    <x v="3"/>
    <x v="2"/>
    <d v="2025-04-09T00:00:00"/>
    <x v="6"/>
    <n v="17676.87"/>
    <n v="5"/>
    <x v="1"/>
    <n v="7954.59"/>
    <x v="1043"/>
    <n v="151137.24"/>
    <x v="1"/>
    <n v="2025"/>
  </r>
  <r>
    <s v="TXN01045"/>
    <x v="13"/>
    <x v="0"/>
    <x v="0"/>
    <x v="6"/>
    <d v="2025-08-30T00:00:00"/>
    <x v="1"/>
    <n v="73196.009999999995"/>
    <n v="5"/>
    <x v="7"/>
    <n v="14639.2"/>
    <x v="1044"/>
    <n v="278144.84000000003"/>
    <x v="0"/>
    <n v="2025"/>
  </r>
  <r>
    <s v="TXN01046"/>
    <x v="3"/>
    <x v="2"/>
    <x v="22"/>
    <x v="5"/>
    <d v="2025-09-27T00:00:00"/>
    <x v="2"/>
    <n v="851.83"/>
    <n v="5"/>
    <x v="6"/>
    <n v="340.73"/>
    <x v="1045"/>
    <n v="6473.91"/>
    <x v="7"/>
    <n v="2025"/>
  </r>
  <r>
    <s v="TXN01047"/>
    <x v="7"/>
    <x v="0"/>
    <x v="0"/>
    <x v="0"/>
    <d v="2025-06-09T00:00:00"/>
    <x v="3"/>
    <n v="63556.81"/>
    <n v="20"/>
    <x v="2"/>
    <n v="76268.17"/>
    <x v="1046"/>
    <n v="305072.69"/>
    <x v="5"/>
    <n v="2025"/>
  </r>
  <r>
    <s v="TXN01048"/>
    <x v="11"/>
    <x v="1"/>
    <x v="13"/>
    <x v="0"/>
    <d v="2024-10-25T00:00:00"/>
    <x v="3"/>
    <n v="15081.89"/>
    <n v="20"/>
    <x v="5"/>
    <n v="18098.27"/>
    <x v="1047"/>
    <n v="72393.070000000007"/>
    <x v="4"/>
    <n v="2024"/>
  </r>
  <r>
    <s v="TXN01049"/>
    <x v="13"/>
    <x v="2"/>
    <x v="5"/>
    <x v="4"/>
    <d v="2025-03-08T00:00:00"/>
    <x v="3"/>
    <n v="1138.6199999999999"/>
    <n v="5"/>
    <x v="1"/>
    <n v="341.59"/>
    <x v="1048"/>
    <n v="6490.13"/>
    <x v="6"/>
    <n v="2025"/>
  </r>
  <r>
    <s v="TXN01050"/>
    <x v="3"/>
    <x v="1"/>
    <x v="12"/>
    <x v="4"/>
    <d v="2025-12-12T00:00:00"/>
    <x v="2"/>
    <n v="6929.61"/>
    <n v="10"/>
    <x v="6"/>
    <n v="5543.69"/>
    <x v="1049"/>
    <n v="49893.19"/>
    <x v="3"/>
    <n v="2025"/>
  </r>
  <r>
    <s v="TXN01051"/>
    <x v="3"/>
    <x v="2"/>
    <x v="11"/>
    <x v="6"/>
    <d v="2025-03-04T00:00:00"/>
    <x v="3"/>
    <n v="4702.8500000000004"/>
    <n v="15"/>
    <x v="4"/>
    <n v="4232.5600000000004"/>
    <x v="1050"/>
    <n v="23984.54"/>
    <x v="6"/>
    <n v="2025"/>
  </r>
  <r>
    <s v="TXN01052"/>
    <x v="2"/>
    <x v="0"/>
    <x v="24"/>
    <x v="1"/>
    <d v="2025-12-10T00:00:00"/>
    <x v="1"/>
    <n v="7828.08"/>
    <n v="5"/>
    <x v="0"/>
    <n v="1565.62"/>
    <x v="1051"/>
    <n v="29746.7"/>
    <x v="3"/>
    <n v="2025"/>
  </r>
  <r>
    <s v="TXN01053"/>
    <x v="0"/>
    <x v="1"/>
    <x v="2"/>
    <x v="3"/>
    <d v="2025-01-19T00:00:00"/>
    <x v="1"/>
    <n v="25001.95"/>
    <n v="0"/>
    <x v="5"/>
    <n v="0"/>
    <x v="1052"/>
    <n v="100007.8"/>
    <x v="10"/>
    <n v="2025"/>
  </r>
  <r>
    <s v="TXN01054"/>
    <x v="6"/>
    <x v="3"/>
    <x v="15"/>
    <x v="0"/>
    <d v="2025-07-22T00:00:00"/>
    <x v="5"/>
    <n v="748.48"/>
    <n v="15"/>
    <x v="1"/>
    <n v="224.54"/>
    <x v="1053"/>
    <n v="1272.42"/>
    <x v="11"/>
    <n v="2025"/>
  </r>
  <r>
    <s v="TXN01055"/>
    <x v="14"/>
    <x v="1"/>
    <x v="8"/>
    <x v="3"/>
    <d v="2024-02-14T00:00:00"/>
    <x v="8"/>
    <n v="37991.230000000003"/>
    <n v="10"/>
    <x v="5"/>
    <n v="3799.12"/>
    <x v="1054"/>
    <n v="34192.11"/>
    <x v="2"/>
    <n v="2024"/>
  </r>
  <r>
    <s v="TXN01056"/>
    <x v="14"/>
    <x v="1"/>
    <x v="13"/>
    <x v="0"/>
    <d v="2024-12-13T00:00:00"/>
    <x v="6"/>
    <n v="12691.68"/>
    <n v="5"/>
    <x v="3"/>
    <n v="5711.26"/>
    <x v="1055"/>
    <n v="108513.86"/>
    <x v="3"/>
    <n v="2024"/>
  </r>
  <r>
    <s v="TXN01057"/>
    <x v="4"/>
    <x v="0"/>
    <x v="6"/>
    <x v="0"/>
    <d v="2024-01-22T00:00:00"/>
    <x v="0"/>
    <n v="24868.27"/>
    <n v="0"/>
    <x v="7"/>
    <n v="0"/>
    <x v="1056"/>
    <n v="74604.81"/>
    <x v="10"/>
    <n v="2024"/>
  </r>
  <r>
    <s v="TXN01058"/>
    <x v="5"/>
    <x v="3"/>
    <x v="7"/>
    <x v="5"/>
    <d v="2025-01-13T00:00:00"/>
    <x v="3"/>
    <n v="1917.41"/>
    <n v="20"/>
    <x v="0"/>
    <n v="2300.89"/>
    <x v="1057"/>
    <n v="9203.57"/>
    <x v="10"/>
    <n v="2025"/>
  </r>
  <r>
    <s v="TXN01059"/>
    <x v="14"/>
    <x v="2"/>
    <x v="9"/>
    <x v="2"/>
    <d v="2024-05-01T00:00:00"/>
    <x v="0"/>
    <n v="5043.0600000000004"/>
    <n v="5"/>
    <x v="7"/>
    <n v="756.46"/>
    <x v="1058"/>
    <n v="14372.72"/>
    <x v="9"/>
    <n v="2024"/>
  </r>
  <r>
    <s v="TXN01060"/>
    <x v="9"/>
    <x v="1"/>
    <x v="13"/>
    <x v="5"/>
    <d v="2024-11-21T00:00:00"/>
    <x v="9"/>
    <n v="13297.48"/>
    <n v="5"/>
    <x v="5"/>
    <n v="6648.74"/>
    <x v="1059"/>
    <n v="126326.06"/>
    <x v="8"/>
    <n v="2024"/>
  </r>
  <r>
    <s v="TXN01061"/>
    <x v="12"/>
    <x v="0"/>
    <x v="1"/>
    <x v="4"/>
    <d v="2024-06-01T00:00:00"/>
    <x v="3"/>
    <n v="2885.38"/>
    <n v="10"/>
    <x v="4"/>
    <n v="1731.23"/>
    <x v="1060"/>
    <n v="15581.05"/>
    <x v="5"/>
    <n v="2024"/>
  </r>
  <r>
    <s v="TXN01062"/>
    <x v="12"/>
    <x v="1"/>
    <x v="8"/>
    <x v="5"/>
    <d v="2024-03-24T00:00:00"/>
    <x v="2"/>
    <n v="43909.97"/>
    <n v="20"/>
    <x v="0"/>
    <n v="70255.95"/>
    <x v="1061"/>
    <n v="281023.81"/>
    <x v="6"/>
    <n v="2024"/>
  </r>
  <r>
    <s v="TXN01063"/>
    <x v="9"/>
    <x v="0"/>
    <x v="6"/>
    <x v="5"/>
    <d v="2025-05-25T00:00:00"/>
    <x v="6"/>
    <n v="25401.67"/>
    <n v="10"/>
    <x v="5"/>
    <n v="22861.5"/>
    <x v="1062"/>
    <n v="205753.53"/>
    <x v="9"/>
    <n v="2025"/>
  </r>
  <r>
    <s v="TXN01064"/>
    <x v="0"/>
    <x v="3"/>
    <x v="21"/>
    <x v="5"/>
    <d v="2025-04-30T00:00:00"/>
    <x v="7"/>
    <n v="2613.2399999999998"/>
    <n v="20"/>
    <x v="6"/>
    <n v="2613.2399999999998"/>
    <x v="1063"/>
    <n v="10452.959999999999"/>
    <x v="1"/>
    <n v="2025"/>
  </r>
  <r>
    <s v="TXN01065"/>
    <x v="2"/>
    <x v="0"/>
    <x v="6"/>
    <x v="4"/>
    <d v="2024-08-28T00:00:00"/>
    <x v="4"/>
    <n v="23866.21"/>
    <n v="15"/>
    <x v="6"/>
    <n v="25059.52"/>
    <x v="1064"/>
    <n v="142003.95000000001"/>
    <x v="0"/>
    <n v="2024"/>
  </r>
  <r>
    <s v="TXN01066"/>
    <x v="7"/>
    <x v="4"/>
    <x v="14"/>
    <x v="3"/>
    <d v="2024-09-17T00:00:00"/>
    <x v="6"/>
    <n v="1381.78"/>
    <n v="0"/>
    <x v="5"/>
    <n v="0"/>
    <x v="1065"/>
    <n v="12436.02"/>
    <x v="7"/>
    <n v="2024"/>
  </r>
  <r>
    <s v="TXN01067"/>
    <x v="9"/>
    <x v="3"/>
    <x v="16"/>
    <x v="0"/>
    <d v="2025-08-20T00:00:00"/>
    <x v="8"/>
    <n v="1524.47"/>
    <n v="20"/>
    <x v="0"/>
    <n v="304.89"/>
    <x v="1066"/>
    <n v="1219.58"/>
    <x v="0"/>
    <n v="2025"/>
  </r>
  <r>
    <s v="TXN01068"/>
    <x v="11"/>
    <x v="3"/>
    <x v="16"/>
    <x v="5"/>
    <d v="2025-02-22T00:00:00"/>
    <x v="3"/>
    <n v="1651.69"/>
    <n v="10"/>
    <x v="2"/>
    <n v="991.01"/>
    <x v="1067"/>
    <n v="8919.1299999999992"/>
    <x v="2"/>
    <n v="2025"/>
  </r>
  <r>
    <s v="TXN01069"/>
    <x v="13"/>
    <x v="3"/>
    <x v="16"/>
    <x v="4"/>
    <d v="2024-08-27T00:00:00"/>
    <x v="7"/>
    <n v="1592.01"/>
    <n v="10"/>
    <x v="6"/>
    <n v="796.01"/>
    <x v="1068"/>
    <n v="7164.04"/>
    <x v="0"/>
    <n v="2024"/>
  </r>
  <r>
    <s v="TXN01070"/>
    <x v="4"/>
    <x v="0"/>
    <x v="3"/>
    <x v="6"/>
    <d v="2024-10-10T00:00:00"/>
    <x v="1"/>
    <n v="18307.13"/>
    <n v="0"/>
    <x v="7"/>
    <n v="0"/>
    <x v="1069"/>
    <n v="73228.52"/>
    <x v="4"/>
    <n v="2024"/>
  </r>
  <r>
    <s v="TXN01071"/>
    <x v="9"/>
    <x v="3"/>
    <x v="15"/>
    <x v="4"/>
    <d v="2024-07-20T00:00:00"/>
    <x v="3"/>
    <n v="770"/>
    <n v="10"/>
    <x v="5"/>
    <n v="462"/>
    <x v="1070"/>
    <n v="4158"/>
    <x v="11"/>
    <n v="2024"/>
  </r>
  <r>
    <s v="TXN01072"/>
    <x v="7"/>
    <x v="1"/>
    <x v="8"/>
    <x v="3"/>
    <d v="2024-01-09T00:00:00"/>
    <x v="7"/>
    <n v="38818.449999999997"/>
    <n v="10"/>
    <x v="4"/>
    <n v="19409.23"/>
    <x v="1071"/>
    <n v="174683.02"/>
    <x v="10"/>
    <n v="2024"/>
  </r>
  <r>
    <s v="TXN01073"/>
    <x v="4"/>
    <x v="4"/>
    <x v="23"/>
    <x v="6"/>
    <d v="2025-04-28T00:00:00"/>
    <x v="6"/>
    <n v="11473.19"/>
    <n v="5"/>
    <x v="1"/>
    <n v="5162.9399999999996"/>
    <x v="1072"/>
    <n v="98095.77"/>
    <x v="1"/>
    <n v="2025"/>
  </r>
  <r>
    <s v="TXN01074"/>
    <x v="2"/>
    <x v="4"/>
    <x v="18"/>
    <x v="2"/>
    <d v="2025-04-30T00:00:00"/>
    <x v="1"/>
    <n v="12347.48"/>
    <n v="20"/>
    <x v="0"/>
    <n v="9877.98"/>
    <x v="1073"/>
    <n v="39511.94"/>
    <x v="1"/>
    <n v="2025"/>
  </r>
  <r>
    <s v="TXN01075"/>
    <x v="3"/>
    <x v="4"/>
    <x v="23"/>
    <x v="3"/>
    <d v="2024-11-16T00:00:00"/>
    <x v="1"/>
    <n v="11079.18"/>
    <n v="15"/>
    <x v="7"/>
    <n v="6647.51"/>
    <x v="1074"/>
    <n v="37669.21"/>
    <x v="8"/>
    <n v="2024"/>
  </r>
  <r>
    <s v="TXN01076"/>
    <x v="11"/>
    <x v="1"/>
    <x v="2"/>
    <x v="3"/>
    <d v="2025-01-18T00:00:00"/>
    <x v="0"/>
    <n v="26109.43"/>
    <n v="5"/>
    <x v="1"/>
    <n v="3916.41"/>
    <x v="1075"/>
    <n v="74411.88"/>
    <x v="10"/>
    <n v="2025"/>
  </r>
  <r>
    <s v="TXN01077"/>
    <x v="11"/>
    <x v="3"/>
    <x v="15"/>
    <x v="3"/>
    <d v="2024-12-13T00:00:00"/>
    <x v="1"/>
    <n v="884.21"/>
    <n v="15"/>
    <x v="5"/>
    <n v="530.53"/>
    <x v="1076"/>
    <n v="3006.31"/>
    <x v="3"/>
    <n v="2024"/>
  </r>
  <r>
    <s v="TXN01078"/>
    <x v="3"/>
    <x v="2"/>
    <x v="22"/>
    <x v="6"/>
    <d v="2025-08-04T00:00:00"/>
    <x v="8"/>
    <n v="1017.48"/>
    <n v="5"/>
    <x v="1"/>
    <n v="50.87"/>
    <x v="1077"/>
    <n v="966.61"/>
    <x v="0"/>
    <n v="2025"/>
  </r>
  <r>
    <s v="TXN01079"/>
    <x v="8"/>
    <x v="3"/>
    <x v="21"/>
    <x v="3"/>
    <d v="2025-01-25T00:00:00"/>
    <x v="1"/>
    <n v="2842.93"/>
    <n v="0"/>
    <x v="2"/>
    <n v="0"/>
    <x v="1078"/>
    <n v="11371.72"/>
    <x v="10"/>
    <n v="2025"/>
  </r>
  <r>
    <s v="TXN01080"/>
    <x v="2"/>
    <x v="2"/>
    <x v="9"/>
    <x v="5"/>
    <d v="2024-12-02T00:00:00"/>
    <x v="9"/>
    <n v="5645.4"/>
    <n v="10"/>
    <x v="7"/>
    <n v="5645.4"/>
    <x v="1079"/>
    <n v="50808.6"/>
    <x v="3"/>
    <n v="2024"/>
  </r>
  <r>
    <s v="TXN01081"/>
    <x v="6"/>
    <x v="0"/>
    <x v="6"/>
    <x v="2"/>
    <d v="2024-02-02T00:00:00"/>
    <x v="9"/>
    <n v="25553.83"/>
    <n v="5"/>
    <x v="3"/>
    <n v="12776.92"/>
    <x v="1080"/>
    <n v="242761.38"/>
    <x v="2"/>
    <n v="2024"/>
  </r>
  <r>
    <s v="TXN01082"/>
    <x v="14"/>
    <x v="1"/>
    <x v="12"/>
    <x v="5"/>
    <d v="2024-07-29T00:00:00"/>
    <x v="1"/>
    <n v="5836.66"/>
    <n v="20"/>
    <x v="4"/>
    <n v="4669.33"/>
    <x v="1081"/>
    <n v="18677.310000000001"/>
    <x v="11"/>
    <n v="2024"/>
  </r>
  <r>
    <s v="TXN01083"/>
    <x v="13"/>
    <x v="0"/>
    <x v="24"/>
    <x v="0"/>
    <d v="2024-06-24T00:00:00"/>
    <x v="3"/>
    <n v="7804.49"/>
    <n v="15"/>
    <x v="1"/>
    <n v="7024.04"/>
    <x v="1082"/>
    <n v="39802.9"/>
    <x v="5"/>
    <n v="2024"/>
  </r>
  <r>
    <s v="TXN01084"/>
    <x v="6"/>
    <x v="4"/>
    <x v="18"/>
    <x v="4"/>
    <d v="2025-05-04T00:00:00"/>
    <x v="5"/>
    <n v="11966.98"/>
    <n v="5"/>
    <x v="2"/>
    <n v="1196.7"/>
    <x v="1083"/>
    <n v="22737.26"/>
    <x v="9"/>
    <n v="2025"/>
  </r>
  <r>
    <s v="TXN01085"/>
    <x v="5"/>
    <x v="1"/>
    <x v="13"/>
    <x v="5"/>
    <d v="2024-06-11T00:00:00"/>
    <x v="9"/>
    <n v="12525.27"/>
    <n v="10"/>
    <x v="6"/>
    <n v="12525.27"/>
    <x v="1084"/>
    <n v="112727.43"/>
    <x v="5"/>
    <n v="2024"/>
  </r>
  <r>
    <s v="TXN01086"/>
    <x v="9"/>
    <x v="2"/>
    <x v="5"/>
    <x v="2"/>
    <d v="2024-10-09T00:00:00"/>
    <x v="1"/>
    <n v="1190.46"/>
    <n v="5"/>
    <x v="6"/>
    <n v="238.09"/>
    <x v="1085"/>
    <n v="4523.75"/>
    <x v="4"/>
    <n v="2024"/>
  </r>
  <r>
    <s v="TXN01087"/>
    <x v="4"/>
    <x v="4"/>
    <x v="17"/>
    <x v="5"/>
    <d v="2025-06-22T00:00:00"/>
    <x v="3"/>
    <n v="3946.51"/>
    <n v="15"/>
    <x v="0"/>
    <n v="3551.86"/>
    <x v="1086"/>
    <n v="20127.2"/>
    <x v="5"/>
    <n v="2025"/>
  </r>
  <r>
    <s v="TXN01088"/>
    <x v="12"/>
    <x v="4"/>
    <x v="23"/>
    <x v="1"/>
    <d v="2024-10-21T00:00:00"/>
    <x v="2"/>
    <n v="10853.65"/>
    <n v="10"/>
    <x v="7"/>
    <n v="8682.92"/>
    <x v="1087"/>
    <n v="78146.28"/>
    <x v="4"/>
    <n v="2024"/>
  </r>
  <r>
    <s v="TXN01089"/>
    <x v="4"/>
    <x v="4"/>
    <x v="14"/>
    <x v="3"/>
    <d v="2025-03-01T00:00:00"/>
    <x v="1"/>
    <n v="1417.34"/>
    <n v="20"/>
    <x v="3"/>
    <n v="1133.8699999999999"/>
    <x v="1088"/>
    <n v="4535.49"/>
    <x v="6"/>
    <n v="2025"/>
  </r>
  <r>
    <s v="TXN01090"/>
    <x v="1"/>
    <x v="4"/>
    <x v="23"/>
    <x v="2"/>
    <d v="2025-12-16T00:00:00"/>
    <x v="9"/>
    <n v="10162.719999999999"/>
    <n v="0"/>
    <x v="3"/>
    <n v="0"/>
    <x v="1089"/>
    <n v="101627.2"/>
    <x v="3"/>
    <n v="2025"/>
  </r>
  <r>
    <s v="TXN01091"/>
    <x v="5"/>
    <x v="1"/>
    <x v="13"/>
    <x v="2"/>
    <d v="2025-11-13T00:00:00"/>
    <x v="5"/>
    <n v="14183.55"/>
    <n v="5"/>
    <x v="4"/>
    <n v="1418.36"/>
    <x v="1090"/>
    <n v="26948.74"/>
    <x v="8"/>
    <n v="2025"/>
  </r>
  <r>
    <s v="TXN01092"/>
    <x v="10"/>
    <x v="4"/>
    <x v="23"/>
    <x v="6"/>
    <d v="2025-01-12T00:00:00"/>
    <x v="5"/>
    <n v="10888.49"/>
    <n v="20"/>
    <x v="7"/>
    <n v="4355.3999999999996"/>
    <x v="1091"/>
    <n v="17421.580000000002"/>
    <x v="10"/>
    <n v="2025"/>
  </r>
  <r>
    <s v="TXN01093"/>
    <x v="11"/>
    <x v="3"/>
    <x v="16"/>
    <x v="4"/>
    <d v="2024-07-31T00:00:00"/>
    <x v="6"/>
    <n v="1366.74"/>
    <n v="0"/>
    <x v="4"/>
    <n v="0"/>
    <x v="1092"/>
    <n v="12300.66"/>
    <x v="11"/>
    <n v="2024"/>
  </r>
  <r>
    <s v="TXN01094"/>
    <x v="1"/>
    <x v="0"/>
    <x v="24"/>
    <x v="0"/>
    <d v="2024-07-18T00:00:00"/>
    <x v="4"/>
    <n v="6366.11"/>
    <n v="10"/>
    <x v="2"/>
    <n v="4456.28"/>
    <x v="1093"/>
    <n v="40106.49"/>
    <x v="11"/>
    <n v="2024"/>
  </r>
  <r>
    <s v="TXN01095"/>
    <x v="3"/>
    <x v="0"/>
    <x v="6"/>
    <x v="2"/>
    <d v="2025-05-11T00:00:00"/>
    <x v="2"/>
    <n v="22926.48"/>
    <n v="20"/>
    <x v="6"/>
    <n v="36682.370000000003"/>
    <x v="1094"/>
    <n v="146729.47"/>
    <x v="9"/>
    <n v="2025"/>
  </r>
  <r>
    <s v="TXN01096"/>
    <x v="7"/>
    <x v="1"/>
    <x v="2"/>
    <x v="5"/>
    <d v="2024-06-14T00:00:00"/>
    <x v="0"/>
    <n v="27740.6"/>
    <n v="20"/>
    <x v="4"/>
    <n v="16644.36"/>
    <x v="1095"/>
    <n v="66577.440000000002"/>
    <x v="5"/>
    <n v="2024"/>
  </r>
  <r>
    <s v="TXN01097"/>
    <x v="5"/>
    <x v="0"/>
    <x v="6"/>
    <x v="1"/>
    <d v="2024-06-21T00:00:00"/>
    <x v="5"/>
    <n v="26696.2"/>
    <n v="0"/>
    <x v="2"/>
    <n v="0"/>
    <x v="1096"/>
    <n v="53392.4"/>
    <x v="5"/>
    <n v="2024"/>
  </r>
  <r>
    <s v="TXN01098"/>
    <x v="11"/>
    <x v="3"/>
    <x v="7"/>
    <x v="0"/>
    <d v="2024-08-09T00:00:00"/>
    <x v="8"/>
    <n v="2021.71"/>
    <n v="20"/>
    <x v="3"/>
    <n v="404.34"/>
    <x v="1097"/>
    <n v="1617.37"/>
    <x v="0"/>
    <n v="2024"/>
  </r>
  <r>
    <s v="TXN01099"/>
    <x v="0"/>
    <x v="1"/>
    <x v="2"/>
    <x v="1"/>
    <d v="2025-02-03T00:00:00"/>
    <x v="7"/>
    <n v="25274.92"/>
    <n v="20"/>
    <x v="7"/>
    <n v="25274.92"/>
    <x v="1098"/>
    <n v="101099.68"/>
    <x v="2"/>
    <n v="2025"/>
  </r>
  <r>
    <s v="TXN01100"/>
    <x v="10"/>
    <x v="0"/>
    <x v="0"/>
    <x v="5"/>
    <d v="2024-09-12T00:00:00"/>
    <x v="3"/>
    <n v="73267.289999999994"/>
    <n v="5"/>
    <x v="0"/>
    <n v="21980.19"/>
    <x v="1099"/>
    <n v="417623.55"/>
    <x v="7"/>
    <n v="2024"/>
  </r>
  <r>
    <s v="TXN01101"/>
    <x v="1"/>
    <x v="0"/>
    <x v="0"/>
    <x v="1"/>
    <d v="2024-12-11T00:00:00"/>
    <x v="1"/>
    <n v="76504.28"/>
    <n v="0"/>
    <x v="1"/>
    <n v="0"/>
    <x v="1100"/>
    <n v="306017.12"/>
    <x v="3"/>
    <n v="2024"/>
  </r>
  <r>
    <s v="TXN01102"/>
    <x v="10"/>
    <x v="1"/>
    <x v="12"/>
    <x v="3"/>
    <d v="2024-06-20T00:00:00"/>
    <x v="8"/>
    <n v="6023.52"/>
    <n v="0"/>
    <x v="3"/>
    <n v="0"/>
    <x v="1101"/>
    <n v="6023.52"/>
    <x v="5"/>
    <n v="2024"/>
  </r>
  <r>
    <s v="TXN01103"/>
    <x v="9"/>
    <x v="3"/>
    <x v="20"/>
    <x v="2"/>
    <d v="2025-10-01T00:00:00"/>
    <x v="1"/>
    <n v="4364.29"/>
    <n v="15"/>
    <x v="0"/>
    <n v="2618.5700000000002"/>
    <x v="1102"/>
    <n v="14838.59"/>
    <x v="4"/>
    <n v="2025"/>
  </r>
  <r>
    <s v="TXN01104"/>
    <x v="2"/>
    <x v="4"/>
    <x v="17"/>
    <x v="4"/>
    <d v="2024-12-31T00:00:00"/>
    <x v="3"/>
    <n v="3632.11"/>
    <n v="15"/>
    <x v="7"/>
    <n v="3268.9"/>
    <x v="1103"/>
    <n v="18523.759999999998"/>
    <x v="3"/>
    <n v="2024"/>
  </r>
  <r>
    <s v="TXN01105"/>
    <x v="1"/>
    <x v="3"/>
    <x v="15"/>
    <x v="4"/>
    <d v="2024-08-13T00:00:00"/>
    <x v="5"/>
    <n v="851.59"/>
    <n v="10"/>
    <x v="6"/>
    <n v="170.32"/>
    <x v="1104"/>
    <n v="1532.86"/>
    <x v="0"/>
    <n v="2024"/>
  </r>
  <r>
    <s v="TXN01106"/>
    <x v="13"/>
    <x v="2"/>
    <x v="22"/>
    <x v="1"/>
    <d v="2025-02-24T00:00:00"/>
    <x v="7"/>
    <n v="982.7"/>
    <n v="15"/>
    <x v="0"/>
    <n v="737.02"/>
    <x v="1105"/>
    <n v="4176.4799999999996"/>
    <x v="2"/>
    <n v="2025"/>
  </r>
  <r>
    <s v="TXN01107"/>
    <x v="10"/>
    <x v="0"/>
    <x v="1"/>
    <x v="3"/>
    <d v="2024-09-14T00:00:00"/>
    <x v="5"/>
    <n v="3149.9"/>
    <n v="15"/>
    <x v="3"/>
    <n v="944.97"/>
    <x v="1106"/>
    <n v="5354.83"/>
    <x v="7"/>
    <n v="2024"/>
  </r>
  <r>
    <s v="TXN01108"/>
    <x v="7"/>
    <x v="1"/>
    <x v="4"/>
    <x v="2"/>
    <d v="2025-11-13T00:00:00"/>
    <x v="2"/>
    <n v="8068.53"/>
    <n v="0"/>
    <x v="5"/>
    <n v="0"/>
    <x v="1107"/>
    <n v="64548.24"/>
    <x v="8"/>
    <n v="2025"/>
  </r>
  <r>
    <s v="TXN01109"/>
    <x v="11"/>
    <x v="2"/>
    <x v="11"/>
    <x v="5"/>
    <d v="2025-05-30T00:00:00"/>
    <x v="9"/>
    <n v="5380.79"/>
    <n v="0"/>
    <x v="0"/>
    <n v="0"/>
    <x v="1108"/>
    <n v="53807.9"/>
    <x v="9"/>
    <n v="2025"/>
  </r>
  <r>
    <s v="TXN01110"/>
    <x v="12"/>
    <x v="1"/>
    <x v="12"/>
    <x v="3"/>
    <d v="2024-11-12T00:00:00"/>
    <x v="1"/>
    <n v="7157.56"/>
    <n v="5"/>
    <x v="7"/>
    <n v="1431.51"/>
    <x v="1109"/>
    <n v="27198.73"/>
    <x v="8"/>
    <n v="2024"/>
  </r>
  <r>
    <s v="TXN01111"/>
    <x v="13"/>
    <x v="2"/>
    <x v="10"/>
    <x v="4"/>
    <d v="2025-05-25T00:00:00"/>
    <x v="7"/>
    <n v="2376.2600000000002"/>
    <n v="15"/>
    <x v="5"/>
    <n v="1782.19"/>
    <x v="1110"/>
    <n v="10099.11"/>
    <x v="9"/>
    <n v="2025"/>
  </r>
  <r>
    <s v="TXN01112"/>
    <x v="2"/>
    <x v="1"/>
    <x v="12"/>
    <x v="2"/>
    <d v="2024-12-02T00:00:00"/>
    <x v="0"/>
    <n v="6398.91"/>
    <n v="0"/>
    <x v="6"/>
    <n v="0"/>
    <x v="1111"/>
    <n v="19196.73"/>
    <x v="3"/>
    <n v="2024"/>
  </r>
  <r>
    <s v="TXN01113"/>
    <x v="8"/>
    <x v="2"/>
    <x v="9"/>
    <x v="3"/>
    <d v="2024-01-25T00:00:00"/>
    <x v="1"/>
    <n v="5002.8"/>
    <n v="10"/>
    <x v="4"/>
    <n v="2001.12"/>
    <x v="1112"/>
    <n v="18010.080000000002"/>
    <x v="10"/>
    <n v="2024"/>
  </r>
  <r>
    <s v="TXN01114"/>
    <x v="2"/>
    <x v="3"/>
    <x v="7"/>
    <x v="6"/>
    <d v="2025-11-11T00:00:00"/>
    <x v="1"/>
    <n v="2178.7199999999998"/>
    <n v="5"/>
    <x v="1"/>
    <n v="435.74"/>
    <x v="1113"/>
    <n v="8279.14"/>
    <x v="8"/>
    <n v="2025"/>
  </r>
  <r>
    <s v="TXN01115"/>
    <x v="9"/>
    <x v="2"/>
    <x v="9"/>
    <x v="0"/>
    <d v="2025-03-28T00:00:00"/>
    <x v="8"/>
    <n v="4122.6899999999996"/>
    <n v="15"/>
    <x v="3"/>
    <n v="618.4"/>
    <x v="1114"/>
    <n v="3504.29"/>
    <x v="6"/>
    <n v="2025"/>
  </r>
  <r>
    <s v="TXN01116"/>
    <x v="13"/>
    <x v="0"/>
    <x v="6"/>
    <x v="2"/>
    <d v="2024-07-28T00:00:00"/>
    <x v="0"/>
    <n v="23073.5"/>
    <n v="20"/>
    <x v="3"/>
    <n v="13844.1"/>
    <x v="1115"/>
    <n v="55376.4"/>
    <x v="11"/>
    <n v="2024"/>
  </r>
  <r>
    <s v="TXN01117"/>
    <x v="2"/>
    <x v="2"/>
    <x v="5"/>
    <x v="6"/>
    <d v="2025-03-12T00:00:00"/>
    <x v="2"/>
    <n v="1173.44"/>
    <n v="5"/>
    <x v="7"/>
    <n v="469.38"/>
    <x v="1116"/>
    <n v="8918.14"/>
    <x v="6"/>
    <n v="2025"/>
  </r>
  <r>
    <s v="TXN01118"/>
    <x v="7"/>
    <x v="1"/>
    <x v="2"/>
    <x v="6"/>
    <d v="2024-11-06T00:00:00"/>
    <x v="7"/>
    <n v="28712.9"/>
    <n v="5"/>
    <x v="0"/>
    <n v="7178.23"/>
    <x v="1117"/>
    <n v="136386.26999999999"/>
    <x v="8"/>
    <n v="2024"/>
  </r>
  <r>
    <s v="TXN01119"/>
    <x v="6"/>
    <x v="3"/>
    <x v="16"/>
    <x v="0"/>
    <d v="2025-01-21T00:00:00"/>
    <x v="0"/>
    <n v="1526.52"/>
    <n v="15"/>
    <x v="2"/>
    <n v="686.93"/>
    <x v="1118"/>
    <n v="3892.63"/>
    <x v="10"/>
    <n v="2025"/>
  </r>
  <r>
    <s v="TXN01120"/>
    <x v="0"/>
    <x v="2"/>
    <x v="11"/>
    <x v="5"/>
    <d v="2025-05-08T00:00:00"/>
    <x v="8"/>
    <n v="5452.41"/>
    <n v="15"/>
    <x v="3"/>
    <n v="817.86"/>
    <x v="1119"/>
    <n v="4634.55"/>
    <x v="9"/>
    <n v="2025"/>
  </r>
  <r>
    <s v="TXN01121"/>
    <x v="12"/>
    <x v="0"/>
    <x v="3"/>
    <x v="6"/>
    <d v="2025-07-20T00:00:00"/>
    <x v="0"/>
    <n v="17357.810000000001"/>
    <n v="15"/>
    <x v="3"/>
    <n v="7811.01"/>
    <x v="1120"/>
    <n v="44262.42"/>
    <x v="11"/>
    <n v="2025"/>
  </r>
  <r>
    <s v="TXN01122"/>
    <x v="5"/>
    <x v="3"/>
    <x v="16"/>
    <x v="5"/>
    <d v="2024-03-14T00:00:00"/>
    <x v="3"/>
    <n v="1401.25"/>
    <n v="15"/>
    <x v="6"/>
    <n v="1261.1199999999999"/>
    <x v="1121"/>
    <n v="7146.38"/>
    <x v="6"/>
    <n v="2024"/>
  </r>
  <r>
    <s v="TXN01123"/>
    <x v="14"/>
    <x v="1"/>
    <x v="13"/>
    <x v="4"/>
    <d v="2024-01-14T00:00:00"/>
    <x v="6"/>
    <n v="12991.11"/>
    <n v="10"/>
    <x v="1"/>
    <n v="11692"/>
    <x v="1122"/>
    <n v="105227.99"/>
    <x v="10"/>
    <n v="2024"/>
  </r>
  <r>
    <s v="TXN01124"/>
    <x v="14"/>
    <x v="4"/>
    <x v="23"/>
    <x v="5"/>
    <d v="2025-01-17T00:00:00"/>
    <x v="4"/>
    <n v="10223.879999999999"/>
    <n v="20"/>
    <x v="2"/>
    <n v="14313.43"/>
    <x v="1123"/>
    <n v="57253.73"/>
    <x v="10"/>
    <n v="2025"/>
  </r>
  <r>
    <s v="TXN01125"/>
    <x v="14"/>
    <x v="0"/>
    <x v="24"/>
    <x v="1"/>
    <d v="2025-01-29T00:00:00"/>
    <x v="9"/>
    <n v="6584.13"/>
    <n v="15"/>
    <x v="7"/>
    <n v="9876.19"/>
    <x v="1124"/>
    <n v="55965.11"/>
    <x v="10"/>
    <n v="2025"/>
  </r>
  <r>
    <s v="TXN01126"/>
    <x v="9"/>
    <x v="3"/>
    <x v="20"/>
    <x v="2"/>
    <d v="2025-10-12T00:00:00"/>
    <x v="3"/>
    <n v="4135.34"/>
    <n v="15"/>
    <x v="6"/>
    <n v="3721.81"/>
    <x v="1125"/>
    <n v="21090.23"/>
    <x v="4"/>
    <n v="2025"/>
  </r>
  <r>
    <s v="TXN01127"/>
    <x v="2"/>
    <x v="4"/>
    <x v="18"/>
    <x v="5"/>
    <d v="2025-01-05T00:00:00"/>
    <x v="8"/>
    <n v="12892.41"/>
    <n v="5"/>
    <x v="1"/>
    <n v="644.62"/>
    <x v="1126"/>
    <n v="12247.79"/>
    <x v="10"/>
    <n v="2025"/>
  </r>
  <r>
    <s v="TXN01128"/>
    <x v="11"/>
    <x v="3"/>
    <x v="21"/>
    <x v="2"/>
    <d v="2024-09-17T00:00:00"/>
    <x v="1"/>
    <n v="2626.34"/>
    <n v="5"/>
    <x v="3"/>
    <n v="525.27"/>
    <x v="1127"/>
    <n v="9980.09"/>
    <x v="7"/>
    <n v="2024"/>
  </r>
  <r>
    <s v="TXN01129"/>
    <x v="10"/>
    <x v="0"/>
    <x v="0"/>
    <x v="1"/>
    <d v="2025-02-11T00:00:00"/>
    <x v="9"/>
    <n v="74329.87"/>
    <n v="0"/>
    <x v="2"/>
    <n v="0"/>
    <x v="1128"/>
    <n v="743298.7"/>
    <x v="2"/>
    <n v="2025"/>
  </r>
  <r>
    <s v="TXN01130"/>
    <x v="14"/>
    <x v="2"/>
    <x v="5"/>
    <x v="5"/>
    <d v="2025-03-13T00:00:00"/>
    <x v="7"/>
    <n v="1287.55"/>
    <n v="20"/>
    <x v="3"/>
    <n v="1287.55"/>
    <x v="1129"/>
    <n v="5150.2"/>
    <x v="6"/>
    <n v="2025"/>
  </r>
  <r>
    <s v="TXN01131"/>
    <x v="12"/>
    <x v="2"/>
    <x v="9"/>
    <x v="0"/>
    <d v="2024-04-01T00:00:00"/>
    <x v="5"/>
    <n v="4765.7"/>
    <n v="10"/>
    <x v="2"/>
    <n v="953.14"/>
    <x v="1130"/>
    <n v="8578.26"/>
    <x v="1"/>
    <n v="2024"/>
  </r>
  <r>
    <s v="TXN01132"/>
    <x v="0"/>
    <x v="1"/>
    <x v="4"/>
    <x v="4"/>
    <d v="2025-12-16T00:00:00"/>
    <x v="7"/>
    <n v="7934.12"/>
    <n v="5"/>
    <x v="2"/>
    <n v="1983.53"/>
    <x v="1131"/>
    <n v="37687.07"/>
    <x v="3"/>
    <n v="2025"/>
  </r>
  <r>
    <s v="TXN01133"/>
    <x v="6"/>
    <x v="4"/>
    <x v="17"/>
    <x v="1"/>
    <d v="2025-06-21T00:00:00"/>
    <x v="4"/>
    <n v="3722.71"/>
    <n v="15"/>
    <x v="2"/>
    <n v="3908.85"/>
    <x v="1132"/>
    <n v="22150.12"/>
    <x v="5"/>
    <n v="2025"/>
  </r>
  <r>
    <s v="TXN01134"/>
    <x v="3"/>
    <x v="1"/>
    <x v="13"/>
    <x v="4"/>
    <d v="2024-07-21T00:00:00"/>
    <x v="2"/>
    <n v="11345.95"/>
    <n v="0"/>
    <x v="3"/>
    <n v="0"/>
    <x v="1133"/>
    <n v="90767.6"/>
    <x v="11"/>
    <n v="2024"/>
  </r>
  <r>
    <s v="TXN01135"/>
    <x v="4"/>
    <x v="4"/>
    <x v="14"/>
    <x v="4"/>
    <d v="2024-07-24T00:00:00"/>
    <x v="8"/>
    <n v="1631.22"/>
    <n v="5"/>
    <x v="3"/>
    <n v="81.56"/>
    <x v="1134"/>
    <n v="1549.66"/>
    <x v="11"/>
    <n v="2024"/>
  </r>
  <r>
    <s v="TXN01136"/>
    <x v="11"/>
    <x v="3"/>
    <x v="16"/>
    <x v="2"/>
    <d v="2025-10-13T00:00:00"/>
    <x v="0"/>
    <n v="1517.92"/>
    <n v="0"/>
    <x v="7"/>
    <n v="0"/>
    <x v="1135"/>
    <n v="4553.76"/>
    <x v="4"/>
    <n v="2025"/>
  </r>
  <r>
    <s v="TXN01137"/>
    <x v="5"/>
    <x v="4"/>
    <x v="17"/>
    <x v="1"/>
    <d v="2024-01-31T00:00:00"/>
    <x v="9"/>
    <n v="3355.43"/>
    <n v="15"/>
    <x v="5"/>
    <n v="5033.1499999999996"/>
    <x v="1136"/>
    <n v="28521.15"/>
    <x v="10"/>
    <n v="2024"/>
  </r>
  <r>
    <s v="TXN01138"/>
    <x v="13"/>
    <x v="0"/>
    <x v="0"/>
    <x v="0"/>
    <d v="2025-11-12T00:00:00"/>
    <x v="9"/>
    <n v="78457.08"/>
    <n v="0"/>
    <x v="1"/>
    <n v="0"/>
    <x v="1137"/>
    <n v="784570.8"/>
    <x v="8"/>
    <n v="2025"/>
  </r>
  <r>
    <s v="TXN01139"/>
    <x v="9"/>
    <x v="0"/>
    <x v="6"/>
    <x v="3"/>
    <d v="2025-01-19T00:00:00"/>
    <x v="9"/>
    <n v="25750.46"/>
    <n v="10"/>
    <x v="1"/>
    <n v="25750.46"/>
    <x v="1138"/>
    <n v="231754.14"/>
    <x v="10"/>
    <n v="2025"/>
  </r>
  <r>
    <s v="TXN01140"/>
    <x v="10"/>
    <x v="4"/>
    <x v="23"/>
    <x v="0"/>
    <d v="2024-12-10T00:00:00"/>
    <x v="3"/>
    <n v="11775.11"/>
    <n v="10"/>
    <x v="2"/>
    <n v="7065.07"/>
    <x v="1139"/>
    <n v="63585.59"/>
    <x v="3"/>
    <n v="2024"/>
  </r>
  <r>
    <s v="TXN01141"/>
    <x v="3"/>
    <x v="3"/>
    <x v="7"/>
    <x v="2"/>
    <d v="2025-01-22T00:00:00"/>
    <x v="9"/>
    <n v="1645.76"/>
    <n v="10"/>
    <x v="2"/>
    <n v="1645.76"/>
    <x v="1140"/>
    <n v="14811.84"/>
    <x v="10"/>
    <n v="2025"/>
  </r>
  <r>
    <s v="TXN01142"/>
    <x v="13"/>
    <x v="3"/>
    <x v="15"/>
    <x v="5"/>
    <d v="2024-05-22T00:00:00"/>
    <x v="8"/>
    <n v="840.38"/>
    <n v="20"/>
    <x v="2"/>
    <n v="168.08"/>
    <x v="1141"/>
    <n v="672.3"/>
    <x v="9"/>
    <n v="2024"/>
  </r>
  <r>
    <s v="TXN01143"/>
    <x v="3"/>
    <x v="3"/>
    <x v="7"/>
    <x v="5"/>
    <d v="2025-06-11T00:00:00"/>
    <x v="4"/>
    <n v="1917.1"/>
    <n v="0"/>
    <x v="6"/>
    <n v="0"/>
    <x v="1142"/>
    <n v="13419.7"/>
    <x v="5"/>
    <n v="2025"/>
  </r>
  <r>
    <s v="TXN01144"/>
    <x v="8"/>
    <x v="3"/>
    <x v="15"/>
    <x v="0"/>
    <d v="2024-11-29T00:00:00"/>
    <x v="2"/>
    <n v="843.38"/>
    <n v="15"/>
    <x v="1"/>
    <n v="1012.06"/>
    <x v="1143"/>
    <n v="5734.98"/>
    <x v="8"/>
    <n v="2024"/>
  </r>
  <r>
    <s v="TXN01145"/>
    <x v="10"/>
    <x v="4"/>
    <x v="14"/>
    <x v="1"/>
    <d v="2025-03-14T00:00:00"/>
    <x v="2"/>
    <n v="1720.08"/>
    <n v="0"/>
    <x v="5"/>
    <n v="0"/>
    <x v="1144"/>
    <n v="13760.64"/>
    <x v="6"/>
    <n v="2025"/>
  </r>
  <r>
    <s v="TXN01146"/>
    <x v="12"/>
    <x v="4"/>
    <x v="19"/>
    <x v="4"/>
    <d v="2025-06-16T00:00:00"/>
    <x v="9"/>
    <n v="8769.7199999999993"/>
    <n v="20"/>
    <x v="3"/>
    <n v="17539.439999999999"/>
    <x v="1145"/>
    <n v="70157.759999999995"/>
    <x v="5"/>
    <n v="2025"/>
  </r>
  <r>
    <s v="TXN01147"/>
    <x v="11"/>
    <x v="0"/>
    <x v="6"/>
    <x v="3"/>
    <d v="2024-11-04T00:00:00"/>
    <x v="6"/>
    <n v="31537.13"/>
    <n v="15"/>
    <x v="7"/>
    <n v="42575.13"/>
    <x v="1146"/>
    <n v="241259.04"/>
    <x v="8"/>
    <n v="2024"/>
  </r>
  <r>
    <s v="TXN01148"/>
    <x v="6"/>
    <x v="1"/>
    <x v="2"/>
    <x v="5"/>
    <d v="2024-09-06T00:00:00"/>
    <x v="1"/>
    <n v="23565.21"/>
    <n v="0"/>
    <x v="0"/>
    <n v="0"/>
    <x v="1147"/>
    <n v="94260.84"/>
    <x v="7"/>
    <n v="2024"/>
  </r>
  <r>
    <s v="TXN01149"/>
    <x v="0"/>
    <x v="0"/>
    <x v="24"/>
    <x v="1"/>
    <d v="2024-11-30T00:00:00"/>
    <x v="4"/>
    <n v="8405.14"/>
    <n v="5"/>
    <x v="3"/>
    <n v="2941.8"/>
    <x v="1148"/>
    <n v="55894.18"/>
    <x v="8"/>
    <n v="2024"/>
  </r>
  <r>
    <s v="TXN01150"/>
    <x v="14"/>
    <x v="3"/>
    <x v="16"/>
    <x v="2"/>
    <d v="2025-11-12T00:00:00"/>
    <x v="0"/>
    <n v="1865.63"/>
    <n v="15"/>
    <x v="7"/>
    <n v="839.53"/>
    <x v="1149"/>
    <n v="4757.3599999999997"/>
    <x v="8"/>
    <n v="2025"/>
  </r>
  <r>
    <s v="TXN01151"/>
    <x v="4"/>
    <x v="0"/>
    <x v="3"/>
    <x v="4"/>
    <d v="2025-10-21T00:00:00"/>
    <x v="3"/>
    <n v="19686.2"/>
    <n v="15"/>
    <x v="7"/>
    <n v="17717.580000000002"/>
    <x v="1150"/>
    <n v="100399.62"/>
    <x v="4"/>
    <n v="2025"/>
  </r>
  <r>
    <s v="TXN01152"/>
    <x v="10"/>
    <x v="2"/>
    <x v="9"/>
    <x v="4"/>
    <d v="2024-09-22T00:00:00"/>
    <x v="5"/>
    <n v="4377.3500000000004"/>
    <n v="0"/>
    <x v="0"/>
    <n v="0"/>
    <x v="1151"/>
    <n v="8754.7000000000007"/>
    <x v="7"/>
    <n v="2024"/>
  </r>
  <r>
    <s v="TXN01153"/>
    <x v="0"/>
    <x v="0"/>
    <x v="3"/>
    <x v="6"/>
    <d v="2024-04-28T00:00:00"/>
    <x v="9"/>
    <n v="17854.82"/>
    <n v="10"/>
    <x v="0"/>
    <n v="17854.82"/>
    <x v="1152"/>
    <n v="160693.38"/>
    <x v="1"/>
    <n v="2024"/>
  </r>
  <r>
    <s v="TXN01154"/>
    <x v="0"/>
    <x v="4"/>
    <x v="14"/>
    <x v="1"/>
    <d v="2024-03-04T00:00:00"/>
    <x v="9"/>
    <n v="1550.85"/>
    <n v="15"/>
    <x v="4"/>
    <n v="2326.2800000000002"/>
    <x v="1153"/>
    <n v="13182.22"/>
    <x v="6"/>
    <n v="2024"/>
  </r>
  <r>
    <s v="TXN01155"/>
    <x v="10"/>
    <x v="4"/>
    <x v="19"/>
    <x v="0"/>
    <d v="2025-06-16T00:00:00"/>
    <x v="9"/>
    <n v="8381.5499999999993"/>
    <n v="0"/>
    <x v="3"/>
    <n v="0"/>
    <x v="1154"/>
    <n v="83815.5"/>
    <x v="5"/>
    <n v="2025"/>
  </r>
  <r>
    <s v="TXN01156"/>
    <x v="9"/>
    <x v="4"/>
    <x v="17"/>
    <x v="3"/>
    <d v="2024-11-19T00:00:00"/>
    <x v="0"/>
    <n v="4250.54"/>
    <n v="10"/>
    <x v="6"/>
    <n v="1275.1600000000001"/>
    <x v="1155"/>
    <n v="11476.46"/>
    <x v="8"/>
    <n v="2024"/>
  </r>
  <r>
    <s v="TXN01157"/>
    <x v="8"/>
    <x v="1"/>
    <x v="2"/>
    <x v="5"/>
    <d v="2025-09-07T00:00:00"/>
    <x v="7"/>
    <n v="23411.69"/>
    <n v="0"/>
    <x v="3"/>
    <n v="0"/>
    <x v="1156"/>
    <n v="117058.45"/>
    <x v="7"/>
    <n v="2025"/>
  </r>
  <r>
    <s v="TXN01158"/>
    <x v="5"/>
    <x v="2"/>
    <x v="22"/>
    <x v="6"/>
    <d v="2024-10-07T00:00:00"/>
    <x v="9"/>
    <n v="1009.37"/>
    <n v="5"/>
    <x v="7"/>
    <n v="504.69"/>
    <x v="1157"/>
    <n v="9589.01"/>
    <x v="4"/>
    <n v="2024"/>
  </r>
  <r>
    <s v="TXN01159"/>
    <x v="0"/>
    <x v="4"/>
    <x v="19"/>
    <x v="5"/>
    <d v="2024-12-07T00:00:00"/>
    <x v="0"/>
    <n v="9741.35"/>
    <n v="5"/>
    <x v="1"/>
    <n v="1461.2"/>
    <x v="1158"/>
    <n v="27762.85"/>
    <x v="3"/>
    <n v="2024"/>
  </r>
  <r>
    <s v="TXN01160"/>
    <x v="14"/>
    <x v="1"/>
    <x v="12"/>
    <x v="3"/>
    <d v="2025-05-14T00:00:00"/>
    <x v="4"/>
    <n v="5848.65"/>
    <n v="5"/>
    <x v="3"/>
    <n v="2047.03"/>
    <x v="1159"/>
    <n v="38893.519999999997"/>
    <x v="9"/>
    <n v="2025"/>
  </r>
  <r>
    <s v="TXN01161"/>
    <x v="1"/>
    <x v="0"/>
    <x v="1"/>
    <x v="0"/>
    <d v="2025-11-25T00:00:00"/>
    <x v="2"/>
    <n v="3787.01"/>
    <n v="15"/>
    <x v="2"/>
    <n v="4544.41"/>
    <x v="1160"/>
    <n v="25751.67"/>
    <x v="8"/>
    <n v="2025"/>
  </r>
  <r>
    <s v="TXN01162"/>
    <x v="9"/>
    <x v="4"/>
    <x v="17"/>
    <x v="2"/>
    <d v="2024-10-16T00:00:00"/>
    <x v="1"/>
    <n v="4139.82"/>
    <n v="20"/>
    <x v="4"/>
    <n v="3311.86"/>
    <x v="1161"/>
    <n v="13247.42"/>
    <x v="4"/>
    <n v="2024"/>
  </r>
  <r>
    <s v="TXN01163"/>
    <x v="7"/>
    <x v="4"/>
    <x v="17"/>
    <x v="0"/>
    <d v="2025-12-27T00:00:00"/>
    <x v="7"/>
    <n v="3905.38"/>
    <n v="5"/>
    <x v="1"/>
    <n v="976.35"/>
    <x v="1162"/>
    <n v="18550.55"/>
    <x v="3"/>
    <n v="2025"/>
  </r>
  <r>
    <s v="TXN01164"/>
    <x v="11"/>
    <x v="2"/>
    <x v="5"/>
    <x v="2"/>
    <d v="2024-10-25T00:00:00"/>
    <x v="0"/>
    <n v="1257.22"/>
    <n v="5"/>
    <x v="6"/>
    <n v="188.58"/>
    <x v="1163"/>
    <n v="3583.08"/>
    <x v="4"/>
    <n v="2024"/>
  </r>
  <r>
    <s v="TXN01165"/>
    <x v="0"/>
    <x v="0"/>
    <x v="3"/>
    <x v="3"/>
    <d v="2025-11-25T00:00:00"/>
    <x v="0"/>
    <n v="19683.95"/>
    <n v="15"/>
    <x v="7"/>
    <n v="8857.7800000000007"/>
    <x v="1164"/>
    <n v="50194.07"/>
    <x v="8"/>
    <n v="2025"/>
  </r>
  <r>
    <s v="TXN01166"/>
    <x v="6"/>
    <x v="1"/>
    <x v="12"/>
    <x v="0"/>
    <d v="2024-07-02T00:00:00"/>
    <x v="8"/>
    <n v="5576.02"/>
    <n v="20"/>
    <x v="6"/>
    <n v="1115.2"/>
    <x v="1165"/>
    <n v="4460.82"/>
    <x v="11"/>
    <n v="2024"/>
  </r>
  <r>
    <s v="TXN01167"/>
    <x v="1"/>
    <x v="3"/>
    <x v="21"/>
    <x v="4"/>
    <d v="2024-09-07T00:00:00"/>
    <x v="8"/>
    <n v="2324.25"/>
    <n v="15"/>
    <x v="2"/>
    <n v="348.64"/>
    <x v="1166"/>
    <n v="1975.61"/>
    <x v="7"/>
    <n v="2024"/>
  </r>
  <r>
    <s v="TXN01168"/>
    <x v="0"/>
    <x v="4"/>
    <x v="19"/>
    <x v="6"/>
    <d v="2025-10-30T00:00:00"/>
    <x v="4"/>
    <n v="9626.8700000000008"/>
    <n v="0"/>
    <x v="3"/>
    <n v="0"/>
    <x v="1167"/>
    <n v="67388.09"/>
    <x v="4"/>
    <n v="2025"/>
  </r>
  <r>
    <s v="TXN01169"/>
    <x v="5"/>
    <x v="4"/>
    <x v="23"/>
    <x v="2"/>
    <d v="2025-01-11T00:00:00"/>
    <x v="8"/>
    <n v="9300"/>
    <n v="0"/>
    <x v="6"/>
    <n v="0"/>
    <x v="1168"/>
    <n v="9300"/>
    <x v="10"/>
    <n v="2025"/>
  </r>
  <r>
    <s v="TXN01170"/>
    <x v="8"/>
    <x v="0"/>
    <x v="24"/>
    <x v="2"/>
    <d v="2024-01-24T00:00:00"/>
    <x v="9"/>
    <n v="7302.72"/>
    <n v="20"/>
    <x v="0"/>
    <n v="14605.44"/>
    <x v="1169"/>
    <n v="58421.760000000002"/>
    <x v="10"/>
    <n v="2024"/>
  </r>
  <r>
    <s v="TXN01171"/>
    <x v="0"/>
    <x v="4"/>
    <x v="19"/>
    <x v="2"/>
    <d v="2025-08-30T00:00:00"/>
    <x v="0"/>
    <n v="7967.92"/>
    <n v="15"/>
    <x v="7"/>
    <n v="3585.56"/>
    <x v="1170"/>
    <n v="20318.2"/>
    <x v="0"/>
    <n v="2025"/>
  </r>
  <r>
    <s v="TXN01172"/>
    <x v="7"/>
    <x v="3"/>
    <x v="21"/>
    <x v="1"/>
    <d v="2024-03-06T00:00:00"/>
    <x v="6"/>
    <n v="2365.56"/>
    <n v="0"/>
    <x v="5"/>
    <n v="0"/>
    <x v="1171"/>
    <n v="21290.04"/>
    <x v="6"/>
    <n v="2024"/>
  </r>
  <r>
    <s v="TXN01173"/>
    <x v="4"/>
    <x v="4"/>
    <x v="14"/>
    <x v="6"/>
    <d v="2024-03-06T00:00:00"/>
    <x v="6"/>
    <n v="1663.93"/>
    <n v="20"/>
    <x v="6"/>
    <n v="2995.07"/>
    <x v="1172"/>
    <n v="11980.3"/>
    <x v="6"/>
    <n v="2024"/>
  </r>
  <r>
    <s v="TXN01174"/>
    <x v="8"/>
    <x v="0"/>
    <x v="6"/>
    <x v="1"/>
    <d v="2025-09-05T00:00:00"/>
    <x v="0"/>
    <n v="22533.279999999999"/>
    <n v="15"/>
    <x v="3"/>
    <n v="10139.98"/>
    <x v="1173"/>
    <n v="57459.86"/>
    <x v="7"/>
    <n v="2025"/>
  </r>
  <r>
    <s v="TXN01175"/>
    <x v="13"/>
    <x v="3"/>
    <x v="15"/>
    <x v="4"/>
    <d v="2025-10-30T00:00:00"/>
    <x v="0"/>
    <n v="811.32"/>
    <n v="10"/>
    <x v="0"/>
    <n v="243.4"/>
    <x v="1174"/>
    <n v="2190.56"/>
    <x v="4"/>
    <n v="2025"/>
  </r>
  <r>
    <s v="TXN01176"/>
    <x v="6"/>
    <x v="0"/>
    <x v="0"/>
    <x v="6"/>
    <d v="2025-01-07T00:00:00"/>
    <x v="6"/>
    <n v="61288.55"/>
    <n v="0"/>
    <x v="4"/>
    <n v="0"/>
    <x v="1175"/>
    <n v="551596.94999999995"/>
    <x v="10"/>
    <n v="2025"/>
  </r>
  <r>
    <s v="TXN01177"/>
    <x v="13"/>
    <x v="1"/>
    <x v="4"/>
    <x v="6"/>
    <d v="2025-11-05T00:00:00"/>
    <x v="6"/>
    <n v="8898.82"/>
    <n v="20"/>
    <x v="4"/>
    <n v="16017.88"/>
    <x v="1176"/>
    <n v="64071.5"/>
    <x v="8"/>
    <n v="2025"/>
  </r>
  <r>
    <s v="TXN01178"/>
    <x v="9"/>
    <x v="4"/>
    <x v="19"/>
    <x v="0"/>
    <d v="2025-12-05T00:00:00"/>
    <x v="5"/>
    <n v="9377.76"/>
    <n v="0"/>
    <x v="0"/>
    <n v="0"/>
    <x v="1177"/>
    <n v="18755.52"/>
    <x v="3"/>
    <n v="2025"/>
  </r>
  <r>
    <s v="TXN01179"/>
    <x v="2"/>
    <x v="1"/>
    <x v="12"/>
    <x v="4"/>
    <d v="2024-08-08T00:00:00"/>
    <x v="0"/>
    <n v="6303.22"/>
    <n v="5"/>
    <x v="4"/>
    <n v="945.48"/>
    <x v="1178"/>
    <n v="17964.18"/>
    <x v="0"/>
    <n v="2024"/>
  </r>
  <r>
    <s v="TXN01180"/>
    <x v="5"/>
    <x v="2"/>
    <x v="22"/>
    <x v="4"/>
    <d v="2024-03-17T00:00:00"/>
    <x v="6"/>
    <n v="867.37"/>
    <n v="15"/>
    <x v="2"/>
    <n v="1170.95"/>
    <x v="1179"/>
    <n v="6635.38"/>
    <x v="6"/>
    <n v="2024"/>
  </r>
  <r>
    <s v="TXN01181"/>
    <x v="11"/>
    <x v="1"/>
    <x v="2"/>
    <x v="1"/>
    <d v="2025-11-23T00:00:00"/>
    <x v="4"/>
    <n v="31213.87"/>
    <n v="5"/>
    <x v="4"/>
    <n v="10924.85"/>
    <x v="1180"/>
    <n v="207572.24"/>
    <x v="8"/>
    <n v="2025"/>
  </r>
  <r>
    <s v="TXN01182"/>
    <x v="6"/>
    <x v="2"/>
    <x v="5"/>
    <x v="2"/>
    <d v="2025-10-10T00:00:00"/>
    <x v="1"/>
    <n v="1423.77"/>
    <n v="20"/>
    <x v="4"/>
    <n v="1139.02"/>
    <x v="1181"/>
    <n v="4556.0600000000004"/>
    <x v="4"/>
    <n v="2025"/>
  </r>
  <r>
    <s v="TXN01183"/>
    <x v="7"/>
    <x v="2"/>
    <x v="11"/>
    <x v="5"/>
    <d v="2024-11-19T00:00:00"/>
    <x v="4"/>
    <n v="5471.05"/>
    <n v="20"/>
    <x v="3"/>
    <n v="7659.47"/>
    <x v="1182"/>
    <n v="30637.88"/>
    <x v="8"/>
    <n v="2024"/>
  </r>
  <r>
    <s v="TXN01184"/>
    <x v="5"/>
    <x v="1"/>
    <x v="12"/>
    <x v="1"/>
    <d v="2025-12-01T00:00:00"/>
    <x v="6"/>
    <n v="6611.19"/>
    <n v="10"/>
    <x v="7"/>
    <n v="5950.07"/>
    <x v="1183"/>
    <n v="53550.64"/>
    <x v="3"/>
    <n v="2025"/>
  </r>
  <r>
    <s v="TXN01185"/>
    <x v="14"/>
    <x v="0"/>
    <x v="3"/>
    <x v="0"/>
    <d v="2024-05-29T00:00:00"/>
    <x v="1"/>
    <n v="17431.41"/>
    <n v="0"/>
    <x v="4"/>
    <n v="0"/>
    <x v="1184"/>
    <n v="69725.64"/>
    <x v="9"/>
    <n v="2024"/>
  </r>
  <r>
    <s v="TXN01186"/>
    <x v="1"/>
    <x v="4"/>
    <x v="18"/>
    <x v="1"/>
    <d v="2024-06-28T00:00:00"/>
    <x v="6"/>
    <n v="12984.98"/>
    <n v="10"/>
    <x v="7"/>
    <n v="11686.48"/>
    <x v="1185"/>
    <n v="105178.34"/>
    <x v="5"/>
    <n v="2024"/>
  </r>
  <r>
    <s v="TXN01187"/>
    <x v="6"/>
    <x v="2"/>
    <x v="9"/>
    <x v="6"/>
    <d v="2025-12-18T00:00:00"/>
    <x v="9"/>
    <n v="5525.93"/>
    <n v="20"/>
    <x v="5"/>
    <n v="11051.86"/>
    <x v="1186"/>
    <n v="44207.44"/>
    <x v="3"/>
    <n v="2025"/>
  </r>
  <r>
    <s v="TXN01188"/>
    <x v="6"/>
    <x v="3"/>
    <x v="21"/>
    <x v="1"/>
    <d v="2024-11-21T00:00:00"/>
    <x v="4"/>
    <n v="2599.21"/>
    <n v="20"/>
    <x v="3"/>
    <n v="3638.89"/>
    <x v="1187"/>
    <n v="14555.58"/>
    <x v="8"/>
    <n v="2024"/>
  </r>
  <r>
    <s v="TXN01189"/>
    <x v="14"/>
    <x v="2"/>
    <x v="11"/>
    <x v="3"/>
    <d v="2025-05-03T00:00:00"/>
    <x v="9"/>
    <n v="4659.47"/>
    <n v="0"/>
    <x v="2"/>
    <n v="0"/>
    <x v="1188"/>
    <n v="46594.7"/>
    <x v="9"/>
    <n v="2025"/>
  </r>
  <r>
    <s v="TXN01190"/>
    <x v="8"/>
    <x v="2"/>
    <x v="5"/>
    <x v="4"/>
    <d v="2025-01-22T00:00:00"/>
    <x v="9"/>
    <n v="1300.6300000000001"/>
    <n v="0"/>
    <x v="3"/>
    <n v="0"/>
    <x v="1189"/>
    <n v="13006.3"/>
    <x v="10"/>
    <n v="2025"/>
  </r>
  <r>
    <s v="TXN01191"/>
    <x v="8"/>
    <x v="3"/>
    <x v="7"/>
    <x v="6"/>
    <d v="2025-12-24T00:00:00"/>
    <x v="2"/>
    <n v="1872.64"/>
    <n v="10"/>
    <x v="2"/>
    <n v="1498.11"/>
    <x v="1190"/>
    <n v="13483.01"/>
    <x v="3"/>
    <n v="2025"/>
  </r>
  <r>
    <s v="TXN01192"/>
    <x v="5"/>
    <x v="4"/>
    <x v="14"/>
    <x v="0"/>
    <d v="2025-06-17T00:00:00"/>
    <x v="1"/>
    <n v="1464.45"/>
    <n v="0"/>
    <x v="2"/>
    <n v="0"/>
    <x v="1191"/>
    <n v="5857.8"/>
    <x v="5"/>
    <n v="2025"/>
  </r>
  <r>
    <s v="TXN01193"/>
    <x v="10"/>
    <x v="3"/>
    <x v="16"/>
    <x v="0"/>
    <d v="2025-10-11T00:00:00"/>
    <x v="5"/>
    <n v="1516.64"/>
    <n v="5"/>
    <x v="7"/>
    <n v="151.66"/>
    <x v="1192"/>
    <n v="2881.62"/>
    <x v="4"/>
    <n v="2025"/>
  </r>
  <r>
    <s v="TXN01194"/>
    <x v="12"/>
    <x v="0"/>
    <x v="6"/>
    <x v="1"/>
    <d v="2024-10-19T00:00:00"/>
    <x v="6"/>
    <n v="31140.92"/>
    <n v="0"/>
    <x v="7"/>
    <n v="0"/>
    <x v="1193"/>
    <n v="280268.28000000003"/>
    <x v="4"/>
    <n v="2024"/>
  </r>
  <r>
    <s v="TXN01195"/>
    <x v="14"/>
    <x v="4"/>
    <x v="14"/>
    <x v="2"/>
    <d v="2025-05-06T00:00:00"/>
    <x v="2"/>
    <n v="1543.13"/>
    <n v="20"/>
    <x v="3"/>
    <n v="2469.0100000000002"/>
    <x v="1194"/>
    <n v="9876.0300000000007"/>
    <x v="9"/>
    <n v="2025"/>
  </r>
  <r>
    <s v="TXN01196"/>
    <x v="13"/>
    <x v="0"/>
    <x v="24"/>
    <x v="6"/>
    <d v="2024-01-08T00:00:00"/>
    <x v="4"/>
    <n v="7529.54"/>
    <n v="10"/>
    <x v="0"/>
    <n v="5270.68"/>
    <x v="1195"/>
    <n v="47436.1"/>
    <x v="10"/>
    <n v="2024"/>
  </r>
  <r>
    <s v="TXN01197"/>
    <x v="8"/>
    <x v="1"/>
    <x v="8"/>
    <x v="6"/>
    <d v="2025-09-13T00:00:00"/>
    <x v="2"/>
    <n v="45646.47"/>
    <n v="20"/>
    <x v="1"/>
    <n v="73034.350000000006"/>
    <x v="1196"/>
    <n v="292137.40999999997"/>
    <x v="7"/>
    <n v="2025"/>
  </r>
  <r>
    <s v="TXN01198"/>
    <x v="6"/>
    <x v="1"/>
    <x v="13"/>
    <x v="0"/>
    <d v="2025-06-10T00:00:00"/>
    <x v="3"/>
    <n v="13657.45"/>
    <n v="15"/>
    <x v="3"/>
    <n v="12291.7"/>
    <x v="1197"/>
    <n v="69653"/>
    <x v="5"/>
    <n v="2025"/>
  </r>
  <r>
    <s v="TXN01199"/>
    <x v="7"/>
    <x v="4"/>
    <x v="23"/>
    <x v="0"/>
    <d v="2024-12-12T00:00:00"/>
    <x v="1"/>
    <n v="12187.25"/>
    <n v="0"/>
    <x v="7"/>
    <n v="0"/>
    <x v="1198"/>
    <n v="48749"/>
    <x v="3"/>
    <n v="2024"/>
  </r>
  <r>
    <s v="TXN01200"/>
    <x v="11"/>
    <x v="3"/>
    <x v="20"/>
    <x v="0"/>
    <d v="2024-08-06T00:00:00"/>
    <x v="8"/>
    <n v="3795.77"/>
    <n v="20"/>
    <x v="4"/>
    <n v="759.15"/>
    <x v="1199"/>
    <n v="3036.62"/>
    <x v="0"/>
    <n v="2024"/>
  </r>
  <r>
    <s v="TXN01201"/>
    <x v="14"/>
    <x v="4"/>
    <x v="18"/>
    <x v="0"/>
    <d v="2025-04-19T00:00:00"/>
    <x v="9"/>
    <n v="13345.06"/>
    <n v="0"/>
    <x v="1"/>
    <n v="0"/>
    <x v="1200"/>
    <n v="133450.6"/>
    <x v="1"/>
    <n v="2025"/>
  </r>
  <r>
    <s v="TXN01202"/>
    <x v="12"/>
    <x v="3"/>
    <x v="15"/>
    <x v="5"/>
    <d v="2024-11-01T00:00:00"/>
    <x v="3"/>
    <n v="815.58"/>
    <n v="10"/>
    <x v="5"/>
    <n v="489.35"/>
    <x v="1201"/>
    <n v="4404.13"/>
    <x v="8"/>
    <n v="2024"/>
  </r>
  <r>
    <s v="TXN01203"/>
    <x v="3"/>
    <x v="1"/>
    <x v="2"/>
    <x v="1"/>
    <d v="2025-03-17T00:00:00"/>
    <x v="2"/>
    <n v="23734.65"/>
    <n v="20"/>
    <x v="7"/>
    <n v="37975.440000000002"/>
    <x v="1202"/>
    <n v="151901.76000000001"/>
    <x v="6"/>
    <n v="2025"/>
  </r>
  <r>
    <s v="TXN01204"/>
    <x v="1"/>
    <x v="2"/>
    <x v="5"/>
    <x v="1"/>
    <d v="2024-01-08T00:00:00"/>
    <x v="0"/>
    <n v="1310.83"/>
    <n v="10"/>
    <x v="6"/>
    <n v="393.25"/>
    <x v="1203"/>
    <n v="3539.24"/>
    <x v="10"/>
    <n v="2024"/>
  </r>
  <r>
    <s v="TXN01205"/>
    <x v="1"/>
    <x v="1"/>
    <x v="2"/>
    <x v="0"/>
    <d v="2025-01-08T00:00:00"/>
    <x v="4"/>
    <n v="28076.21"/>
    <n v="20"/>
    <x v="4"/>
    <n v="39306.69"/>
    <x v="1204"/>
    <n v="157226.78"/>
    <x v="10"/>
    <n v="2025"/>
  </r>
  <r>
    <s v="TXN01206"/>
    <x v="11"/>
    <x v="3"/>
    <x v="15"/>
    <x v="2"/>
    <d v="2024-06-14T00:00:00"/>
    <x v="0"/>
    <n v="790.75"/>
    <n v="15"/>
    <x v="6"/>
    <n v="355.84"/>
    <x v="1205"/>
    <n v="2016.41"/>
    <x v="5"/>
    <n v="2024"/>
  </r>
  <r>
    <s v="TXN01207"/>
    <x v="14"/>
    <x v="0"/>
    <x v="3"/>
    <x v="3"/>
    <d v="2024-04-23T00:00:00"/>
    <x v="1"/>
    <n v="17482.05"/>
    <n v="5"/>
    <x v="0"/>
    <n v="3496.41"/>
    <x v="1206"/>
    <n v="66431.789999999994"/>
    <x v="1"/>
    <n v="2024"/>
  </r>
  <r>
    <s v="TXN01208"/>
    <x v="0"/>
    <x v="4"/>
    <x v="23"/>
    <x v="0"/>
    <d v="2024-06-13T00:00:00"/>
    <x v="1"/>
    <n v="11370.94"/>
    <n v="10"/>
    <x v="1"/>
    <n v="4548.38"/>
    <x v="1207"/>
    <n v="40935.379999999997"/>
    <x v="5"/>
    <n v="2024"/>
  </r>
  <r>
    <s v="TXN01209"/>
    <x v="11"/>
    <x v="0"/>
    <x v="24"/>
    <x v="6"/>
    <d v="2025-11-29T00:00:00"/>
    <x v="0"/>
    <n v="7555.41"/>
    <n v="15"/>
    <x v="6"/>
    <n v="3399.93"/>
    <x v="1208"/>
    <n v="19266.3"/>
    <x v="8"/>
    <n v="2025"/>
  </r>
  <r>
    <s v="TXN01210"/>
    <x v="7"/>
    <x v="2"/>
    <x v="9"/>
    <x v="1"/>
    <d v="2024-01-22T00:00:00"/>
    <x v="0"/>
    <n v="4224.9799999999996"/>
    <n v="20"/>
    <x v="7"/>
    <n v="2534.9899999999998"/>
    <x v="1209"/>
    <n v="10139.950000000001"/>
    <x v="10"/>
    <n v="2024"/>
  </r>
  <r>
    <s v="TXN01211"/>
    <x v="13"/>
    <x v="0"/>
    <x v="6"/>
    <x v="2"/>
    <d v="2025-03-15T00:00:00"/>
    <x v="9"/>
    <n v="27108.95"/>
    <n v="15"/>
    <x v="5"/>
    <n v="40663.42"/>
    <x v="1210"/>
    <n v="230426.08"/>
    <x v="6"/>
    <n v="2025"/>
  </r>
  <r>
    <s v="TXN01212"/>
    <x v="5"/>
    <x v="4"/>
    <x v="19"/>
    <x v="5"/>
    <d v="2025-03-15T00:00:00"/>
    <x v="1"/>
    <n v="8435.23"/>
    <n v="20"/>
    <x v="7"/>
    <n v="6748.18"/>
    <x v="1211"/>
    <n v="26992.74"/>
    <x v="6"/>
    <n v="2025"/>
  </r>
  <r>
    <s v="TXN01213"/>
    <x v="5"/>
    <x v="1"/>
    <x v="13"/>
    <x v="3"/>
    <d v="2024-09-26T00:00:00"/>
    <x v="1"/>
    <n v="12798.99"/>
    <n v="15"/>
    <x v="7"/>
    <n v="7679.39"/>
    <x v="1212"/>
    <n v="43516.57"/>
    <x v="7"/>
    <n v="2024"/>
  </r>
  <r>
    <s v="TXN01214"/>
    <x v="0"/>
    <x v="1"/>
    <x v="2"/>
    <x v="3"/>
    <d v="2025-12-18T00:00:00"/>
    <x v="6"/>
    <n v="28951.32"/>
    <n v="5"/>
    <x v="7"/>
    <n v="13028.09"/>
    <x v="1213"/>
    <n v="247533.79"/>
    <x v="3"/>
    <n v="2025"/>
  </r>
  <r>
    <s v="TXN01215"/>
    <x v="2"/>
    <x v="2"/>
    <x v="5"/>
    <x v="1"/>
    <d v="2025-02-14T00:00:00"/>
    <x v="8"/>
    <n v="1162.1600000000001"/>
    <n v="5"/>
    <x v="3"/>
    <n v="58.11"/>
    <x v="1214"/>
    <n v="1104.05"/>
    <x v="2"/>
    <n v="2025"/>
  </r>
  <r>
    <s v="TXN01216"/>
    <x v="13"/>
    <x v="1"/>
    <x v="2"/>
    <x v="6"/>
    <d v="2024-04-03T00:00:00"/>
    <x v="8"/>
    <n v="24877.200000000001"/>
    <n v="20"/>
    <x v="0"/>
    <n v="4975.4399999999996"/>
    <x v="1215"/>
    <n v="19901.759999999998"/>
    <x v="1"/>
    <n v="2024"/>
  </r>
  <r>
    <s v="TXN01217"/>
    <x v="2"/>
    <x v="3"/>
    <x v="7"/>
    <x v="0"/>
    <d v="2025-05-05T00:00:00"/>
    <x v="8"/>
    <n v="1849.44"/>
    <n v="0"/>
    <x v="2"/>
    <n v="0"/>
    <x v="1216"/>
    <n v="1849.44"/>
    <x v="9"/>
    <n v="2025"/>
  </r>
  <r>
    <s v="TXN01218"/>
    <x v="5"/>
    <x v="3"/>
    <x v="15"/>
    <x v="0"/>
    <d v="2024-12-25T00:00:00"/>
    <x v="4"/>
    <n v="846.33"/>
    <n v="0"/>
    <x v="4"/>
    <n v="0"/>
    <x v="1217"/>
    <n v="5924.31"/>
    <x v="3"/>
    <n v="2024"/>
  </r>
  <r>
    <s v="TXN01219"/>
    <x v="13"/>
    <x v="1"/>
    <x v="12"/>
    <x v="1"/>
    <d v="2024-08-05T00:00:00"/>
    <x v="7"/>
    <n v="6108.09"/>
    <n v="20"/>
    <x v="5"/>
    <n v="6108.09"/>
    <x v="1218"/>
    <n v="24432.36"/>
    <x v="0"/>
    <n v="2024"/>
  </r>
  <r>
    <s v="TXN01220"/>
    <x v="7"/>
    <x v="0"/>
    <x v="24"/>
    <x v="0"/>
    <d v="2025-01-07T00:00:00"/>
    <x v="3"/>
    <n v="6832.62"/>
    <n v="0"/>
    <x v="6"/>
    <n v="0"/>
    <x v="1219"/>
    <n v="40995.72"/>
    <x v="10"/>
    <n v="2025"/>
  </r>
  <r>
    <s v="TXN01221"/>
    <x v="10"/>
    <x v="0"/>
    <x v="1"/>
    <x v="3"/>
    <d v="2024-12-05T00:00:00"/>
    <x v="3"/>
    <n v="3581.57"/>
    <n v="10"/>
    <x v="3"/>
    <n v="2148.94"/>
    <x v="1220"/>
    <n v="19340.48"/>
    <x v="3"/>
    <n v="2024"/>
  </r>
  <r>
    <s v="TXN01222"/>
    <x v="12"/>
    <x v="2"/>
    <x v="11"/>
    <x v="0"/>
    <d v="2025-10-27T00:00:00"/>
    <x v="7"/>
    <n v="5238.8"/>
    <n v="15"/>
    <x v="0"/>
    <n v="3929.1"/>
    <x v="1221"/>
    <n v="22264.9"/>
    <x v="4"/>
    <n v="2025"/>
  </r>
  <r>
    <s v="TXN01223"/>
    <x v="7"/>
    <x v="0"/>
    <x v="0"/>
    <x v="2"/>
    <d v="2024-02-12T00:00:00"/>
    <x v="9"/>
    <n v="74235.37"/>
    <n v="5"/>
    <x v="7"/>
    <n v="37117.68"/>
    <x v="1222"/>
    <n v="705236.02"/>
    <x v="2"/>
    <n v="2024"/>
  </r>
  <r>
    <s v="TXN01224"/>
    <x v="14"/>
    <x v="1"/>
    <x v="2"/>
    <x v="1"/>
    <d v="2025-07-13T00:00:00"/>
    <x v="9"/>
    <n v="24643.11"/>
    <n v="15"/>
    <x v="7"/>
    <n v="36964.67"/>
    <x v="1223"/>
    <n v="209466.43"/>
    <x v="11"/>
    <n v="2025"/>
  </r>
  <r>
    <s v="TXN01225"/>
    <x v="0"/>
    <x v="1"/>
    <x v="8"/>
    <x v="4"/>
    <d v="2024-05-10T00:00:00"/>
    <x v="1"/>
    <n v="40182.129999999997"/>
    <n v="10"/>
    <x v="1"/>
    <n v="16072.85"/>
    <x v="1224"/>
    <n v="144655.67000000001"/>
    <x v="9"/>
    <n v="2024"/>
  </r>
  <r>
    <s v="TXN01226"/>
    <x v="14"/>
    <x v="2"/>
    <x v="22"/>
    <x v="0"/>
    <d v="2025-10-06T00:00:00"/>
    <x v="5"/>
    <n v="1116.44"/>
    <n v="0"/>
    <x v="6"/>
    <n v="0"/>
    <x v="1225"/>
    <n v="2232.88"/>
    <x v="4"/>
    <n v="2025"/>
  </r>
  <r>
    <s v="TXN01227"/>
    <x v="9"/>
    <x v="4"/>
    <x v="23"/>
    <x v="6"/>
    <d v="2024-06-19T00:00:00"/>
    <x v="9"/>
    <n v="9685.3700000000008"/>
    <n v="5"/>
    <x v="1"/>
    <n v="4842.6899999999996"/>
    <x v="1226"/>
    <n v="92011.01"/>
    <x v="5"/>
    <n v="2024"/>
  </r>
  <r>
    <s v="TXN01228"/>
    <x v="12"/>
    <x v="3"/>
    <x v="15"/>
    <x v="1"/>
    <d v="2025-02-11T00:00:00"/>
    <x v="2"/>
    <n v="856.94"/>
    <n v="20"/>
    <x v="0"/>
    <n v="1371.1"/>
    <x v="1227"/>
    <n v="5484.42"/>
    <x v="2"/>
    <n v="2025"/>
  </r>
  <r>
    <s v="TXN01229"/>
    <x v="11"/>
    <x v="0"/>
    <x v="6"/>
    <x v="3"/>
    <d v="2025-07-29T00:00:00"/>
    <x v="4"/>
    <n v="25005.31"/>
    <n v="10"/>
    <x v="2"/>
    <n v="17503.72"/>
    <x v="1228"/>
    <n v="157533.45000000001"/>
    <x v="11"/>
    <n v="2025"/>
  </r>
  <r>
    <s v="TXN01230"/>
    <x v="13"/>
    <x v="1"/>
    <x v="13"/>
    <x v="4"/>
    <d v="2025-08-29T00:00:00"/>
    <x v="8"/>
    <n v="13437.47"/>
    <n v="20"/>
    <x v="0"/>
    <n v="2687.49"/>
    <x v="1229"/>
    <n v="10749.98"/>
    <x v="0"/>
    <n v="2025"/>
  </r>
  <r>
    <s v="TXN01231"/>
    <x v="0"/>
    <x v="4"/>
    <x v="14"/>
    <x v="2"/>
    <d v="2024-11-06T00:00:00"/>
    <x v="1"/>
    <n v="1607.25"/>
    <n v="10"/>
    <x v="4"/>
    <n v="642.9"/>
    <x v="1230"/>
    <n v="5786.1"/>
    <x v="8"/>
    <n v="2024"/>
  </r>
  <r>
    <s v="TXN01232"/>
    <x v="7"/>
    <x v="2"/>
    <x v="10"/>
    <x v="4"/>
    <d v="2025-06-30T00:00:00"/>
    <x v="1"/>
    <n v="2432.4"/>
    <n v="5"/>
    <x v="1"/>
    <n v="486.48"/>
    <x v="1231"/>
    <n v="9243.1200000000008"/>
    <x v="5"/>
    <n v="2025"/>
  </r>
  <r>
    <s v="TXN01233"/>
    <x v="5"/>
    <x v="3"/>
    <x v="7"/>
    <x v="3"/>
    <d v="2025-10-19T00:00:00"/>
    <x v="1"/>
    <n v="2271.8200000000002"/>
    <n v="5"/>
    <x v="1"/>
    <n v="454.36"/>
    <x v="1232"/>
    <n v="8632.92"/>
    <x v="4"/>
    <n v="2025"/>
  </r>
  <r>
    <s v="TXN01234"/>
    <x v="13"/>
    <x v="2"/>
    <x v="10"/>
    <x v="2"/>
    <d v="2025-10-09T00:00:00"/>
    <x v="9"/>
    <n v="3143.4"/>
    <n v="10"/>
    <x v="5"/>
    <n v="3143.4"/>
    <x v="1233"/>
    <n v="28290.6"/>
    <x v="4"/>
    <n v="2025"/>
  </r>
  <r>
    <s v="TXN01235"/>
    <x v="5"/>
    <x v="0"/>
    <x v="1"/>
    <x v="2"/>
    <d v="2025-02-22T00:00:00"/>
    <x v="9"/>
    <n v="2921.17"/>
    <n v="0"/>
    <x v="3"/>
    <n v="0"/>
    <x v="1234"/>
    <n v="29211.7"/>
    <x v="2"/>
    <n v="2025"/>
  </r>
  <r>
    <s v="TXN01236"/>
    <x v="2"/>
    <x v="0"/>
    <x v="3"/>
    <x v="2"/>
    <d v="2024-06-29T00:00:00"/>
    <x v="7"/>
    <n v="20572.22"/>
    <n v="20"/>
    <x v="4"/>
    <n v="20572.22"/>
    <x v="1235"/>
    <n v="82288.88"/>
    <x v="5"/>
    <n v="2024"/>
  </r>
  <r>
    <s v="TXN01237"/>
    <x v="0"/>
    <x v="2"/>
    <x v="10"/>
    <x v="2"/>
    <d v="2025-10-31T00:00:00"/>
    <x v="7"/>
    <n v="3073.14"/>
    <n v="20"/>
    <x v="2"/>
    <n v="3073.14"/>
    <x v="1236"/>
    <n v="12292.56"/>
    <x v="4"/>
    <n v="2025"/>
  </r>
  <r>
    <s v="TXN01238"/>
    <x v="4"/>
    <x v="2"/>
    <x v="5"/>
    <x v="5"/>
    <d v="2024-11-28T00:00:00"/>
    <x v="7"/>
    <n v="1255.29"/>
    <n v="15"/>
    <x v="0"/>
    <n v="941.47"/>
    <x v="1237"/>
    <n v="5334.98"/>
    <x v="8"/>
    <n v="2024"/>
  </r>
  <r>
    <s v="TXN01239"/>
    <x v="2"/>
    <x v="1"/>
    <x v="2"/>
    <x v="2"/>
    <d v="2025-01-12T00:00:00"/>
    <x v="0"/>
    <n v="28138.55"/>
    <n v="0"/>
    <x v="2"/>
    <n v="0"/>
    <x v="1238"/>
    <n v="84415.65"/>
    <x v="10"/>
    <n v="2025"/>
  </r>
  <r>
    <s v="TXN01240"/>
    <x v="11"/>
    <x v="4"/>
    <x v="18"/>
    <x v="4"/>
    <d v="2024-07-12T00:00:00"/>
    <x v="9"/>
    <n v="12271.56"/>
    <n v="5"/>
    <x v="3"/>
    <n v="6135.78"/>
    <x v="1239"/>
    <n v="116579.82"/>
    <x v="11"/>
    <n v="2024"/>
  </r>
  <r>
    <s v="TXN01241"/>
    <x v="5"/>
    <x v="3"/>
    <x v="15"/>
    <x v="4"/>
    <d v="2025-02-07T00:00:00"/>
    <x v="9"/>
    <n v="757.57"/>
    <n v="5"/>
    <x v="3"/>
    <n v="378.79"/>
    <x v="1240"/>
    <n v="7196.91"/>
    <x v="2"/>
    <n v="2025"/>
  </r>
  <r>
    <s v="TXN01242"/>
    <x v="2"/>
    <x v="0"/>
    <x v="24"/>
    <x v="5"/>
    <d v="2024-04-12T00:00:00"/>
    <x v="6"/>
    <n v="6540.26"/>
    <n v="0"/>
    <x v="2"/>
    <n v="0"/>
    <x v="1241"/>
    <n v="58862.34"/>
    <x v="1"/>
    <n v="2024"/>
  </r>
  <r>
    <s v="TXN01243"/>
    <x v="1"/>
    <x v="2"/>
    <x v="10"/>
    <x v="5"/>
    <d v="2024-04-22T00:00:00"/>
    <x v="8"/>
    <n v="2727.15"/>
    <n v="0"/>
    <x v="1"/>
    <n v="0"/>
    <x v="1242"/>
    <n v="2727.15"/>
    <x v="1"/>
    <n v="2024"/>
  </r>
  <r>
    <s v="TXN01244"/>
    <x v="10"/>
    <x v="1"/>
    <x v="13"/>
    <x v="1"/>
    <d v="2024-05-26T00:00:00"/>
    <x v="9"/>
    <n v="10840.49"/>
    <n v="0"/>
    <x v="4"/>
    <n v="0"/>
    <x v="1243"/>
    <n v="108404.9"/>
    <x v="9"/>
    <n v="2024"/>
  </r>
  <r>
    <s v="TXN01245"/>
    <x v="0"/>
    <x v="0"/>
    <x v="1"/>
    <x v="3"/>
    <d v="2025-12-25T00:00:00"/>
    <x v="5"/>
    <n v="3136.92"/>
    <n v="15"/>
    <x v="5"/>
    <n v="941.08"/>
    <x v="1244"/>
    <n v="5332.76"/>
    <x v="3"/>
    <n v="2025"/>
  </r>
  <r>
    <s v="TXN01246"/>
    <x v="4"/>
    <x v="2"/>
    <x v="9"/>
    <x v="4"/>
    <d v="2024-12-05T00:00:00"/>
    <x v="2"/>
    <n v="4646.21"/>
    <n v="0"/>
    <x v="4"/>
    <n v="0"/>
    <x v="1245"/>
    <n v="37169.68"/>
    <x v="3"/>
    <n v="2024"/>
  </r>
  <r>
    <s v="TXN01247"/>
    <x v="8"/>
    <x v="2"/>
    <x v="22"/>
    <x v="6"/>
    <d v="2024-01-22T00:00:00"/>
    <x v="8"/>
    <n v="833.13"/>
    <n v="10"/>
    <x v="7"/>
    <n v="83.31"/>
    <x v="1246"/>
    <n v="749.82"/>
    <x v="10"/>
    <n v="2024"/>
  </r>
  <r>
    <s v="TXN01248"/>
    <x v="14"/>
    <x v="0"/>
    <x v="1"/>
    <x v="3"/>
    <d v="2024-05-25T00:00:00"/>
    <x v="8"/>
    <n v="3384.13"/>
    <n v="0"/>
    <x v="2"/>
    <n v="0"/>
    <x v="1247"/>
    <n v="3384.13"/>
    <x v="9"/>
    <n v="2024"/>
  </r>
  <r>
    <s v="TXN01249"/>
    <x v="1"/>
    <x v="1"/>
    <x v="2"/>
    <x v="4"/>
    <d v="2025-11-02T00:00:00"/>
    <x v="7"/>
    <n v="26302.959999999999"/>
    <n v="15"/>
    <x v="5"/>
    <n v="19727.22"/>
    <x v="1248"/>
    <n v="111787.58"/>
    <x v="8"/>
    <n v="2025"/>
  </r>
  <r>
    <s v="TXN01250"/>
    <x v="7"/>
    <x v="0"/>
    <x v="24"/>
    <x v="1"/>
    <d v="2024-04-14T00:00:00"/>
    <x v="7"/>
    <n v="6925.29"/>
    <n v="20"/>
    <x v="0"/>
    <n v="6925.29"/>
    <x v="1249"/>
    <n v="27701.16"/>
    <x v="1"/>
    <n v="2024"/>
  </r>
  <r>
    <s v="TXN01251"/>
    <x v="3"/>
    <x v="3"/>
    <x v="15"/>
    <x v="1"/>
    <d v="2025-09-11T00:00:00"/>
    <x v="0"/>
    <n v="755.61"/>
    <n v="20"/>
    <x v="1"/>
    <n v="453.37"/>
    <x v="1250"/>
    <n v="1813.46"/>
    <x v="7"/>
    <n v="2025"/>
  </r>
  <r>
    <s v="TXN01252"/>
    <x v="7"/>
    <x v="3"/>
    <x v="21"/>
    <x v="2"/>
    <d v="2024-06-02T00:00:00"/>
    <x v="7"/>
    <n v="2640.47"/>
    <n v="10"/>
    <x v="2"/>
    <n v="1320.24"/>
    <x v="1251"/>
    <n v="11882.11"/>
    <x v="5"/>
    <n v="2024"/>
  </r>
  <r>
    <s v="TXN01253"/>
    <x v="5"/>
    <x v="3"/>
    <x v="15"/>
    <x v="5"/>
    <d v="2024-09-28T00:00:00"/>
    <x v="5"/>
    <n v="877.77"/>
    <n v="5"/>
    <x v="5"/>
    <n v="87.78"/>
    <x v="1252"/>
    <n v="1667.76"/>
    <x v="7"/>
    <n v="2024"/>
  </r>
  <r>
    <s v="TXN01254"/>
    <x v="7"/>
    <x v="1"/>
    <x v="4"/>
    <x v="5"/>
    <d v="2025-05-04T00:00:00"/>
    <x v="5"/>
    <n v="7426.33"/>
    <n v="15"/>
    <x v="6"/>
    <n v="2227.9"/>
    <x v="1253"/>
    <n v="12624.76"/>
    <x v="9"/>
    <n v="2025"/>
  </r>
  <r>
    <s v="TXN01255"/>
    <x v="6"/>
    <x v="3"/>
    <x v="7"/>
    <x v="0"/>
    <d v="2024-07-05T00:00:00"/>
    <x v="4"/>
    <n v="1778.67"/>
    <n v="15"/>
    <x v="3"/>
    <n v="1867.6"/>
    <x v="1254"/>
    <n v="10583.09"/>
    <x v="11"/>
    <n v="2024"/>
  </r>
  <r>
    <s v="TXN01256"/>
    <x v="0"/>
    <x v="4"/>
    <x v="23"/>
    <x v="5"/>
    <d v="2024-05-21T00:00:00"/>
    <x v="1"/>
    <n v="9957.9599999999991"/>
    <n v="20"/>
    <x v="5"/>
    <n v="7966.37"/>
    <x v="1255"/>
    <n v="31865.47"/>
    <x v="9"/>
    <n v="2024"/>
  </r>
  <r>
    <s v="TXN01257"/>
    <x v="9"/>
    <x v="4"/>
    <x v="14"/>
    <x v="5"/>
    <d v="2025-01-28T00:00:00"/>
    <x v="5"/>
    <n v="1567.86"/>
    <n v="15"/>
    <x v="0"/>
    <n v="470.36"/>
    <x v="1256"/>
    <n v="2665.36"/>
    <x v="10"/>
    <n v="2025"/>
  </r>
  <r>
    <s v="TXN01258"/>
    <x v="10"/>
    <x v="2"/>
    <x v="11"/>
    <x v="2"/>
    <d v="2025-12-20T00:00:00"/>
    <x v="5"/>
    <n v="5273.39"/>
    <n v="0"/>
    <x v="0"/>
    <n v="0"/>
    <x v="1257"/>
    <n v="10546.78"/>
    <x v="3"/>
    <n v="2025"/>
  </r>
  <r>
    <s v="TXN01259"/>
    <x v="3"/>
    <x v="1"/>
    <x v="12"/>
    <x v="6"/>
    <d v="2024-05-16T00:00:00"/>
    <x v="5"/>
    <n v="5489.37"/>
    <n v="10"/>
    <x v="6"/>
    <n v="1097.8699999999999"/>
    <x v="1258"/>
    <n v="9880.8700000000008"/>
    <x v="9"/>
    <n v="2024"/>
  </r>
  <r>
    <s v="TXN01260"/>
    <x v="5"/>
    <x v="3"/>
    <x v="7"/>
    <x v="5"/>
    <d v="2025-07-18T00:00:00"/>
    <x v="4"/>
    <n v="1729.12"/>
    <n v="5"/>
    <x v="3"/>
    <n v="605.19000000000005"/>
    <x v="1259"/>
    <n v="11498.65"/>
    <x v="11"/>
    <n v="2025"/>
  </r>
  <r>
    <s v="TXN01261"/>
    <x v="6"/>
    <x v="0"/>
    <x v="6"/>
    <x v="2"/>
    <d v="2025-01-21T00:00:00"/>
    <x v="8"/>
    <n v="26850.77"/>
    <n v="15"/>
    <x v="3"/>
    <n v="4027.62"/>
    <x v="1260"/>
    <n v="22823.15"/>
    <x v="10"/>
    <n v="2025"/>
  </r>
  <r>
    <s v="TXN01262"/>
    <x v="0"/>
    <x v="3"/>
    <x v="15"/>
    <x v="1"/>
    <d v="2025-05-03T00:00:00"/>
    <x v="9"/>
    <n v="894.1"/>
    <n v="0"/>
    <x v="7"/>
    <n v="0"/>
    <x v="1261"/>
    <n v="8941"/>
    <x v="9"/>
    <n v="2025"/>
  </r>
  <r>
    <s v="TXN01263"/>
    <x v="7"/>
    <x v="1"/>
    <x v="4"/>
    <x v="1"/>
    <d v="2024-03-19T00:00:00"/>
    <x v="8"/>
    <n v="8338.3700000000008"/>
    <n v="15"/>
    <x v="0"/>
    <n v="1250.76"/>
    <x v="1262"/>
    <n v="7087.61"/>
    <x v="6"/>
    <n v="2024"/>
  </r>
  <r>
    <s v="TXN01264"/>
    <x v="11"/>
    <x v="1"/>
    <x v="13"/>
    <x v="2"/>
    <d v="2025-06-24T00:00:00"/>
    <x v="7"/>
    <n v="12210.55"/>
    <n v="10"/>
    <x v="3"/>
    <n v="6105.28"/>
    <x v="1263"/>
    <n v="54947.47"/>
    <x v="5"/>
    <n v="2025"/>
  </r>
  <r>
    <s v="TXN01265"/>
    <x v="5"/>
    <x v="4"/>
    <x v="17"/>
    <x v="1"/>
    <d v="2024-03-02T00:00:00"/>
    <x v="8"/>
    <n v="3678.65"/>
    <n v="5"/>
    <x v="3"/>
    <n v="183.93"/>
    <x v="1264"/>
    <n v="3494.72"/>
    <x v="6"/>
    <n v="2024"/>
  </r>
  <r>
    <s v="TXN01266"/>
    <x v="13"/>
    <x v="2"/>
    <x v="5"/>
    <x v="5"/>
    <d v="2025-11-27T00:00:00"/>
    <x v="2"/>
    <n v="1370.87"/>
    <n v="10"/>
    <x v="2"/>
    <n v="1096.7"/>
    <x v="1265"/>
    <n v="9870.26"/>
    <x v="8"/>
    <n v="2025"/>
  </r>
  <r>
    <s v="TXN01267"/>
    <x v="5"/>
    <x v="2"/>
    <x v="11"/>
    <x v="2"/>
    <d v="2025-03-09T00:00:00"/>
    <x v="0"/>
    <n v="4839.78"/>
    <n v="0"/>
    <x v="0"/>
    <n v="0"/>
    <x v="1266"/>
    <n v="14519.34"/>
    <x v="6"/>
    <n v="2025"/>
  </r>
  <r>
    <s v="TXN01268"/>
    <x v="7"/>
    <x v="2"/>
    <x v="9"/>
    <x v="2"/>
    <d v="2025-02-14T00:00:00"/>
    <x v="9"/>
    <n v="4113"/>
    <n v="15"/>
    <x v="0"/>
    <n v="6169.5"/>
    <x v="1267"/>
    <n v="34960.5"/>
    <x v="2"/>
    <n v="2025"/>
  </r>
  <r>
    <s v="TXN01269"/>
    <x v="12"/>
    <x v="1"/>
    <x v="8"/>
    <x v="3"/>
    <d v="2025-12-10T00:00:00"/>
    <x v="2"/>
    <n v="44851.58"/>
    <n v="15"/>
    <x v="7"/>
    <n v="53821.9"/>
    <x v="1268"/>
    <n v="304990.74"/>
    <x v="3"/>
    <n v="2025"/>
  </r>
  <r>
    <s v="TXN01270"/>
    <x v="13"/>
    <x v="4"/>
    <x v="18"/>
    <x v="3"/>
    <d v="2025-10-24T00:00:00"/>
    <x v="4"/>
    <n v="12522.61"/>
    <n v="0"/>
    <x v="5"/>
    <n v="0"/>
    <x v="1269"/>
    <n v="87658.27"/>
    <x v="4"/>
    <n v="2025"/>
  </r>
  <r>
    <s v="TXN01271"/>
    <x v="3"/>
    <x v="0"/>
    <x v="0"/>
    <x v="6"/>
    <d v="2024-01-29T00:00:00"/>
    <x v="1"/>
    <n v="63085.86"/>
    <n v="20"/>
    <x v="5"/>
    <n v="50468.69"/>
    <x v="1270"/>
    <n v="201874.75"/>
    <x v="10"/>
    <n v="2024"/>
  </r>
  <r>
    <s v="TXN01272"/>
    <x v="2"/>
    <x v="0"/>
    <x v="0"/>
    <x v="6"/>
    <d v="2024-11-12T00:00:00"/>
    <x v="1"/>
    <n v="74211.48"/>
    <n v="0"/>
    <x v="1"/>
    <n v="0"/>
    <x v="1271"/>
    <n v="296845.92"/>
    <x v="8"/>
    <n v="2024"/>
  </r>
  <r>
    <s v="TXN01273"/>
    <x v="6"/>
    <x v="1"/>
    <x v="4"/>
    <x v="6"/>
    <d v="2025-07-31T00:00:00"/>
    <x v="2"/>
    <n v="7291.36"/>
    <n v="10"/>
    <x v="1"/>
    <n v="5833.09"/>
    <x v="1272"/>
    <n v="52497.79"/>
    <x v="11"/>
    <n v="2025"/>
  </r>
  <r>
    <s v="TXN01274"/>
    <x v="13"/>
    <x v="0"/>
    <x v="3"/>
    <x v="0"/>
    <d v="2025-02-11T00:00:00"/>
    <x v="6"/>
    <n v="17076.98"/>
    <n v="15"/>
    <x v="4"/>
    <n v="23053.919999999998"/>
    <x v="1273"/>
    <n v="130638.9"/>
    <x v="2"/>
    <n v="2025"/>
  </r>
  <r>
    <s v="TXN01275"/>
    <x v="0"/>
    <x v="3"/>
    <x v="7"/>
    <x v="2"/>
    <d v="2024-12-05T00:00:00"/>
    <x v="4"/>
    <n v="2225.77"/>
    <n v="20"/>
    <x v="7"/>
    <n v="3116.08"/>
    <x v="1274"/>
    <n v="12464.31"/>
    <x v="3"/>
    <n v="2024"/>
  </r>
  <r>
    <s v="TXN01276"/>
    <x v="10"/>
    <x v="0"/>
    <x v="1"/>
    <x v="3"/>
    <d v="2024-01-25T00:00:00"/>
    <x v="9"/>
    <n v="3297.05"/>
    <n v="15"/>
    <x v="3"/>
    <n v="4945.57"/>
    <x v="1275"/>
    <n v="28024.93"/>
    <x v="10"/>
    <n v="2024"/>
  </r>
  <r>
    <s v="TXN01277"/>
    <x v="5"/>
    <x v="2"/>
    <x v="10"/>
    <x v="4"/>
    <d v="2025-11-29T00:00:00"/>
    <x v="2"/>
    <n v="2529.14"/>
    <n v="0"/>
    <x v="3"/>
    <n v="0"/>
    <x v="1276"/>
    <n v="20233.12"/>
    <x v="8"/>
    <n v="2025"/>
  </r>
  <r>
    <s v="TXN01278"/>
    <x v="10"/>
    <x v="1"/>
    <x v="13"/>
    <x v="2"/>
    <d v="2024-06-13T00:00:00"/>
    <x v="6"/>
    <n v="12348.9"/>
    <n v="20"/>
    <x v="3"/>
    <n v="22228.02"/>
    <x v="1277"/>
    <n v="88912.08"/>
    <x v="5"/>
    <n v="2024"/>
  </r>
  <r>
    <s v="TXN01279"/>
    <x v="11"/>
    <x v="2"/>
    <x v="22"/>
    <x v="3"/>
    <d v="2024-12-13T00:00:00"/>
    <x v="7"/>
    <n v="980.18"/>
    <n v="15"/>
    <x v="3"/>
    <n v="735.13"/>
    <x v="1278"/>
    <n v="4165.7700000000004"/>
    <x v="3"/>
    <n v="2024"/>
  </r>
  <r>
    <s v="TXN01280"/>
    <x v="2"/>
    <x v="0"/>
    <x v="24"/>
    <x v="4"/>
    <d v="2024-06-05T00:00:00"/>
    <x v="9"/>
    <n v="7398.63"/>
    <n v="15"/>
    <x v="7"/>
    <n v="11097.94"/>
    <x v="1279"/>
    <n v="62888.36"/>
    <x v="5"/>
    <n v="2024"/>
  </r>
  <r>
    <s v="TXN01281"/>
    <x v="7"/>
    <x v="0"/>
    <x v="0"/>
    <x v="3"/>
    <d v="2025-07-14T00:00:00"/>
    <x v="5"/>
    <n v="66607.320000000007"/>
    <n v="15"/>
    <x v="4"/>
    <n v="19982.2"/>
    <x v="1280"/>
    <n v="113232.44"/>
    <x v="11"/>
    <n v="2025"/>
  </r>
  <r>
    <s v="TXN01282"/>
    <x v="14"/>
    <x v="3"/>
    <x v="7"/>
    <x v="0"/>
    <d v="2024-03-10T00:00:00"/>
    <x v="7"/>
    <n v="1879.43"/>
    <n v="10"/>
    <x v="3"/>
    <n v="939.72"/>
    <x v="1281"/>
    <n v="8457.43"/>
    <x v="6"/>
    <n v="2024"/>
  </r>
  <r>
    <s v="TXN01283"/>
    <x v="7"/>
    <x v="0"/>
    <x v="0"/>
    <x v="2"/>
    <d v="2024-09-21T00:00:00"/>
    <x v="2"/>
    <n v="74400.36"/>
    <n v="15"/>
    <x v="6"/>
    <n v="89280.43"/>
    <x v="1282"/>
    <n v="505922.45"/>
    <x v="7"/>
    <n v="2024"/>
  </r>
  <r>
    <s v="TXN01284"/>
    <x v="12"/>
    <x v="1"/>
    <x v="12"/>
    <x v="5"/>
    <d v="2025-01-07T00:00:00"/>
    <x v="7"/>
    <n v="6001.41"/>
    <n v="20"/>
    <x v="1"/>
    <n v="6001.41"/>
    <x v="1283"/>
    <n v="24005.64"/>
    <x v="10"/>
    <n v="2025"/>
  </r>
  <r>
    <s v="TXN01285"/>
    <x v="3"/>
    <x v="1"/>
    <x v="2"/>
    <x v="6"/>
    <d v="2025-01-17T00:00:00"/>
    <x v="5"/>
    <n v="26763.759999999998"/>
    <n v="20"/>
    <x v="5"/>
    <n v="10705.5"/>
    <x v="1284"/>
    <n v="42822.02"/>
    <x v="10"/>
    <n v="2025"/>
  </r>
  <r>
    <s v="TXN01286"/>
    <x v="14"/>
    <x v="4"/>
    <x v="19"/>
    <x v="2"/>
    <d v="2025-09-27T00:00:00"/>
    <x v="8"/>
    <n v="8682.09"/>
    <n v="5"/>
    <x v="1"/>
    <n v="434.1"/>
    <x v="1285"/>
    <n v="8247.99"/>
    <x v="7"/>
    <n v="2025"/>
  </r>
  <r>
    <s v="TXN01287"/>
    <x v="7"/>
    <x v="2"/>
    <x v="10"/>
    <x v="3"/>
    <d v="2024-10-24T00:00:00"/>
    <x v="4"/>
    <n v="2583.77"/>
    <n v="15"/>
    <x v="7"/>
    <n v="2712.96"/>
    <x v="1286"/>
    <n v="15373.43"/>
    <x v="4"/>
    <n v="2024"/>
  </r>
  <r>
    <s v="TXN01288"/>
    <x v="1"/>
    <x v="0"/>
    <x v="6"/>
    <x v="3"/>
    <d v="2025-11-16T00:00:00"/>
    <x v="5"/>
    <n v="27148.95"/>
    <n v="15"/>
    <x v="6"/>
    <n v="8144.68"/>
    <x v="1287"/>
    <n v="46153.22"/>
    <x v="8"/>
    <n v="2025"/>
  </r>
  <r>
    <s v="TXN01289"/>
    <x v="6"/>
    <x v="2"/>
    <x v="9"/>
    <x v="1"/>
    <d v="2024-04-20T00:00:00"/>
    <x v="4"/>
    <n v="4914.24"/>
    <n v="5"/>
    <x v="3"/>
    <n v="1719.98"/>
    <x v="1288"/>
    <n v="32679.7"/>
    <x v="1"/>
    <n v="2024"/>
  </r>
  <r>
    <s v="TXN01290"/>
    <x v="6"/>
    <x v="4"/>
    <x v="19"/>
    <x v="0"/>
    <d v="2025-09-10T00:00:00"/>
    <x v="2"/>
    <n v="7625.27"/>
    <n v="15"/>
    <x v="5"/>
    <n v="9150.32"/>
    <x v="1289"/>
    <n v="51851.839999999997"/>
    <x v="7"/>
    <n v="2025"/>
  </r>
  <r>
    <s v="TXN01291"/>
    <x v="11"/>
    <x v="0"/>
    <x v="3"/>
    <x v="1"/>
    <d v="2025-04-26T00:00:00"/>
    <x v="0"/>
    <n v="19080.97"/>
    <n v="10"/>
    <x v="3"/>
    <n v="5724.29"/>
    <x v="1290"/>
    <n v="51518.62"/>
    <x v="1"/>
    <n v="2025"/>
  </r>
  <r>
    <s v="TXN01292"/>
    <x v="12"/>
    <x v="2"/>
    <x v="10"/>
    <x v="3"/>
    <d v="2024-03-04T00:00:00"/>
    <x v="3"/>
    <n v="2743.47"/>
    <n v="15"/>
    <x v="2"/>
    <n v="2469.12"/>
    <x v="1291"/>
    <n v="13991.7"/>
    <x v="6"/>
    <n v="2024"/>
  </r>
  <r>
    <s v="TXN01293"/>
    <x v="2"/>
    <x v="1"/>
    <x v="12"/>
    <x v="3"/>
    <d v="2025-12-01T00:00:00"/>
    <x v="4"/>
    <n v="6385.25"/>
    <n v="5"/>
    <x v="1"/>
    <n v="2234.84"/>
    <x v="1292"/>
    <n v="42461.91"/>
    <x v="3"/>
    <n v="2025"/>
  </r>
  <r>
    <s v="TXN01294"/>
    <x v="6"/>
    <x v="0"/>
    <x v="6"/>
    <x v="0"/>
    <d v="2024-03-24T00:00:00"/>
    <x v="7"/>
    <n v="27961.1"/>
    <n v="15"/>
    <x v="2"/>
    <n v="20970.830000000002"/>
    <x v="1293"/>
    <n v="118834.67"/>
    <x v="6"/>
    <n v="2024"/>
  </r>
  <r>
    <s v="TXN01295"/>
    <x v="2"/>
    <x v="4"/>
    <x v="14"/>
    <x v="2"/>
    <d v="2024-07-07T00:00:00"/>
    <x v="8"/>
    <n v="1384.67"/>
    <n v="15"/>
    <x v="4"/>
    <n v="207.7"/>
    <x v="1294"/>
    <n v="1176.97"/>
    <x v="11"/>
    <n v="2024"/>
  </r>
  <r>
    <s v="TXN01296"/>
    <x v="7"/>
    <x v="3"/>
    <x v="20"/>
    <x v="4"/>
    <d v="2025-03-05T00:00:00"/>
    <x v="2"/>
    <n v="3566.06"/>
    <n v="5"/>
    <x v="5"/>
    <n v="1426.42"/>
    <x v="1295"/>
    <n v="27102.06"/>
    <x v="6"/>
    <n v="2025"/>
  </r>
  <r>
    <s v="TXN01297"/>
    <x v="14"/>
    <x v="4"/>
    <x v="19"/>
    <x v="2"/>
    <d v="2024-01-11T00:00:00"/>
    <x v="6"/>
    <n v="8766.14"/>
    <n v="20"/>
    <x v="2"/>
    <n v="15779.05"/>
    <x v="1296"/>
    <n v="63116.21"/>
    <x v="10"/>
    <n v="2024"/>
  </r>
  <r>
    <s v="TXN01298"/>
    <x v="0"/>
    <x v="1"/>
    <x v="12"/>
    <x v="2"/>
    <d v="2024-11-27T00:00:00"/>
    <x v="3"/>
    <n v="5963.41"/>
    <n v="15"/>
    <x v="3"/>
    <n v="5367.07"/>
    <x v="1297"/>
    <n v="30413.39"/>
    <x v="8"/>
    <n v="2024"/>
  </r>
  <r>
    <s v="TXN01299"/>
    <x v="4"/>
    <x v="1"/>
    <x v="2"/>
    <x v="0"/>
    <d v="2025-11-21T00:00:00"/>
    <x v="4"/>
    <n v="26556.77"/>
    <n v="0"/>
    <x v="7"/>
    <n v="0"/>
    <x v="1298"/>
    <n v="185897.39"/>
    <x v="8"/>
    <n v="2025"/>
  </r>
  <r>
    <s v="TXN01300"/>
    <x v="8"/>
    <x v="4"/>
    <x v="18"/>
    <x v="5"/>
    <d v="2024-02-07T00:00:00"/>
    <x v="1"/>
    <n v="13037.12"/>
    <n v="5"/>
    <x v="7"/>
    <n v="2607.42"/>
    <x v="1299"/>
    <n v="49541.06"/>
    <x v="2"/>
    <n v="2024"/>
  </r>
  <r>
    <s v="TXN01301"/>
    <x v="10"/>
    <x v="4"/>
    <x v="14"/>
    <x v="4"/>
    <d v="2024-08-09T00:00:00"/>
    <x v="3"/>
    <n v="1428.66"/>
    <n v="5"/>
    <x v="2"/>
    <n v="428.6"/>
    <x v="1300"/>
    <n v="8143.36"/>
    <x v="0"/>
    <n v="2024"/>
  </r>
  <r>
    <s v="TXN01302"/>
    <x v="3"/>
    <x v="2"/>
    <x v="10"/>
    <x v="3"/>
    <d v="2024-01-17T00:00:00"/>
    <x v="7"/>
    <n v="2810.41"/>
    <n v="20"/>
    <x v="5"/>
    <n v="2810.41"/>
    <x v="1301"/>
    <n v="11241.64"/>
    <x v="10"/>
    <n v="2024"/>
  </r>
  <r>
    <s v="TXN01303"/>
    <x v="8"/>
    <x v="0"/>
    <x v="24"/>
    <x v="5"/>
    <d v="2025-02-24T00:00:00"/>
    <x v="3"/>
    <n v="6916.37"/>
    <n v="20"/>
    <x v="2"/>
    <n v="8299.64"/>
    <x v="1302"/>
    <n v="33198.58"/>
    <x v="2"/>
    <n v="2025"/>
  </r>
  <r>
    <s v="TXN01304"/>
    <x v="10"/>
    <x v="4"/>
    <x v="14"/>
    <x v="0"/>
    <d v="2024-06-29T00:00:00"/>
    <x v="2"/>
    <n v="1510.64"/>
    <n v="5"/>
    <x v="7"/>
    <n v="604.26"/>
    <x v="1303"/>
    <n v="11480.86"/>
    <x v="5"/>
    <n v="2024"/>
  </r>
  <r>
    <s v="TXN01305"/>
    <x v="7"/>
    <x v="2"/>
    <x v="11"/>
    <x v="6"/>
    <d v="2025-01-25T00:00:00"/>
    <x v="7"/>
    <n v="5556.36"/>
    <n v="15"/>
    <x v="2"/>
    <n v="4167.2700000000004"/>
    <x v="1304"/>
    <n v="23614.53"/>
    <x v="10"/>
    <n v="2025"/>
  </r>
  <r>
    <s v="TXN01306"/>
    <x v="14"/>
    <x v="3"/>
    <x v="21"/>
    <x v="3"/>
    <d v="2024-03-30T00:00:00"/>
    <x v="5"/>
    <n v="2306.02"/>
    <n v="0"/>
    <x v="7"/>
    <n v="0"/>
    <x v="1305"/>
    <n v="4612.04"/>
    <x v="6"/>
    <n v="2024"/>
  </r>
  <r>
    <s v="TXN01307"/>
    <x v="6"/>
    <x v="2"/>
    <x v="9"/>
    <x v="5"/>
    <d v="2025-10-10T00:00:00"/>
    <x v="2"/>
    <n v="5077.91"/>
    <n v="0"/>
    <x v="7"/>
    <n v="0"/>
    <x v="1306"/>
    <n v="40623.279999999999"/>
    <x v="4"/>
    <n v="2025"/>
  </r>
  <r>
    <s v="TXN01308"/>
    <x v="2"/>
    <x v="3"/>
    <x v="16"/>
    <x v="4"/>
    <d v="2025-07-18T00:00:00"/>
    <x v="4"/>
    <n v="1392.94"/>
    <n v="15"/>
    <x v="6"/>
    <n v="1462.59"/>
    <x v="1307"/>
    <n v="8287.99"/>
    <x v="11"/>
    <n v="2025"/>
  </r>
  <r>
    <s v="TXN01309"/>
    <x v="10"/>
    <x v="0"/>
    <x v="3"/>
    <x v="5"/>
    <d v="2025-10-22T00:00:00"/>
    <x v="4"/>
    <n v="17857.650000000001"/>
    <n v="10"/>
    <x v="2"/>
    <n v="12500.36"/>
    <x v="1308"/>
    <n v="112503.19"/>
    <x v="4"/>
    <n v="2025"/>
  </r>
  <r>
    <s v="TXN01310"/>
    <x v="5"/>
    <x v="1"/>
    <x v="8"/>
    <x v="0"/>
    <d v="2024-11-10T00:00:00"/>
    <x v="4"/>
    <n v="47006.31"/>
    <n v="0"/>
    <x v="4"/>
    <n v="0"/>
    <x v="1309"/>
    <n v="329044.17"/>
    <x v="8"/>
    <n v="2024"/>
  </r>
  <r>
    <s v="TXN01311"/>
    <x v="13"/>
    <x v="4"/>
    <x v="17"/>
    <x v="1"/>
    <d v="2025-01-18T00:00:00"/>
    <x v="6"/>
    <n v="3867.53"/>
    <n v="20"/>
    <x v="3"/>
    <n v="6961.55"/>
    <x v="1310"/>
    <n v="27846.22"/>
    <x v="10"/>
    <n v="2025"/>
  </r>
  <r>
    <s v="TXN01312"/>
    <x v="7"/>
    <x v="3"/>
    <x v="20"/>
    <x v="6"/>
    <d v="2024-09-04T00:00:00"/>
    <x v="6"/>
    <n v="4001.8"/>
    <n v="5"/>
    <x v="2"/>
    <n v="1800.81"/>
    <x v="1311"/>
    <n v="34215.39"/>
    <x v="7"/>
    <n v="2024"/>
  </r>
  <r>
    <s v="TXN01313"/>
    <x v="4"/>
    <x v="2"/>
    <x v="9"/>
    <x v="1"/>
    <d v="2024-05-11T00:00:00"/>
    <x v="4"/>
    <n v="5149.53"/>
    <n v="5"/>
    <x v="2"/>
    <n v="1802.34"/>
    <x v="1312"/>
    <n v="34244.370000000003"/>
    <x v="9"/>
    <n v="2024"/>
  </r>
  <r>
    <s v="TXN01314"/>
    <x v="9"/>
    <x v="4"/>
    <x v="19"/>
    <x v="4"/>
    <d v="2024-08-24T00:00:00"/>
    <x v="5"/>
    <n v="8620.0499999999993"/>
    <n v="5"/>
    <x v="2"/>
    <n v="862"/>
    <x v="1313"/>
    <n v="16378.1"/>
    <x v="0"/>
    <n v="2024"/>
  </r>
  <r>
    <s v="TXN01315"/>
    <x v="8"/>
    <x v="2"/>
    <x v="10"/>
    <x v="6"/>
    <d v="2025-10-04T00:00:00"/>
    <x v="7"/>
    <n v="3050.67"/>
    <n v="5"/>
    <x v="2"/>
    <n v="762.67"/>
    <x v="1314"/>
    <n v="14490.68"/>
    <x v="4"/>
    <n v="2025"/>
  </r>
  <r>
    <s v="TXN01316"/>
    <x v="6"/>
    <x v="3"/>
    <x v="7"/>
    <x v="1"/>
    <d v="2025-03-23T00:00:00"/>
    <x v="8"/>
    <n v="1903"/>
    <n v="20"/>
    <x v="1"/>
    <n v="380.6"/>
    <x v="1315"/>
    <n v="1522.4"/>
    <x v="6"/>
    <n v="2025"/>
  </r>
  <r>
    <s v="TXN01317"/>
    <x v="12"/>
    <x v="1"/>
    <x v="12"/>
    <x v="2"/>
    <d v="2025-08-08T00:00:00"/>
    <x v="4"/>
    <n v="5437.93"/>
    <n v="5"/>
    <x v="7"/>
    <n v="1903.28"/>
    <x v="1316"/>
    <n v="36162.230000000003"/>
    <x v="0"/>
    <n v="2025"/>
  </r>
  <r>
    <s v="TXN01318"/>
    <x v="7"/>
    <x v="4"/>
    <x v="19"/>
    <x v="4"/>
    <d v="2024-10-31T00:00:00"/>
    <x v="1"/>
    <n v="9097.92"/>
    <n v="5"/>
    <x v="0"/>
    <n v="1819.58"/>
    <x v="1317"/>
    <n v="34572.1"/>
    <x v="4"/>
    <n v="2024"/>
  </r>
  <r>
    <s v="TXN01319"/>
    <x v="8"/>
    <x v="4"/>
    <x v="19"/>
    <x v="1"/>
    <d v="2024-03-25T00:00:00"/>
    <x v="0"/>
    <n v="8454.8799999999992"/>
    <n v="20"/>
    <x v="4"/>
    <n v="5072.93"/>
    <x v="1318"/>
    <n v="20291.71"/>
    <x v="6"/>
    <n v="2024"/>
  </r>
  <r>
    <s v="TXN01320"/>
    <x v="11"/>
    <x v="0"/>
    <x v="0"/>
    <x v="6"/>
    <d v="2024-04-19T00:00:00"/>
    <x v="0"/>
    <n v="63090.02"/>
    <n v="5"/>
    <x v="7"/>
    <n v="9463.5"/>
    <x v="1319"/>
    <n v="179806.56"/>
    <x v="1"/>
    <n v="2024"/>
  </r>
  <r>
    <s v="TXN01321"/>
    <x v="11"/>
    <x v="0"/>
    <x v="0"/>
    <x v="3"/>
    <d v="2024-07-31T00:00:00"/>
    <x v="4"/>
    <n v="60135.92"/>
    <n v="0"/>
    <x v="5"/>
    <n v="0"/>
    <x v="1320"/>
    <n v="420951.44"/>
    <x v="11"/>
    <n v="2024"/>
  </r>
  <r>
    <s v="TXN01322"/>
    <x v="11"/>
    <x v="4"/>
    <x v="17"/>
    <x v="2"/>
    <d v="2024-08-03T00:00:00"/>
    <x v="4"/>
    <n v="3478.35"/>
    <n v="10"/>
    <x v="7"/>
    <n v="2434.85"/>
    <x v="1321"/>
    <n v="21913.599999999999"/>
    <x v="0"/>
    <n v="2024"/>
  </r>
  <r>
    <s v="TXN01323"/>
    <x v="7"/>
    <x v="4"/>
    <x v="18"/>
    <x v="0"/>
    <d v="2024-07-01T00:00:00"/>
    <x v="9"/>
    <n v="12693.64"/>
    <n v="0"/>
    <x v="1"/>
    <n v="0"/>
    <x v="1322"/>
    <n v="126936.4"/>
    <x v="11"/>
    <n v="2024"/>
  </r>
  <r>
    <s v="TXN01324"/>
    <x v="3"/>
    <x v="0"/>
    <x v="3"/>
    <x v="5"/>
    <d v="2024-06-11T00:00:00"/>
    <x v="6"/>
    <n v="19537.64"/>
    <n v="0"/>
    <x v="1"/>
    <n v="0"/>
    <x v="1323"/>
    <n v="175838.76"/>
    <x v="5"/>
    <n v="2024"/>
  </r>
  <r>
    <s v="TXN01325"/>
    <x v="13"/>
    <x v="1"/>
    <x v="8"/>
    <x v="6"/>
    <d v="2025-06-14T00:00:00"/>
    <x v="6"/>
    <n v="43609.61"/>
    <n v="5"/>
    <x v="1"/>
    <n v="19624.32"/>
    <x v="1324"/>
    <n v="372862.17"/>
    <x v="5"/>
    <n v="2025"/>
  </r>
  <r>
    <s v="TXN01326"/>
    <x v="14"/>
    <x v="3"/>
    <x v="15"/>
    <x v="4"/>
    <d v="2024-12-01T00:00:00"/>
    <x v="0"/>
    <n v="840.35"/>
    <n v="5"/>
    <x v="1"/>
    <n v="126.05"/>
    <x v="1325"/>
    <n v="2395"/>
    <x v="3"/>
    <n v="2024"/>
  </r>
  <r>
    <s v="TXN01327"/>
    <x v="11"/>
    <x v="3"/>
    <x v="20"/>
    <x v="4"/>
    <d v="2024-12-22T00:00:00"/>
    <x v="6"/>
    <n v="4092.48"/>
    <n v="15"/>
    <x v="7"/>
    <n v="5524.85"/>
    <x v="1326"/>
    <n v="31307.47"/>
    <x v="3"/>
    <n v="2024"/>
  </r>
  <r>
    <s v="TXN01328"/>
    <x v="9"/>
    <x v="4"/>
    <x v="23"/>
    <x v="5"/>
    <d v="2024-09-13T00:00:00"/>
    <x v="0"/>
    <n v="9494.69"/>
    <n v="10"/>
    <x v="0"/>
    <n v="2848.41"/>
    <x v="1327"/>
    <n v="25635.66"/>
    <x v="7"/>
    <n v="2024"/>
  </r>
  <r>
    <s v="TXN01329"/>
    <x v="12"/>
    <x v="4"/>
    <x v="17"/>
    <x v="3"/>
    <d v="2024-06-18T00:00:00"/>
    <x v="1"/>
    <n v="3984.54"/>
    <n v="15"/>
    <x v="4"/>
    <n v="2390.7199999999998"/>
    <x v="1328"/>
    <n v="13547.44"/>
    <x v="5"/>
    <n v="2024"/>
  </r>
  <r>
    <s v="TXN01330"/>
    <x v="1"/>
    <x v="4"/>
    <x v="23"/>
    <x v="6"/>
    <d v="2024-11-22T00:00:00"/>
    <x v="9"/>
    <n v="10195.790000000001"/>
    <n v="15"/>
    <x v="4"/>
    <n v="15293.68"/>
    <x v="1329"/>
    <n v="86664.22"/>
    <x v="8"/>
    <n v="2024"/>
  </r>
  <r>
    <s v="TXN01331"/>
    <x v="12"/>
    <x v="4"/>
    <x v="18"/>
    <x v="0"/>
    <d v="2025-10-09T00:00:00"/>
    <x v="5"/>
    <n v="13363.03"/>
    <n v="0"/>
    <x v="5"/>
    <n v="0"/>
    <x v="1330"/>
    <n v="26726.06"/>
    <x v="4"/>
    <n v="2025"/>
  </r>
  <r>
    <s v="TXN01332"/>
    <x v="12"/>
    <x v="2"/>
    <x v="22"/>
    <x v="5"/>
    <d v="2025-09-10T00:00:00"/>
    <x v="6"/>
    <n v="889.26"/>
    <n v="0"/>
    <x v="4"/>
    <n v="0"/>
    <x v="1331"/>
    <n v="8003.34"/>
    <x v="7"/>
    <n v="2025"/>
  </r>
  <r>
    <s v="TXN01333"/>
    <x v="10"/>
    <x v="0"/>
    <x v="6"/>
    <x v="0"/>
    <d v="2024-07-09T00:00:00"/>
    <x v="3"/>
    <n v="24033.24"/>
    <n v="5"/>
    <x v="2"/>
    <n v="7209.97"/>
    <x v="1332"/>
    <n v="136989.47"/>
    <x v="11"/>
    <n v="2024"/>
  </r>
  <r>
    <s v="TXN01334"/>
    <x v="7"/>
    <x v="3"/>
    <x v="20"/>
    <x v="3"/>
    <d v="2024-05-05T00:00:00"/>
    <x v="8"/>
    <n v="3428.77"/>
    <n v="0"/>
    <x v="5"/>
    <n v="0"/>
    <x v="1333"/>
    <n v="3428.77"/>
    <x v="9"/>
    <n v="2024"/>
  </r>
  <r>
    <s v="TXN01335"/>
    <x v="11"/>
    <x v="3"/>
    <x v="7"/>
    <x v="6"/>
    <d v="2024-08-26T00:00:00"/>
    <x v="6"/>
    <n v="1649.81"/>
    <n v="10"/>
    <x v="5"/>
    <n v="1484.83"/>
    <x v="1334"/>
    <n v="13363.46"/>
    <x v="0"/>
    <n v="2024"/>
  </r>
  <r>
    <s v="TXN01336"/>
    <x v="9"/>
    <x v="2"/>
    <x v="5"/>
    <x v="4"/>
    <d v="2025-07-28T00:00:00"/>
    <x v="7"/>
    <n v="1294.8800000000001"/>
    <n v="0"/>
    <x v="7"/>
    <n v="0"/>
    <x v="1335"/>
    <n v="6474.4"/>
    <x v="11"/>
    <n v="2025"/>
  </r>
  <r>
    <s v="TXN01337"/>
    <x v="8"/>
    <x v="2"/>
    <x v="9"/>
    <x v="3"/>
    <d v="2024-11-21T00:00:00"/>
    <x v="3"/>
    <n v="4700.21"/>
    <n v="0"/>
    <x v="2"/>
    <n v="0"/>
    <x v="1336"/>
    <n v="28201.26"/>
    <x v="8"/>
    <n v="2024"/>
  </r>
  <r>
    <s v="TXN01338"/>
    <x v="13"/>
    <x v="4"/>
    <x v="23"/>
    <x v="0"/>
    <d v="2024-05-02T00:00:00"/>
    <x v="5"/>
    <n v="10131.959999999999"/>
    <n v="20"/>
    <x v="2"/>
    <n v="4052.78"/>
    <x v="1337"/>
    <n v="16211.14"/>
    <x v="9"/>
    <n v="2024"/>
  </r>
  <r>
    <s v="TXN01339"/>
    <x v="1"/>
    <x v="3"/>
    <x v="21"/>
    <x v="4"/>
    <d v="2024-10-18T00:00:00"/>
    <x v="8"/>
    <n v="2917.52"/>
    <n v="20"/>
    <x v="1"/>
    <n v="583.5"/>
    <x v="1338"/>
    <n v="2334.02"/>
    <x v="4"/>
    <n v="2024"/>
  </r>
  <r>
    <s v="TXN01340"/>
    <x v="5"/>
    <x v="0"/>
    <x v="24"/>
    <x v="4"/>
    <d v="2024-02-07T00:00:00"/>
    <x v="6"/>
    <n v="7906.56"/>
    <n v="0"/>
    <x v="2"/>
    <n v="0"/>
    <x v="1339"/>
    <n v="71159.039999999994"/>
    <x v="2"/>
    <n v="2024"/>
  </r>
  <r>
    <s v="TXN01341"/>
    <x v="6"/>
    <x v="3"/>
    <x v="15"/>
    <x v="5"/>
    <d v="2025-03-01T00:00:00"/>
    <x v="7"/>
    <n v="774.93"/>
    <n v="10"/>
    <x v="7"/>
    <n v="387.47"/>
    <x v="1340"/>
    <n v="3487.18"/>
    <x v="6"/>
    <n v="2025"/>
  </r>
  <r>
    <s v="TXN01342"/>
    <x v="9"/>
    <x v="4"/>
    <x v="17"/>
    <x v="3"/>
    <d v="2025-05-20T00:00:00"/>
    <x v="9"/>
    <n v="3191.19"/>
    <n v="10"/>
    <x v="5"/>
    <n v="3191.19"/>
    <x v="1341"/>
    <n v="28720.71"/>
    <x v="9"/>
    <n v="2025"/>
  </r>
  <r>
    <s v="TXN01343"/>
    <x v="4"/>
    <x v="4"/>
    <x v="23"/>
    <x v="2"/>
    <d v="2025-01-17T00:00:00"/>
    <x v="9"/>
    <n v="9256.86"/>
    <n v="5"/>
    <x v="7"/>
    <n v="4628.43"/>
    <x v="1342"/>
    <n v="87940.17"/>
    <x v="10"/>
    <n v="2025"/>
  </r>
  <r>
    <s v="TXN01344"/>
    <x v="7"/>
    <x v="0"/>
    <x v="0"/>
    <x v="1"/>
    <d v="2025-12-05T00:00:00"/>
    <x v="4"/>
    <n v="68395.850000000006"/>
    <n v="0"/>
    <x v="5"/>
    <n v="0"/>
    <x v="1343"/>
    <n v="478770.95"/>
    <x v="3"/>
    <n v="2025"/>
  </r>
  <r>
    <s v="TXN01345"/>
    <x v="4"/>
    <x v="1"/>
    <x v="4"/>
    <x v="6"/>
    <d v="2025-12-05T00:00:00"/>
    <x v="8"/>
    <n v="8491.31"/>
    <n v="0"/>
    <x v="1"/>
    <n v="0"/>
    <x v="1344"/>
    <n v="8491.31"/>
    <x v="3"/>
    <n v="2025"/>
  </r>
  <r>
    <s v="TXN01346"/>
    <x v="5"/>
    <x v="0"/>
    <x v="0"/>
    <x v="1"/>
    <d v="2024-12-03T00:00:00"/>
    <x v="9"/>
    <n v="78500.350000000006"/>
    <n v="15"/>
    <x v="4"/>
    <n v="117750.52"/>
    <x v="1345"/>
    <n v="667252.98"/>
    <x v="3"/>
    <n v="2024"/>
  </r>
  <r>
    <s v="TXN01347"/>
    <x v="14"/>
    <x v="3"/>
    <x v="7"/>
    <x v="4"/>
    <d v="2024-05-02T00:00:00"/>
    <x v="0"/>
    <n v="1763.7"/>
    <n v="5"/>
    <x v="6"/>
    <n v="264.56"/>
    <x v="1346"/>
    <n v="5026.54"/>
    <x v="9"/>
    <n v="2024"/>
  </r>
  <r>
    <s v="TXN01348"/>
    <x v="8"/>
    <x v="2"/>
    <x v="9"/>
    <x v="5"/>
    <d v="2025-06-18T00:00:00"/>
    <x v="6"/>
    <n v="4320.59"/>
    <n v="15"/>
    <x v="7"/>
    <n v="5832.8"/>
    <x v="1347"/>
    <n v="33052.51"/>
    <x v="5"/>
    <n v="2025"/>
  </r>
  <r>
    <s v="TXN01349"/>
    <x v="3"/>
    <x v="4"/>
    <x v="19"/>
    <x v="3"/>
    <d v="2024-08-19T00:00:00"/>
    <x v="5"/>
    <n v="7727.62"/>
    <n v="10"/>
    <x v="6"/>
    <n v="1545.52"/>
    <x v="1348"/>
    <n v="13909.72"/>
    <x v="0"/>
    <n v="2024"/>
  </r>
  <r>
    <s v="TXN01350"/>
    <x v="9"/>
    <x v="0"/>
    <x v="3"/>
    <x v="3"/>
    <d v="2025-11-06T00:00:00"/>
    <x v="1"/>
    <n v="21260.080000000002"/>
    <n v="0"/>
    <x v="0"/>
    <n v="0"/>
    <x v="1349"/>
    <n v="85040.320000000007"/>
    <x v="8"/>
    <n v="2025"/>
  </r>
  <r>
    <s v="TXN01351"/>
    <x v="2"/>
    <x v="4"/>
    <x v="17"/>
    <x v="1"/>
    <d v="2025-04-24T00:00:00"/>
    <x v="4"/>
    <n v="3314.43"/>
    <n v="0"/>
    <x v="0"/>
    <n v="0"/>
    <x v="1350"/>
    <n v="23201.01"/>
    <x v="1"/>
    <n v="2025"/>
  </r>
  <r>
    <s v="TXN01352"/>
    <x v="4"/>
    <x v="3"/>
    <x v="7"/>
    <x v="6"/>
    <d v="2024-11-15T00:00:00"/>
    <x v="2"/>
    <n v="2106.37"/>
    <n v="20"/>
    <x v="5"/>
    <n v="3370.19"/>
    <x v="1351"/>
    <n v="13480.77"/>
    <x v="8"/>
    <n v="2024"/>
  </r>
  <r>
    <s v="TXN01353"/>
    <x v="2"/>
    <x v="0"/>
    <x v="6"/>
    <x v="0"/>
    <d v="2025-04-08T00:00:00"/>
    <x v="9"/>
    <n v="25709.15"/>
    <n v="15"/>
    <x v="2"/>
    <n v="38563.72"/>
    <x v="1352"/>
    <n v="218527.78"/>
    <x v="1"/>
    <n v="2025"/>
  </r>
  <r>
    <s v="TXN01354"/>
    <x v="5"/>
    <x v="1"/>
    <x v="12"/>
    <x v="5"/>
    <d v="2025-12-03T00:00:00"/>
    <x v="7"/>
    <n v="7509.97"/>
    <n v="20"/>
    <x v="3"/>
    <n v="7509.97"/>
    <x v="1353"/>
    <n v="30039.88"/>
    <x v="3"/>
    <n v="2025"/>
  </r>
  <r>
    <s v="TXN01355"/>
    <x v="11"/>
    <x v="0"/>
    <x v="6"/>
    <x v="1"/>
    <d v="2024-09-03T00:00:00"/>
    <x v="8"/>
    <n v="28088.11"/>
    <n v="5"/>
    <x v="7"/>
    <n v="1404.41"/>
    <x v="1354"/>
    <n v="26683.7"/>
    <x v="7"/>
    <n v="2024"/>
  </r>
  <r>
    <s v="TXN01356"/>
    <x v="11"/>
    <x v="3"/>
    <x v="15"/>
    <x v="2"/>
    <d v="2024-12-26T00:00:00"/>
    <x v="7"/>
    <n v="818.03"/>
    <n v="20"/>
    <x v="6"/>
    <n v="818.03"/>
    <x v="1355"/>
    <n v="3272.12"/>
    <x v="3"/>
    <n v="2024"/>
  </r>
  <r>
    <s v="TXN01357"/>
    <x v="1"/>
    <x v="0"/>
    <x v="3"/>
    <x v="4"/>
    <d v="2025-02-10T00:00:00"/>
    <x v="6"/>
    <n v="18138.82"/>
    <n v="10"/>
    <x v="3"/>
    <n v="16324.94"/>
    <x v="1356"/>
    <n v="146924.44"/>
    <x v="2"/>
    <n v="2025"/>
  </r>
  <r>
    <s v="TXN01358"/>
    <x v="5"/>
    <x v="0"/>
    <x v="24"/>
    <x v="0"/>
    <d v="2024-02-20T00:00:00"/>
    <x v="4"/>
    <n v="7581"/>
    <n v="15"/>
    <x v="7"/>
    <n v="7960.05"/>
    <x v="1357"/>
    <n v="45106.95"/>
    <x v="2"/>
    <n v="2024"/>
  </r>
  <r>
    <s v="TXN01359"/>
    <x v="2"/>
    <x v="1"/>
    <x v="4"/>
    <x v="5"/>
    <d v="2025-08-31T00:00:00"/>
    <x v="7"/>
    <n v="8259.1299999999992"/>
    <n v="15"/>
    <x v="3"/>
    <n v="6194.35"/>
    <x v="1358"/>
    <n v="35101.300000000003"/>
    <x v="0"/>
    <n v="2025"/>
  </r>
  <r>
    <s v="TXN01360"/>
    <x v="6"/>
    <x v="2"/>
    <x v="9"/>
    <x v="2"/>
    <d v="2025-10-23T00:00:00"/>
    <x v="1"/>
    <n v="5641.73"/>
    <n v="5"/>
    <x v="1"/>
    <n v="1128.3499999999999"/>
    <x v="1359"/>
    <n v="21438.57"/>
    <x v="4"/>
    <n v="2025"/>
  </r>
  <r>
    <s v="TXN01361"/>
    <x v="14"/>
    <x v="0"/>
    <x v="0"/>
    <x v="1"/>
    <d v="2024-09-01T00:00:00"/>
    <x v="5"/>
    <n v="67147.14"/>
    <n v="10"/>
    <x v="4"/>
    <n v="13429.43"/>
    <x v="1360"/>
    <n v="120864.85"/>
    <x v="7"/>
    <n v="2024"/>
  </r>
  <r>
    <s v="TXN01362"/>
    <x v="0"/>
    <x v="1"/>
    <x v="8"/>
    <x v="2"/>
    <d v="2025-02-05T00:00:00"/>
    <x v="4"/>
    <n v="37013.040000000001"/>
    <n v="10"/>
    <x v="2"/>
    <n v="25909.13"/>
    <x v="1361"/>
    <n v="233182.15"/>
    <x v="2"/>
    <n v="2025"/>
  </r>
  <r>
    <s v="TXN01363"/>
    <x v="7"/>
    <x v="4"/>
    <x v="18"/>
    <x v="3"/>
    <d v="2024-12-21T00:00:00"/>
    <x v="7"/>
    <n v="14209.32"/>
    <n v="10"/>
    <x v="0"/>
    <n v="7104.66"/>
    <x v="1362"/>
    <n v="63941.94"/>
    <x v="3"/>
    <n v="2024"/>
  </r>
  <r>
    <s v="TXN01364"/>
    <x v="7"/>
    <x v="0"/>
    <x v="0"/>
    <x v="6"/>
    <d v="2024-11-08T00:00:00"/>
    <x v="1"/>
    <n v="67392.91"/>
    <n v="0"/>
    <x v="6"/>
    <n v="0"/>
    <x v="1363"/>
    <n v="269571.64"/>
    <x v="8"/>
    <n v="2024"/>
  </r>
  <r>
    <s v="TXN01365"/>
    <x v="3"/>
    <x v="1"/>
    <x v="13"/>
    <x v="5"/>
    <d v="2024-01-14T00:00:00"/>
    <x v="2"/>
    <n v="12083.77"/>
    <n v="0"/>
    <x v="3"/>
    <n v="0"/>
    <x v="1364"/>
    <n v="96670.16"/>
    <x v="10"/>
    <n v="2024"/>
  </r>
  <r>
    <s v="TXN01366"/>
    <x v="14"/>
    <x v="1"/>
    <x v="4"/>
    <x v="1"/>
    <d v="2025-11-26T00:00:00"/>
    <x v="8"/>
    <n v="9226.81"/>
    <n v="15"/>
    <x v="3"/>
    <n v="1384.02"/>
    <x v="1365"/>
    <n v="7842.79"/>
    <x v="8"/>
    <n v="2025"/>
  </r>
  <r>
    <s v="TXN01367"/>
    <x v="11"/>
    <x v="2"/>
    <x v="10"/>
    <x v="3"/>
    <d v="2025-04-28T00:00:00"/>
    <x v="5"/>
    <n v="2278.2399999999998"/>
    <n v="0"/>
    <x v="0"/>
    <n v="0"/>
    <x v="1366"/>
    <n v="4556.4799999999996"/>
    <x v="1"/>
    <n v="2025"/>
  </r>
  <r>
    <s v="TXN01368"/>
    <x v="4"/>
    <x v="2"/>
    <x v="22"/>
    <x v="4"/>
    <d v="2024-05-30T00:00:00"/>
    <x v="5"/>
    <n v="832.5"/>
    <n v="10"/>
    <x v="3"/>
    <n v="166.5"/>
    <x v="1367"/>
    <n v="1498.5"/>
    <x v="9"/>
    <n v="2024"/>
  </r>
  <r>
    <s v="TXN01369"/>
    <x v="0"/>
    <x v="4"/>
    <x v="23"/>
    <x v="0"/>
    <d v="2025-11-10T00:00:00"/>
    <x v="2"/>
    <n v="10597.23"/>
    <n v="15"/>
    <x v="4"/>
    <n v="12716.68"/>
    <x v="1368"/>
    <n v="72061.16"/>
    <x v="8"/>
    <n v="2025"/>
  </r>
  <r>
    <s v="TXN01370"/>
    <x v="5"/>
    <x v="0"/>
    <x v="3"/>
    <x v="2"/>
    <d v="2025-06-14T00:00:00"/>
    <x v="9"/>
    <n v="18379.599999999999"/>
    <n v="10"/>
    <x v="5"/>
    <n v="18379.599999999999"/>
    <x v="1369"/>
    <n v="165416.4"/>
    <x v="5"/>
    <n v="2025"/>
  </r>
  <r>
    <s v="TXN01371"/>
    <x v="7"/>
    <x v="2"/>
    <x v="10"/>
    <x v="5"/>
    <d v="2025-11-06T00:00:00"/>
    <x v="0"/>
    <n v="2720.57"/>
    <n v="0"/>
    <x v="0"/>
    <n v="0"/>
    <x v="1370"/>
    <n v="8161.71"/>
    <x v="8"/>
    <n v="2025"/>
  </r>
  <r>
    <s v="TXN01372"/>
    <x v="0"/>
    <x v="1"/>
    <x v="8"/>
    <x v="2"/>
    <d v="2025-01-03T00:00:00"/>
    <x v="1"/>
    <n v="43443.65"/>
    <n v="5"/>
    <x v="2"/>
    <n v="8688.73"/>
    <x v="1371"/>
    <n v="165085.87"/>
    <x v="10"/>
    <n v="2025"/>
  </r>
  <r>
    <s v="TXN01373"/>
    <x v="5"/>
    <x v="4"/>
    <x v="17"/>
    <x v="2"/>
    <d v="2025-06-23T00:00:00"/>
    <x v="0"/>
    <n v="3382.15"/>
    <n v="10"/>
    <x v="6"/>
    <n v="1014.65"/>
    <x v="1372"/>
    <n v="9131.7999999999993"/>
    <x v="5"/>
    <n v="2025"/>
  </r>
  <r>
    <s v="TXN01374"/>
    <x v="12"/>
    <x v="3"/>
    <x v="16"/>
    <x v="5"/>
    <d v="2024-11-12T00:00:00"/>
    <x v="1"/>
    <n v="1501.95"/>
    <n v="20"/>
    <x v="4"/>
    <n v="1201.56"/>
    <x v="1373"/>
    <n v="4806.24"/>
    <x v="8"/>
    <n v="2024"/>
  </r>
  <r>
    <s v="TXN01375"/>
    <x v="6"/>
    <x v="3"/>
    <x v="21"/>
    <x v="5"/>
    <d v="2025-08-03T00:00:00"/>
    <x v="3"/>
    <n v="2430.2600000000002"/>
    <n v="0"/>
    <x v="6"/>
    <n v="0"/>
    <x v="1374"/>
    <n v="14581.56"/>
    <x v="0"/>
    <n v="2025"/>
  </r>
  <r>
    <s v="TXN01376"/>
    <x v="11"/>
    <x v="4"/>
    <x v="18"/>
    <x v="2"/>
    <d v="2025-06-19T00:00:00"/>
    <x v="7"/>
    <n v="12671.39"/>
    <n v="5"/>
    <x v="3"/>
    <n v="3167.85"/>
    <x v="1375"/>
    <n v="60189.1"/>
    <x v="5"/>
    <n v="2025"/>
  </r>
  <r>
    <s v="TXN01377"/>
    <x v="5"/>
    <x v="3"/>
    <x v="16"/>
    <x v="1"/>
    <d v="2024-01-16T00:00:00"/>
    <x v="2"/>
    <n v="1365.36"/>
    <n v="10"/>
    <x v="4"/>
    <n v="1092.29"/>
    <x v="1376"/>
    <n v="9830.59"/>
    <x v="10"/>
    <n v="2024"/>
  </r>
  <r>
    <s v="TXN01378"/>
    <x v="13"/>
    <x v="2"/>
    <x v="10"/>
    <x v="5"/>
    <d v="2024-01-06T00:00:00"/>
    <x v="4"/>
    <n v="2470.16"/>
    <n v="0"/>
    <x v="4"/>
    <n v="0"/>
    <x v="1377"/>
    <n v="17291.12"/>
    <x v="10"/>
    <n v="2024"/>
  </r>
  <r>
    <s v="TXN01379"/>
    <x v="7"/>
    <x v="0"/>
    <x v="3"/>
    <x v="0"/>
    <d v="2025-05-29T00:00:00"/>
    <x v="6"/>
    <n v="16897.669999999998"/>
    <n v="0"/>
    <x v="4"/>
    <n v="0"/>
    <x v="1378"/>
    <n v="152079.03"/>
    <x v="9"/>
    <n v="2025"/>
  </r>
  <r>
    <s v="TXN01380"/>
    <x v="0"/>
    <x v="3"/>
    <x v="7"/>
    <x v="4"/>
    <d v="2025-08-22T00:00:00"/>
    <x v="5"/>
    <n v="1750.86"/>
    <n v="0"/>
    <x v="2"/>
    <n v="0"/>
    <x v="1379"/>
    <n v="3501.72"/>
    <x v="0"/>
    <n v="2025"/>
  </r>
  <r>
    <s v="TXN01381"/>
    <x v="2"/>
    <x v="4"/>
    <x v="19"/>
    <x v="3"/>
    <d v="2025-03-08T00:00:00"/>
    <x v="4"/>
    <n v="9133.81"/>
    <n v="0"/>
    <x v="2"/>
    <n v="0"/>
    <x v="1380"/>
    <n v="63936.67"/>
    <x v="6"/>
    <n v="2025"/>
  </r>
  <r>
    <s v="TXN01382"/>
    <x v="12"/>
    <x v="3"/>
    <x v="20"/>
    <x v="0"/>
    <d v="2025-07-31T00:00:00"/>
    <x v="4"/>
    <n v="3744.06"/>
    <n v="10"/>
    <x v="3"/>
    <n v="2620.84"/>
    <x v="1381"/>
    <n v="23587.58"/>
    <x v="11"/>
    <n v="2025"/>
  </r>
  <r>
    <s v="TXN01383"/>
    <x v="8"/>
    <x v="2"/>
    <x v="5"/>
    <x v="3"/>
    <d v="2024-09-13T00:00:00"/>
    <x v="0"/>
    <n v="1204.8900000000001"/>
    <n v="5"/>
    <x v="0"/>
    <n v="180.73"/>
    <x v="1382"/>
    <n v="3433.94"/>
    <x v="7"/>
    <n v="2024"/>
  </r>
  <r>
    <s v="TXN01384"/>
    <x v="6"/>
    <x v="3"/>
    <x v="20"/>
    <x v="0"/>
    <d v="2025-07-12T00:00:00"/>
    <x v="0"/>
    <n v="3478.97"/>
    <n v="15"/>
    <x v="6"/>
    <n v="1565.54"/>
    <x v="1383"/>
    <n v="8871.3700000000008"/>
    <x v="11"/>
    <n v="2025"/>
  </r>
  <r>
    <s v="TXN01385"/>
    <x v="9"/>
    <x v="0"/>
    <x v="6"/>
    <x v="5"/>
    <d v="2025-05-30T00:00:00"/>
    <x v="3"/>
    <n v="25427.37"/>
    <n v="15"/>
    <x v="5"/>
    <n v="22884.63"/>
    <x v="1384"/>
    <n v="129679.59"/>
    <x v="9"/>
    <n v="2025"/>
  </r>
  <r>
    <s v="TXN01386"/>
    <x v="1"/>
    <x v="4"/>
    <x v="23"/>
    <x v="5"/>
    <d v="2025-07-26T00:00:00"/>
    <x v="8"/>
    <n v="11393.73"/>
    <n v="15"/>
    <x v="1"/>
    <n v="1709.06"/>
    <x v="1385"/>
    <n v="9684.67"/>
    <x v="11"/>
    <n v="2025"/>
  </r>
  <r>
    <s v="TXN01387"/>
    <x v="12"/>
    <x v="0"/>
    <x v="6"/>
    <x v="0"/>
    <d v="2025-08-17T00:00:00"/>
    <x v="6"/>
    <n v="24831.94"/>
    <n v="20"/>
    <x v="0"/>
    <n v="44697.49"/>
    <x v="1386"/>
    <n v="178789.97"/>
    <x v="0"/>
    <n v="2025"/>
  </r>
  <r>
    <s v="TXN01388"/>
    <x v="14"/>
    <x v="2"/>
    <x v="11"/>
    <x v="0"/>
    <d v="2025-02-06T00:00:00"/>
    <x v="0"/>
    <n v="5003.68"/>
    <n v="0"/>
    <x v="1"/>
    <n v="0"/>
    <x v="1387"/>
    <n v="15011.04"/>
    <x v="2"/>
    <n v="2025"/>
  </r>
  <r>
    <s v="TXN01389"/>
    <x v="11"/>
    <x v="4"/>
    <x v="14"/>
    <x v="3"/>
    <d v="2024-03-27T00:00:00"/>
    <x v="8"/>
    <n v="1451.32"/>
    <n v="0"/>
    <x v="1"/>
    <n v="0"/>
    <x v="1388"/>
    <n v="1451.32"/>
    <x v="6"/>
    <n v="2024"/>
  </r>
  <r>
    <s v="TXN01390"/>
    <x v="6"/>
    <x v="3"/>
    <x v="21"/>
    <x v="3"/>
    <d v="2025-08-02T00:00:00"/>
    <x v="2"/>
    <n v="2681.62"/>
    <n v="0"/>
    <x v="4"/>
    <n v="0"/>
    <x v="1389"/>
    <n v="21452.959999999999"/>
    <x v="0"/>
    <n v="2025"/>
  </r>
  <r>
    <s v="TXN01391"/>
    <x v="8"/>
    <x v="0"/>
    <x v="1"/>
    <x v="6"/>
    <d v="2025-12-19T00:00:00"/>
    <x v="1"/>
    <n v="3395.92"/>
    <n v="20"/>
    <x v="1"/>
    <n v="2716.74"/>
    <x v="1390"/>
    <n v="10866.94"/>
    <x v="3"/>
    <n v="2025"/>
  </r>
  <r>
    <s v="TXN01392"/>
    <x v="2"/>
    <x v="4"/>
    <x v="18"/>
    <x v="2"/>
    <d v="2024-11-04T00:00:00"/>
    <x v="7"/>
    <n v="14253.17"/>
    <n v="0"/>
    <x v="3"/>
    <n v="0"/>
    <x v="1391"/>
    <n v="71265.850000000006"/>
    <x v="8"/>
    <n v="2024"/>
  </r>
  <r>
    <s v="TXN01393"/>
    <x v="0"/>
    <x v="4"/>
    <x v="14"/>
    <x v="4"/>
    <d v="2024-03-09T00:00:00"/>
    <x v="8"/>
    <n v="1407.38"/>
    <n v="0"/>
    <x v="7"/>
    <n v="0"/>
    <x v="1392"/>
    <n v="1407.38"/>
    <x v="6"/>
    <n v="2024"/>
  </r>
  <r>
    <s v="TXN01394"/>
    <x v="2"/>
    <x v="2"/>
    <x v="10"/>
    <x v="4"/>
    <d v="2025-04-30T00:00:00"/>
    <x v="8"/>
    <n v="2770.45"/>
    <n v="15"/>
    <x v="7"/>
    <n v="415.57"/>
    <x v="1393"/>
    <n v="2354.88"/>
    <x v="1"/>
    <n v="2025"/>
  </r>
  <r>
    <s v="TXN01395"/>
    <x v="14"/>
    <x v="4"/>
    <x v="17"/>
    <x v="1"/>
    <d v="2025-02-18T00:00:00"/>
    <x v="2"/>
    <n v="4009.86"/>
    <n v="5"/>
    <x v="4"/>
    <n v="1603.94"/>
    <x v="1394"/>
    <n v="30474.94"/>
    <x v="2"/>
    <n v="2025"/>
  </r>
  <r>
    <s v="TXN01396"/>
    <x v="4"/>
    <x v="2"/>
    <x v="22"/>
    <x v="6"/>
    <d v="2025-11-04T00:00:00"/>
    <x v="9"/>
    <n v="921.49"/>
    <n v="5"/>
    <x v="6"/>
    <n v="460.75"/>
    <x v="1395"/>
    <n v="8754.15"/>
    <x v="8"/>
    <n v="2025"/>
  </r>
  <r>
    <s v="TXN01397"/>
    <x v="7"/>
    <x v="0"/>
    <x v="6"/>
    <x v="3"/>
    <d v="2024-06-23T00:00:00"/>
    <x v="6"/>
    <n v="27135.4"/>
    <n v="20"/>
    <x v="0"/>
    <n v="48843.72"/>
    <x v="1396"/>
    <n v="195374.88"/>
    <x v="5"/>
    <n v="2024"/>
  </r>
  <r>
    <s v="TXN01398"/>
    <x v="11"/>
    <x v="1"/>
    <x v="2"/>
    <x v="0"/>
    <d v="2025-11-14T00:00:00"/>
    <x v="5"/>
    <n v="31343.75"/>
    <n v="15"/>
    <x v="4"/>
    <n v="9403.1200000000008"/>
    <x v="1397"/>
    <n v="53284.38"/>
    <x v="8"/>
    <n v="2025"/>
  </r>
  <r>
    <s v="TXN01399"/>
    <x v="1"/>
    <x v="3"/>
    <x v="20"/>
    <x v="5"/>
    <d v="2025-04-20T00:00:00"/>
    <x v="4"/>
    <n v="3861.81"/>
    <n v="5"/>
    <x v="7"/>
    <n v="1351.63"/>
    <x v="1398"/>
    <n v="25681.040000000001"/>
    <x v="1"/>
    <n v="2025"/>
  </r>
  <r>
    <s v="TXN01400"/>
    <x v="11"/>
    <x v="0"/>
    <x v="3"/>
    <x v="1"/>
    <d v="2024-01-12T00:00:00"/>
    <x v="9"/>
    <n v="17562.43"/>
    <n v="20"/>
    <x v="2"/>
    <n v="35124.86"/>
    <x v="1399"/>
    <n v="140499.44"/>
    <x v="10"/>
    <n v="2024"/>
  </r>
  <r>
    <s v="TXN01401"/>
    <x v="14"/>
    <x v="4"/>
    <x v="17"/>
    <x v="0"/>
    <d v="2025-04-24T00:00:00"/>
    <x v="2"/>
    <n v="3392.29"/>
    <n v="5"/>
    <x v="3"/>
    <n v="1356.92"/>
    <x v="1400"/>
    <n v="25781.4"/>
    <x v="1"/>
    <n v="2025"/>
  </r>
  <r>
    <s v="TXN01402"/>
    <x v="4"/>
    <x v="3"/>
    <x v="21"/>
    <x v="3"/>
    <d v="2024-12-23T00:00:00"/>
    <x v="6"/>
    <n v="2743.55"/>
    <n v="0"/>
    <x v="0"/>
    <n v="0"/>
    <x v="1401"/>
    <n v="24691.95"/>
    <x v="3"/>
    <n v="2024"/>
  </r>
  <r>
    <s v="TXN01403"/>
    <x v="3"/>
    <x v="1"/>
    <x v="13"/>
    <x v="2"/>
    <d v="2025-04-15T00:00:00"/>
    <x v="0"/>
    <n v="11635.02"/>
    <n v="10"/>
    <x v="5"/>
    <n v="3490.51"/>
    <x v="1402"/>
    <n v="31414.55"/>
    <x v="1"/>
    <n v="2025"/>
  </r>
  <r>
    <s v="TXN01404"/>
    <x v="14"/>
    <x v="4"/>
    <x v="17"/>
    <x v="3"/>
    <d v="2025-01-20T00:00:00"/>
    <x v="2"/>
    <n v="3680.11"/>
    <n v="5"/>
    <x v="6"/>
    <n v="1472.04"/>
    <x v="1403"/>
    <n v="27968.84"/>
    <x v="10"/>
    <n v="2025"/>
  </r>
  <r>
    <s v="TXN01405"/>
    <x v="10"/>
    <x v="2"/>
    <x v="11"/>
    <x v="2"/>
    <d v="2024-05-12T00:00:00"/>
    <x v="3"/>
    <n v="5236.07"/>
    <n v="20"/>
    <x v="4"/>
    <n v="6283.28"/>
    <x v="1404"/>
    <n v="25133.14"/>
    <x v="9"/>
    <n v="2024"/>
  </r>
  <r>
    <s v="TXN01406"/>
    <x v="12"/>
    <x v="3"/>
    <x v="21"/>
    <x v="3"/>
    <d v="2024-03-10T00:00:00"/>
    <x v="8"/>
    <n v="2268.4499999999998"/>
    <n v="5"/>
    <x v="2"/>
    <n v="113.42"/>
    <x v="1405"/>
    <n v="2155.0300000000002"/>
    <x v="6"/>
    <n v="2024"/>
  </r>
  <r>
    <s v="TXN01407"/>
    <x v="8"/>
    <x v="1"/>
    <x v="12"/>
    <x v="1"/>
    <d v="2025-11-26T00:00:00"/>
    <x v="2"/>
    <n v="6474.04"/>
    <n v="5"/>
    <x v="6"/>
    <n v="2589.62"/>
    <x v="1406"/>
    <n v="49202.7"/>
    <x v="8"/>
    <n v="2025"/>
  </r>
  <r>
    <s v="TXN01408"/>
    <x v="14"/>
    <x v="1"/>
    <x v="12"/>
    <x v="4"/>
    <d v="2025-03-06T00:00:00"/>
    <x v="5"/>
    <n v="5492.89"/>
    <n v="10"/>
    <x v="2"/>
    <n v="1098.58"/>
    <x v="1407"/>
    <n v="9887.2000000000007"/>
    <x v="6"/>
    <n v="2025"/>
  </r>
  <r>
    <s v="TXN01409"/>
    <x v="4"/>
    <x v="0"/>
    <x v="0"/>
    <x v="2"/>
    <d v="2025-03-28T00:00:00"/>
    <x v="3"/>
    <n v="68356.17"/>
    <n v="0"/>
    <x v="7"/>
    <n v="0"/>
    <x v="1408"/>
    <n v="410137.02"/>
    <x v="6"/>
    <n v="2025"/>
  </r>
  <r>
    <s v="TXN01410"/>
    <x v="6"/>
    <x v="1"/>
    <x v="4"/>
    <x v="2"/>
    <d v="2025-01-21T00:00:00"/>
    <x v="0"/>
    <n v="9177.74"/>
    <n v="20"/>
    <x v="6"/>
    <n v="5506.64"/>
    <x v="1409"/>
    <n v="22026.58"/>
    <x v="10"/>
    <n v="2025"/>
  </r>
  <r>
    <s v="TXN01411"/>
    <x v="2"/>
    <x v="2"/>
    <x v="5"/>
    <x v="0"/>
    <d v="2025-03-24T00:00:00"/>
    <x v="7"/>
    <n v="1147.6500000000001"/>
    <n v="5"/>
    <x v="6"/>
    <n v="286.91000000000003"/>
    <x v="1410"/>
    <n v="5451.34"/>
    <x v="6"/>
    <n v="2025"/>
  </r>
  <r>
    <s v="TXN01412"/>
    <x v="10"/>
    <x v="4"/>
    <x v="14"/>
    <x v="3"/>
    <d v="2024-03-29T00:00:00"/>
    <x v="9"/>
    <n v="1359.09"/>
    <n v="0"/>
    <x v="0"/>
    <n v="0"/>
    <x v="1411"/>
    <n v="13590.9"/>
    <x v="6"/>
    <n v="2024"/>
  </r>
  <r>
    <s v="TXN01413"/>
    <x v="10"/>
    <x v="1"/>
    <x v="12"/>
    <x v="4"/>
    <d v="2025-01-03T00:00:00"/>
    <x v="4"/>
    <n v="6252.44"/>
    <n v="0"/>
    <x v="1"/>
    <n v="0"/>
    <x v="1412"/>
    <n v="43767.08"/>
    <x v="10"/>
    <n v="2025"/>
  </r>
  <r>
    <s v="TXN01414"/>
    <x v="8"/>
    <x v="3"/>
    <x v="7"/>
    <x v="2"/>
    <d v="2024-07-13T00:00:00"/>
    <x v="1"/>
    <n v="1876.67"/>
    <n v="15"/>
    <x v="6"/>
    <n v="1126"/>
    <x v="1413"/>
    <n v="6380.68"/>
    <x v="11"/>
    <n v="2024"/>
  </r>
  <r>
    <s v="TXN01415"/>
    <x v="3"/>
    <x v="2"/>
    <x v="22"/>
    <x v="6"/>
    <d v="2024-03-09T00:00:00"/>
    <x v="2"/>
    <n v="906.19"/>
    <n v="15"/>
    <x v="3"/>
    <n v="1087.43"/>
    <x v="1414"/>
    <n v="6162.09"/>
    <x v="6"/>
    <n v="2024"/>
  </r>
  <r>
    <s v="TXN01416"/>
    <x v="6"/>
    <x v="0"/>
    <x v="1"/>
    <x v="4"/>
    <d v="2024-04-13T00:00:00"/>
    <x v="5"/>
    <n v="3074.03"/>
    <n v="0"/>
    <x v="4"/>
    <n v="0"/>
    <x v="1415"/>
    <n v="6148.06"/>
    <x v="1"/>
    <n v="2024"/>
  </r>
  <r>
    <s v="TXN01417"/>
    <x v="3"/>
    <x v="2"/>
    <x v="11"/>
    <x v="1"/>
    <d v="2024-10-23T00:00:00"/>
    <x v="7"/>
    <n v="5486.84"/>
    <n v="10"/>
    <x v="0"/>
    <n v="2743.42"/>
    <x v="1416"/>
    <n v="24690.78"/>
    <x v="4"/>
    <n v="2024"/>
  </r>
  <r>
    <s v="TXN01418"/>
    <x v="5"/>
    <x v="0"/>
    <x v="6"/>
    <x v="1"/>
    <d v="2025-06-14T00:00:00"/>
    <x v="9"/>
    <n v="25625.29"/>
    <n v="15"/>
    <x v="0"/>
    <n v="38437.93"/>
    <x v="1417"/>
    <n v="217814.97"/>
    <x v="5"/>
    <n v="2025"/>
  </r>
  <r>
    <s v="TXN01419"/>
    <x v="9"/>
    <x v="2"/>
    <x v="10"/>
    <x v="2"/>
    <d v="2025-08-19T00:00:00"/>
    <x v="2"/>
    <n v="2835.58"/>
    <n v="10"/>
    <x v="7"/>
    <n v="2268.46"/>
    <x v="1418"/>
    <n v="20416.18"/>
    <x v="0"/>
    <n v="2025"/>
  </r>
  <r>
    <s v="TXN01420"/>
    <x v="3"/>
    <x v="0"/>
    <x v="0"/>
    <x v="5"/>
    <d v="2024-07-24T00:00:00"/>
    <x v="3"/>
    <n v="72930.460000000006"/>
    <n v="0"/>
    <x v="4"/>
    <n v="0"/>
    <x v="1419"/>
    <n v="437582.76"/>
    <x v="11"/>
    <n v="2024"/>
  </r>
  <r>
    <s v="TXN01421"/>
    <x v="9"/>
    <x v="1"/>
    <x v="13"/>
    <x v="3"/>
    <d v="2025-11-10T00:00:00"/>
    <x v="8"/>
    <n v="12657.54"/>
    <n v="0"/>
    <x v="5"/>
    <n v="0"/>
    <x v="1420"/>
    <n v="12657.54"/>
    <x v="8"/>
    <n v="2025"/>
  </r>
  <r>
    <s v="TXN01422"/>
    <x v="0"/>
    <x v="2"/>
    <x v="11"/>
    <x v="3"/>
    <d v="2024-12-20T00:00:00"/>
    <x v="5"/>
    <n v="6256.12"/>
    <n v="20"/>
    <x v="1"/>
    <n v="2502.4499999999998"/>
    <x v="1421"/>
    <n v="10009.790000000001"/>
    <x v="3"/>
    <n v="2024"/>
  </r>
  <r>
    <s v="TXN01423"/>
    <x v="14"/>
    <x v="2"/>
    <x v="10"/>
    <x v="6"/>
    <d v="2024-05-12T00:00:00"/>
    <x v="7"/>
    <n v="2702.08"/>
    <n v="0"/>
    <x v="6"/>
    <n v="0"/>
    <x v="1422"/>
    <n v="13510.4"/>
    <x v="9"/>
    <n v="2024"/>
  </r>
  <r>
    <s v="TXN01424"/>
    <x v="9"/>
    <x v="0"/>
    <x v="24"/>
    <x v="4"/>
    <d v="2025-03-17T00:00:00"/>
    <x v="2"/>
    <n v="6830.98"/>
    <n v="5"/>
    <x v="5"/>
    <n v="2732.39"/>
    <x v="1423"/>
    <n v="51915.45"/>
    <x v="6"/>
    <n v="2025"/>
  </r>
  <r>
    <s v="TXN01425"/>
    <x v="13"/>
    <x v="0"/>
    <x v="0"/>
    <x v="3"/>
    <d v="2025-07-01T00:00:00"/>
    <x v="9"/>
    <n v="72479.789999999994"/>
    <n v="0"/>
    <x v="0"/>
    <n v="0"/>
    <x v="1424"/>
    <n v="724797.9"/>
    <x v="11"/>
    <n v="2025"/>
  </r>
  <r>
    <s v="TXN01426"/>
    <x v="13"/>
    <x v="2"/>
    <x v="9"/>
    <x v="5"/>
    <d v="2025-12-13T00:00:00"/>
    <x v="0"/>
    <n v="4986.78"/>
    <n v="15"/>
    <x v="2"/>
    <n v="2244.0500000000002"/>
    <x v="1425"/>
    <n v="12716.29"/>
    <x v="3"/>
    <n v="2025"/>
  </r>
  <r>
    <s v="TXN01427"/>
    <x v="6"/>
    <x v="2"/>
    <x v="5"/>
    <x v="5"/>
    <d v="2025-09-22T00:00:00"/>
    <x v="3"/>
    <n v="1185.54"/>
    <n v="10"/>
    <x v="7"/>
    <n v="711.32"/>
    <x v="1426"/>
    <n v="6401.92"/>
    <x v="7"/>
    <n v="2025"/>
  </r>
  <r>
    <s v="TXN01428"/>
    <x v="2"/>
    <x v="4"/>
    <x v="17"/>
    <x v="4"/>
    <d v="2025-08-25T00:00:00"/>
    <x v="8"/>
    <n v="3348.74"/>
    <n v="20"/>
    <x v="7"/>
    <n v="669.75"/>
    <x v="1427"/>
    <n v="2678.99"/>
    <x v="0"/>
    <n v="2025"/>
  </r>
  <r>
    <s v="TXN01429"/>
    <x v="10"/>
    <x v="2"/>
    <x v="10"/>
    <x v="1"/>
    <d v="2024-02-28T00:00:00"/>
    <x v="5"/>
    <n v="2285.41"/>
    <n v="15"/>
    <x v="0"/>
    <n v="685.62"/>
    <x v="1428"/>
    <n v="3885.2"/>
    <x v="2"/>
    <n v="2024"/>
  </r>
  <r>
    <s v="TXN01430"/>
    <x v="13"/>
    <x v="1"/>
    <x v="4"/>
    <x v="0"/>
    <d v="2025-09-08T00:00:00"/>
    <x v="1"/>
    <n v="9196.18"/>
    <n v="5"/>
    <x v="5"/>
    <n v="1839.24"/>
    <x v="1429"/>
    <n v="34945.480000000003"/>
    <x v="7"/>
    <n v="2025"/>
  </r>
  <r>
    <s v="TXN01431"/>
    <x v="11"/>
    <x v="2"/>
    <x v="9"/>
    <x v="2"/>
    <d v="2025-11-03T00:00:00"/>
    <x v="5"/>
    <n v="4549.5200000000004"/>
    <n v="20"/>
    <x v="7"/>
    <n v="1819.81"/>
    <x v="1430"/>
    <n v="7279.23"/>
    <x v="8"/>
    <n v="2025"/>
  </r>
  <r>
    <s v="TXN01432"/>
    <x v="0"/>
    <x v="1"/>
    <x v="2"/>
    <x v="2"/>
    <d v="2024-08-13T00:00:00"/>
    <x v="2"/>
    <n v="26957.09"/>
    <n v="10"/>
    <x v="5"/>
    <n v="21565.67"/>
    <x v="1431"/>
    <n v="194091.05"/>
    <x v="0"/>
    <n v="2024"/>
  </r>
  <r>
    <s v="TXN01433"/>
    <x v="4"/>
    <x v="2"/>
    <x v="22"/>
    <x v="2"/>
    <d v="2025-06-23T00:00:00"/>
    <x v="7"/>
    <n v="881.74"/>
    <n v="20"/>
    <x v="0"/>
    <n v="881.74"/>
    <x v="1432"/>
    <n v="3526.96"/>
    <x v="5"/>
    <n v="2025"/>
  </r>
  <r>
    <s v="TXN01434"/>
    <x v="13"/>
    <x v="2"/>
    <x v="10"/>
    <x v="0"/>
    <d v="2025-12-23T00:00:00"/>
    <x v="9"/>
    <n v="2809.27"/>
    <n v="0"/>
    <x v="2"/>
    <n v="0"/>
    <x v="1433"/>
    <n v="28092.7"/>
    <x v="3"/>
    <n v="2025"/>
  </r>
  <r>
    <s v="TXN01435"/>
    <x v="4"/>
    <x v="1"/>
    <x v="13"/>
    <x v="6"/>
    <d v="2024-11-08T00:00:00"/>
    <x v="6"/>
    <n v="12575.54"/>
    <n v="10"/>
    <x v="0"/>
    <n v="11317.99"/>
    <x v="1434"/>
    <n v="101861.87"/>
    <x v="8"/>
    <n v="2024"/>
  </r>
  <r>
    <s v="TXN01436"/>
    <x v="2"/>
    <x v="1"/>
    <x v="12"/>
    <x v="2"/>
    <d v="2025-10-27T00:00:00"/>
    <x v="2"/>
    <n v="7512.52"/>
    <n v="0"/>
    <x v="6"/>
    <n v="0"/>
    <x v="1435"/>
    <n v="60100.160000000003"/>
    <x v="4"/>
    <n v="2025"/>
  </r>
  <r>
    <s v="TXN01437"/>
    <x v="5"/>
    <x v="4"/>
    <x v="17"/>
    <x v="0"/>
    <d v="2024-11-03T00:00:00"/>
    <x v="5"/>
    <n v="3522.48"/>
    <n v="20"/>
    <x v="2"/>
    <n v="1408.99"/>
    <x v="1436"/>
    <n v="5635.97"/>
    <x v="8"/>
    <n v="2024"/>
  </r>
  <r>
    <s v="TXN01438"/>
    <x v="13"/>
    <x v="4"/>
    <x v="23"/>
    <x v="3"/>
    <d v="2025-01-28T00:00:00"/>
    <x v="2"/>
    <n v="9111.0400000000009"/>
    <n v="5"/>
    <x v="2"/>
    <n v="3644.42"/>
    <x v="1437"/>
    <n v="69243.899999999994"/>
    <x v="10"/>
    <n v="2025"/>
  </r>
  <r>
    <s v="TXN01439"/>
    <x v="8"/>
    <x v="4"/>
    <x v="18"/>
    <x v="5"/>
    <d v="2025-11-07T00:00:00"/>
    <x v="7"/>
    <n v="11983.31"/>
    <n v="10"/>
    <x v="1"/>
    <n v="5991.66"/>
    <x v="1438"/>
    <n v="53924.89"/>
    <x v="8"/>
    <n v="2025"/>
  </r>
  <r>
    <s v="TXN01440"/>
    <x v="10"/>
    <x v="0"/>
    <x v="1"/>
    <x v="0"/>
    <d v="2025-08-28T00:00:00"/>
    <x v="1"/>
    <n v="3267.94"/>
    <n v="10"/>
    <x v="4"/>
    <n v="1307.18"/>
    <x v="1439"/>
    <n v="11764.58"/>
    <x v="0"/>
    <n v="2025"/>
  </r>
  <r>
    <s v="TXN01441"/>
    <x v="4"/>
    <x v="2"/>
    <x v="9"/>
    <x v="5"/>
    <d v="2024-04-21T00:00:00"/>
    <x v="6"/>
    <n v="4486.62"/>
    <n v="10"/>
    <x v="1"/>
    <n v="4037.96"/>
    <x v="1440"/>
    <n v="36341.620000000003"/>
    <x v="1"/>
    <n v="2024"/>
  </r>
  <r>
    <s v="TXN01442"/>
    <x v="1"/>
    <x v="2"/>
    <x v="9"/>
    <x v="6"/>
    <d v="2024-06-15T00:00:00"/>
    <x v="4"/>
    <n v="4575.75"/>
    <n v="5"/>
    <x v="4"/>
    <n v="1601.51"/>
    <x v="1441"/>
    <n v="30428.74"/>
    <x v="5"/>
    <n v="2024"/>
  </r>
  <r>
    <s v="TXN01443"/>
    <x v="5"/>
    <x v="1"/>
    <x v="12"/>
    <x v="3"/>
    <d v="2024-03-28T00:00:00"/>
    <x v="1"/>
    <n v="6557.01"/>
    <n v="10"/>
    <x v="4"/>
    <n v="2622.8"/>
    <x v="1442"/>
    <n v="23605.24"/>
    <x v="6"/>
    <n v="2024"/>
  </r>
  <r>
    <s v="TXN01444"/>
    <x v="1"/>
    <x v="3"/>
    <x v="21"/>
    <x v="1"/>
    <d v="2025-01-05T00:00:00"/>
    <x v="7"/>
    <n v="2662.02"/>
    <n v="20"/>
    <x v="4"/>
    <n v="2662.02"/>
    <x v="1443"/>
    <n v="10648.08"/>
    <x v="10"/>
    <n v="2025"/>
  </r>
  <r>
    <s v="TXN01445"/>
    <x v="5"/>
    <x v="0"/>
    <x v="0"/>
    <x v="6"/>
    <d v="2024-09-27T00:00:00"/>
    <x v="0"/>
    <n v="65711.89"/>
    <n v="0"/>
    <x v="5"/>
    <n v="0"/>
    <x v="1444"/>
    <n v="197135.67"/>
    <x v="7"/>
    <n v="2024"/>
  </r>
  <r>
    <s v="TXN01446"/>
    <x v="11"/>
    <x v="4"/>
    <x v="17"/>
    <x v="1"/>
    <d v="2025-05-06T00:00:00"/>
    <x v="6"/>
    <n v="3340.61"/>
    <n v="0"/>
    <x v="5"/>
    <n v="0"/>
    <x v="1445"/>
    <n v="30065.49"/>
    <x v="9"/>
    <n v="2025"/>
  </r>
  <r>
    <s v="TXN01447"/>
    <x v="5"/>
    <x v="2"/>
    <x v="10"/>
    <x v="6"/>
    <d v="2024-03-06T00:00:00"/>
    <x v="2"/>
    <n v="2362.38"/>
    <n v="10"/>
    <x v="5"/>
    <n v="1889.9"/>
    <x v="1446"/>
    <n v="17009.14"/>
    <x v="6"/>
    <n v="2024"/>
  </r>
  <r>
    <s v="TXN01448"/>
    <x v="7"/>
    <x v="3"/>
    <x v="16"/>
    <x v="4"/>
    <d v="2024-05-30T00:00:00"/>
    <x v="9"/>
    <n v="1595.99"/>
    <n v="5"/>
    <x v="3"/>
    <n v="798"/>
    <x v="1447"/>
    <n v="15161.9"/>
    <x v="9"/>
    <n v="2024"/>
  </r>
  <r>
    <s v="TXN01449"/>
    <x v="7"/>
    <x v="0"/>
    <x v="0"/>
    <x v="2"/>
    <d v="2025-08-16T00:00:00"/>
    <x v="3"/>
    <n v="59181.78"/>
    <n v="5"/>
    <x v="6"/>
    <n v="17754.53"/>
    <x v="1448"/>
    <n v="337336.15"/>
    <x v="0"/>
    <n v="2025"/>
  </r>
  <r>
    <s v="TXN01450"/>
    <x v="5"/>
    <x v="0"/>
    <x v="3"/>
    <x v="1"/>
    <d v="2025-07-07T00:00:00"/>
    <x v="8"/>
    <n v="18902.599999999999"/>
    <n v="10"/>
    <x v="5"/>
    <n v="1890.26"/>
    <x v="1449"/>
    <n v="17012.34"/>
    <x v="11"/>
    <n v="2025"/>
  </r>
  <r>
    <s v="TXN01451"/>
    <x v="9"/>
    <x v="0"/>
    <x v="0"/>
    <x v="5"/>
    <d v="2025-06-07T00:00:00"/>
    <x v="5"/>
    <n v="62350.9"/>
    <n v="10"/>
    <x v="7"/>
    <n v="12470.18"/>
    <x v="1450"/>
    <n v="112231.62"/>
    <x v="5"/>
    <n v="2025"/>
  </r>
  <r>
    <s v="TXN01452"/>
    <x v="4"/>
    <x v="2"/>
    <x v="22"/>
    <x v="3"/>
    <d v="2024-03-14T00:00:00"/>
    <x v="4"/>
    <n v="1007.07"/>
    <n v="5"/>
    <x v="2"/>
    <n v="352.47"/>
    <x v="1451"/>
    <n v="6697.02"/>
    <x v="6"/>
    <n v="2024"/>
  </r>
  <r>
    <s v="TXN01453"/>
    <x v="12"/>
    <x v="0"/>
    <x v="3"/>
    <x v="3"/>
    <d v="2024-12-09T00:00:00"/>
    <x v="4"/>
    <n v="22262.09"/>
    <n v="10"/>
    <x v="5"/>
    <n v="15583.46"/>
    <x v="1452"/>
    <n v="140251.17000000001"/>
    <x v="3"/>
    <n v="2024"/>
  </r>
  <r>
    <s v="TXN01454"/>
    <x v="12"/>
    <x v="4"/>
    <x v="19"/>
    <x v="1"/>
    <d v="2025-01-12T00:00:00"/>
    <x v="8"/>
    <n v="7781.75"/>
    <n v="5"/>
    <x v="3"/>
    <n v="389.09"/>
    <x v="1453"/>
    <n v="7392.66"/>
    <x v="10"/>
    <n v="2025"/>
  </r>
  <r>
    <s v="TXN01455"/>
    <x v="6"/>
    <x v="2"/>
    <x v="10"/>
    <x v="6"/>
    <d v="2024-11-16T00:00:00"/>
    <x v="6"/>
    <n v="2967.09"/>
    <n v="20"/>
    <x v="0"/>
    <n v="5340.76"/>
    <x v="1454"/>
    <n v="21363.05"/>
    <x v="8"/>
    <n v="2024"/>
  </r>
  <r>
    <s v="TXN01456"/>
    <x v="2"/>
    <x v="2"/>
    <x v="22"/>
    <x v="5"/>
    <d v="2025-11-03T00:00:00"/>
    <x v="0"/>
    <n v="985.32"/>
    <n v="0"/>
    <x v="1"/>
    <n v="0"/>
    <x v="1455"/>
    <n v="2955.96"/>
    <x v="8"/>
    <n v="2025"/>
  </r>
  <r>
    <s v="TXN01457"/>
    <x v="12"/>
    <x v="0"/>
    <x v="6"/>
    <x v="6"/>
    <d v="2025-07-05T00:00:00"/>
    <x v="5"/>
    <n v="27797.47"/>
    <n v="20"/>
    <x v="2"/>
    <n v="11118.99"/>
    <x v="1456"/>
    <n v="44475.95"/>
    <x v="11"/>
    <n v="2025"/>
  </r>
  <r>
    <s v="TXN01458"/>
    <x v="11"/>
    <x v="0"/>
    <x v="1"/>
    <x v="2"/>
    <d v="2024-11-20T00:00:00"/>
    <x v="7"/>
    <n v="3130.89"/>
    <n v="20"/>
    <x v="6"/>
    <n v="3130.89"/>
    <x v="1457"/>
    <n v="12523.56"/>
    <x v="8"/>
    <n v="2024"/>
  </r>
  <r>
    <s v="TXN01459"/>
    <x v="3"/>
    <x v="3"/>
    <x v="7"/>
    <x v="4"/>
    <d v="2024-08-24T00:00:00"/>
    <x v="2"/>
    <n v="1761.67"/>
    <n v="0"/>
    <x v="5"/>
    <n v="0"/>
    <x v="1458"/>
    <n v="14093.36"/>
    <x v="0"/>
    <n v="2024"/>
  </r>
  <r>
    <s v="TXN01460"/>
    <x v="0"/>
    <x v="1"/>
    <x v="2"/>
    <x v="5"/>
    <d v="2024-03-22T00:00:00"/>
    <x v="3"/>
    <n v="26002.86"/>
    <n v="0"/>
    <x v="5"/>
    <n v="0"/>
    <x v="1459"/>
    <n v="156017.16"/>
    <x v="6"/>
    <n v="2024"/>
  </r>
  <r>
    <s v="TXN01461"/>
    <x v="12"/>
    <x v="3"/>
    <x v="16"/>
    <x v="4"/>
    <d v="2025-03-04T00:00:00"/>
    <x v="1"/>
    <n v="1563.5"/>
    <n v="5"/>
    <x v="6"/>
    <n v="312.7"/>
    <x v="1460"/>
    <n v="5941.3"/>
    <x v="6"/>
    <n v="2025"/>
  </r>
  <r>
    <s v="TXN01462"/>
    <x v="10"/>
    <x v="2"/>
    <x v="5"/>
    <x v="5"/>
    <d v="2025-09-12T00:00:00"/>
    <x v="7"/>
    <n v="1318.76"/>
    <n v="10"/>
    <x v="3"/>
    <n v="659.38"/>
    <x v="1461"/>
    <n v="5934.42"/>
    <x v="7"/>
    <n v="2025"/>
  </r>
  <r>
    <s v="TXN01463"/>
    <x v="6"/>
    <x v="3"/>
    <x v="15"/>
    <x v="5"/>
    <d v="2025-06-01T00:00:00"/>
    <x v="0"/>
    <n v="835.2"/>
    <n v="5"/>
    <x v="2"/>
    <n v="125.28"/>
    <x v="1462"/>
    <n v="2380.3200000000002"/>
    <x v="5"/>
    <n v="2025"/>
  </r>
  <r>
    <s v="TXN01464"/>
    <x v="13"/>
    <x v="1"/>
    <x v="2"/>
    <x v="4"/>
    <d v="2025-03-04T00:00:00"/>
    <x v="7"/>
    <n v="27284.43"/>
    <n v="15"/>
    <x v="7"/>
    <n v="20463.32"/>
    <x v="1463"/>
    <n v="115958.83"/>
    <x v="6"/>
    <n v="2025"/>
  </r>
  <r>
    <s v="TXN01465"/>
    <x v="4"/>
    <x v="0"/>
    <x v="6"/>
    <x v="1"/>
    <d v="2024-01-25T00:00:00"/>
    <x v="0"/>
    <n v="28687.08"/>
    <n v="5"/>
    <x v="2"/>
    <n v="4303.0600000000004"/>
    <x v="1464"/>
    <n v="81758.179999999993"/>
    <x v="10"/>
    <n v="2024"/>
  </r>
  <r>
    <s v="TXN01466"/>
    <x v="14"/>
    <x v="2"/>
    <x v="11"/>
    <x v="5"/>
    <d v="2024-12-28T00:00:00"/>
    <x v="0"/>
    <n v="5503.19"/>
    <n v="20"/>
    <x v="2"/>
    <n v="3301.91"/>
    <x v="1465"/>
    <n v="13207.66"/>
    <x v="3"/>
    <n v="2024"/>
  </r>
  <r>
    <s v="TXN01467"/>
    <x v="6"/>
    <x v="1"/>
    <x v="4"/>
    <x v="0"/>
    <d v="2025-08-28T00:00:00"/>
    <x v="9"/>
    <n v="8433.26"/>
    <n v="0"/>
    <x v="5"/>
    <n v="0"/>
    <x v="1466"/>
    <n v="84332.6"/>
    <x v="0"/>
    <n v="2025"/>
  </r>
  <r>
    <s v="TXN01468"/>
    <x v="11"/>
    <x v="0"/>
    <x v="3"/>
    <x v="5"/>
    <d v="2025-03-22T00:00:00"/>
    <x v="7"/>
    <n v="19609.47"/>
    <n v="5"/>
    <x v="6"/>
    <n v="4902.37"/>
    <x v="1467"/>
    <n v="93144.98"/>
    <x v="6"/>
    <n v="2025"/>
  </r>
  <r>
    <s v="TXN01469"/>
    <x v="14"/>
    <x v="1"/>
    <x v="8"/>
    <x v="3"/>
    <d v="2024-06-04T00:00:00"/>
    <x v="8"/>
    <n v="41935.53"/>
    <n v="10"/>
    <x v="7"/>
    <n v="4193.55"/>
    <x v="1468"/>
    <n v="37741.980000000003"/>
    <x v="5"/>
    <n v="2024"/>
  </r>
  <r>
    <s v="TXN01470"/>
    <x v="3"/>
    <x v="4"/>
    <x v="23"/>
    <x v="5"/>
    <d v="2025-06-04T00:00:00"/>
    <x v="9"/>
    <n v="9698.25"/>
    <n v="0"/>
    <x v="3"/>
    <n v="0"/>
    <x v="1469"/>
    <n v="96982.5"/>
    <x v="5"/>
    <n v="2025"/>
  </r>
  <r>
    <s v="TXN01471"/>
    <x v="11"/>
    <x v="1"/>
    <x v="4"/>
    <x v="0"/>
    <d v="2025-07-31T00:00:00"/>
    <x v="6"/>
    <n v="8994.6"/>
    <n v="20"/>
    <x v="1"/>
    <n v="16190.28"/>
    <x v="1470"/>
    <n v="64761.120000000003"/>
    <x v="11"/>
    <n v="2025"/>
  </r>
  <r>
    <s v="TXN01472"/>
    <x v="5"/>
    <x v="2"/>
    <x v="9"/>
    <x v="0"/>
    <d v="2024-11-22T00:00:00"/>
    <x v="0"/>
    <n v="5634.97"/>
    <n v="0"/>
    <x v="2"/>
    <n v="0"/>
    <x v="1471"/>
    <n v="16904.91"/>
    <x v="8"/>
    <n v="2024"/>
  </r>
  <r>
    <s v="TXN01473"/>
    <x v="9"/>
    <x v="1"/>
    <x v="2"/>
    <x v="0"/>
    <d v="2024-04-11T00:00:00"/>
    <x v="3"/>
    <n v="24279.94"/>
    <n v="0"/>
    <x v="5"/>
    <n v="0"/>
    <x v="1472"/>
    <n v="145679.64000000001"/>
    <x v="1"/>
    <n v="2024"/>
  </r>
  <r>
    <s v="TXN01474"/>
    <x v="11"/>
    <x v="3"/>
    <x v="20"/>
    <x v="5"/>
    <d v="2024-06-22T00:00:00"/>
    <x v="7"/>
    <n v="3971.8"/>
    <n v="10"/>
    <x v="0"/>
    <n v="1985.9"/>
    <x v="1473"/>
    <n v="17873.099999999999"/>
    <x v="5"/>
    <n v="2024"/>
  </r>
  <r>
    <s v="TXN01475"/>
    <x v="14"/>
    <x v="2"/>
    <x v="10"/>
    <x v="4"/>
    <d v="2024-05-24T00:00:00"/>
    <x v="5"/>
    <n v="2379.2800000000002"/>
    <n v="20"/>
    <x v="4"/>
    <n v="951.71"/>
    <x v="1474"/>
    <n v="3806.85"/>
    <x v="9"/>
    <n v="2024"/>
  </r>
  <r>
    <s v="TXN01476"/>
    <x v="12"/>
    <x v="1"/>
    <x v="12"/>
    <x v="1"/>
    <d v="2024-01-07T00:00:00"/>
    <x v="2"/>
    <n v="6648.76"/>
    <n v="0"/>
    <x v="0"/>
    <n v="0"/>
    <x v="1475"/>
    <n v="53190.080000000002"/>
    <x v="10"/>
    <n v="2024"/>
  </r>
  <r>
    <s v="TXN01477"/>
    <x v="5"/>
    <x v="3"/>
    <x v="7"/>
    <x v="6"/>
    <d v="2025-03-31T00:00:00"/>
    <x v="6"/>
    <n v="1676.78"/>
    <n v="15"/>
    <x v="2"/>
    <n v="2263.65"/>
    <x v="1476"/>
    <n v="12827.37"/>
    <x v="6"/>
    <n v="2025"/>
  </r>
  <r>
    <s v="TXN01478"/>
    <x v="0"/>
    <x v="3"/>
    <x v="15"/>
    <x v="2"/>
    <d v="2025-03-31T00:00:00"/>
    <x v="4"/>
    <n v="818.65"/>
    <n v="0"/>
    <x v="7"/>
    <n v="0"/>
    <x v="1477"/>
    <n v="5730.55"/>
    <x v="6"/>
    <n v="2025"/>
  </r>
  <r>
    <s v="TXN01479"/>
    <x v="0"/>
    <x v="1"/>
    <x v="4"/>
    <x v="2"/>
    <d v="2024-12-28T00:00:00"/>
    <x v="5"/>
    <n v="9557.41"/>
    <n v="5"/>
    <x v="7"/>
    <n v="955.74"/>
    <x v="1478"/>
    <n v="18159.080000000002"/>
    <x v="3"/>
    <n v="2024"/>
  </r>
  <r>
    <s v="TXN01480"/>
    <x v="7"/>
    <x v="0"/>
    <x v="3"/>
    <x v="6"/>
    <d v="2024-10-09T00:00:00"/>
    <x v="2"/>
    <n v="20941.59"/>
    <n v="20"/>
    <x v="5"/>
    <n v="33506.54"/>
    <x v="1479"/>
    <n v="134026.18"/>
    <x v="4"/>
    <n v="2024"/>
  </r>
  <r>
    <s v="TXN01481"/>
    <x v="14"/>
    <x v="0"/>
    <x v="3"/>
    <x v="1"/>
    <d v="2024-04-12T00:00:00"/>
    <x v="6"/>
    <n v="17628.87"/>
    <n v="20"/>
    <x v="2"/>
    <n v="31731.97"/>
    <x v="1480"/>
    <n v="126927.86"/>
    <x v="1"/>
    <n v="2024"/>
  </r>
  <r>
    <s v="TXN01482"/>
    <x v="2"/>
    <x v="0"/>
    <x v="0"/>
    <x v="4"/>
    <d v="2024-08-13T00:00:00"/>
    <x v="1"/>
    <n v="62810.9"/>
    <n v="5"/>
    <x v="2"/>
    <n v="12562.18"/>
    <x v="1481"/>
    <n v="238681.42"/>
    <x v="0"/>
    <n v="2024"/>
  </r>
  <r>
    <s v="TXN01483"/>
    <x v="0"/>
    <x v="4"/>
    <x v="18"/>
    <x v="5"/>
    <d v="2024-05-14T00:00:00"/>
    <x v="1"/>
    <n v="12704.32"/>
    <n v="0"/>
    <x v="4"/>
    <n v="0"/>
    <x v="1482"/>
    <n v="50817.279999999999"/>
    <x v="9"/>
    <n v="2024"/>
  </r>
  <r>
    <s v="TXN01484"/>
    <x v="13"/>
    <x v="2"/>
    <x v="5"/>
    <x v="5"/>
    <d v="2025-05-17T00:00:00"/>
    <x v="6"/>
    <n v="1263.3699999999999"/>
    <n v="5"/>
    <x v="7"/>
    <n v="568.52"/>
    <x v="1483"/>
    <n v="10801.81"/>
    <x v="9"/>
    <n v="2025"/>
  </r>
  <r>
    <s v="TXN01485"/>
    <x v="0"/>
    <x v="0"/>
    <x v="24"/>
    <x v="0"/>
    <d v="2025-10-08T00:00:00"/>
    <x v="9"/>
    <n v="7381.83"/>
    <n v="10"/>
    <x v="2"/>
    <n v="7381.83"/>
    <x v="1484"/>
    <n v="66436.47"/>
    <x v="4"/>
    <n v="2025"/>
  </r>
  <r>
    <s v="TXN01486"/>
    <x v="8"/>
    <x v="4"/>
    <x v="14"/>
    <x v="4"/>
    <d v="2024-08-25T00:00:00"/>
    <x v="7"/>
    <n v="1600.49"/>
    <n v="15"/>
    <x v="4"/>
    <n v="1200.3699999999999"/>
    <x v="1485"/>
    <n v="6802.08"/>
    <x v="0"/>
    <n v="2024"/>
  </r>
  <r>
    <s v="TXN01487"/>
    <x v="3"/>
    <x v="4"/>
    <x v="14"/>
    <x v="6"/>
    <d v="2024-10-29T00:00:00"/>
    <x v="5"/>
    <n v="1575.31"/>
    <n v="10"/>
    <x v="6"/>
    <n v="315.06"/>
    <x v="1486"/>
    <n v="2835.56"/>
    <x v="4"/>
    <n v="2024"/>
  </r>
  <r>
    <s v="TXN01488"/>
    <x v="3"/>
    <x v="4"/>
    <x v="23"/>
    <x v="4"/>
    <d v="2024-04-28T00:00:00"/>
    <x v="0"/>
    <n v="10161.84"/>
    <n v="10"/>
    <x v="2"/>
    <n v="3048.55"/>
    <x v="1487"/>
    <n v="27436.97"/>
    <x v="1"/>
    <n v="2024"/>
  </r>
  <r>
    <s v="TXN01489"/>
    <x v="0"/>
    <x v="0"/>
    <x v="3"/>
    <x v="5"/>
    <d v="2025-05-10T00:00:00"/>
    <x v="2"/>
    <n v="18904.759999999998"/>
    <n v="5"/>
    <x v="3"/>
    <n v="7561.9"/>
    <x v="1488"/>
    <n v="143676.18"/>
    <x v="9"/>
    <n v="2025"/>
  </r>
  <r>
    <s v="TXN01490"/>
    <x v="5"/>
    <x v="0"/>
    <x v="3"/>
    <x v="6"/>
    <d v="2025-02-22T00:00:00"/>
    <x v="8"/>
    <n v="18730.16"/>
    <n v="10"/>
    <x v="0"/>
    <n v="1873.02"/>
    <x v="1489"/>
    <n v="16857.14"/>
    <x v="2"/>
    <n v="2025"/>
  </r>
  <r>
    <s v="TXN01491"/>
    <x v="1"/>
    <x v="3"/>
    <x v="20"/>
    <x v="5"/>
    <d v="2025-03-11T00:00:00"/>
    <x v="4"/>
    <n v="3378.11"/>
    <n v="0"/>
    <x v="6"/>
    <n v="0"/>
    <x v="1490"/>
    <n v="23646.77"/>
    <x v="6"/>
    <n v="2025"/>
  </r>
  <r>
    <s v="TXN01492"/>
    <x v="0"/>
    <x v="3"/>
    <x v="16"/>
    <x v="4"/>
    <d v="2025-10-13T00:00:00"/>
    <x v="8"/>
    <n v="1612.26"/>
    <n v="15"/>
    <x v="5"/>
    <n v="241.84"/>
    <x v="1491"/>
    <n v="1370.42"/>
    <x v="4"/>
    <n v="2025"/>
  </r>
  <r>
    <s v="TXN01493"/>
    <x v="14"/>
    <x v="1"/>
    <x v="8"/>
    <x v="4"/>
    <d v="2025-10-02T00:00:00"/>
    <x v="5"/>
    <n v="50026.66"/>
    <n v="20"/>
    <x v="0"/>
    <n v="20010.66"/>
    <x v="1492"/>
    <n v="80042.66"/>
    <x v="4"/>
    <n v="2025"/>
  </r>
  <r>
    <s v="TXN01494"/>
    <x v="7"/>
    <x v="2"/>
    <x v="22"/>
    <x v="6"/>
    <d v="2024-01-22T00:00:00"/>
    <x v="4"/>
    <n v="830.31"/>
    <n v="10"/>
    <x v="1"/>
    <n v="581.22"/>
    <x v="1493"/>
    <n v="5230.95"/>
    <x v="10"/>
    <n v="2024"/>
  </r>
  <r>
    <s v="TXN01495"/>
    <x v="6"/>
    <x v="3"/>
    <x v="21"/>
    <x v="2"/>
    <d v="2025-06-15T00:00:00"/>
    <x v="1"/>
    <n v="2476.31"/>
    <n v="5"/>
    <x v="1"/>
    <n v="495.26"/>
    <x v="1494"/>
    <n v="9409.98"/>
    <x v="5"/>
    <n v="2025"/>
  </r>
  <r>
    <s v="TXN01496"/>
    <x v="1"/>
    <x v="1"/>
    <x v="8"/>
    <x v="3"/>
    <d v="2024-10-24T00:00:00"/>
    <x v="0"/>
    <n v="49617.19"/>
    <n v="10"/>
    <x v="0"/>
    <n v="14885.16"/>
    <x v="1495"/>
    <n v="133966.41"/>
    <x v="4"/>
    <n v="2024"/>
  </r>
  <r>
    <s v="TXN01497"/>
    <x v="9"/>
    <x v="4"/>
    <x v="18"/>
    <x v="2"/>
    <d v="2024-01-14T00:00:00"/>
    <x v="8"/>
    <n v="13336.45"/>
    <n v="20"/>
    <x v="0"/>
    <n v="2667.29"/>
    <x v="1496"/>
    <n v="10669.16"/>
    <x v="10"/>
    <n v="2024"/>
  </r>
  <r>
    <s v="TXN01498"/>
    <x v="1"/>
    <x v="0"/>
    <x v="1"/>
    <x v="3"/>
    <d v="2024-02-13T00:00:00"/>
    <x v="0"/>
    <n v="2912.32"/>
    <n v="0"/>
    <x v="6"/>
    <n v="0"/>
    <x v="1497"/>
    <n v="8736.9599999999991"/>
    <x v="2"/>
    <n v="2024"/>
  </r>
  <r>
    <s v="TXN01499"/>
    <x v="13"/>
    <x v="1"/>
    <x v="13"/>
    <x v="0"/>
    <d v="2025-01-21T00:00:00"/>
    <x v="4"/>
    <n v="11193.58"/>
    <n v="10"/>
    <x v="7"/>
    <n v="7835.51"/>
    <x v="1498"/>
    <n v="70519.55"/>
    <x v="10"/>
    <n v="2025"/>
  </r>
  <r>
    <s v="TXN01500"/>
    <x v="6"/>
    <x v="0"/>
    <x v="0"/>
    <x v="6"/>
    <d v="2024-01-21T00:00:00"/>
    <x v="8"/>
    <n v="70568.09"/>
    <n v="20"/>
    <x v="2"/>
    <n v="14113.62"/>
    <x v="1499"/>
    <n v="56454.47"/>
    <x v="10"/>
    <n v="2024"/>
  </r>
  <r>
    <s v="TXN01501"/>
    <x v="6"/>
    <x v="2"/>
    <x v="5"/>
    <x v="2"/>
    <d v="2024-07-17T00:00:00"/>
    <x v="9"/>
    <n v="1337.79"/>
    <n v="10"/>
    <x v="2"/>
    <n v="1337.79"/>
    <x v="1500"/>
    <n v="12040.11"/>
    <x v="11"/>
    <n v="2024"/>
  </r>
  <r>
    <s v="TXN01502"/>
    <x v="0"/>
    <x v="4"/>
    <x v="14"/>
    <x v="1"/>
    <d v="2024-10-07T00:00:00"/>
    <x v="2"/>
    <n v="1568.6"/>
    <n v="10"/>
    <x v="4"/>
    <n v="1254.8800000000001"/>
    <x v="1501"/>
    <n v="11293.92"/>
    <x v="4"/>
    <n v="2024"/>
  </r>
  <r>
    <s v="TXN01503"/>
    <x v="1"/>
    <x v="2"/>
    <x v="9"/>
    <x v="0"/>
    <d v="2024-04-05T00:00:00"/>
    <x v="1"/>
    <n v="5137.75"/>
    <n v="20"/>
    <x v="2"/>
    <n v="4110.2"/>
    <x v="1502"/>
    <n v="16440.8"/>
    <x v="1"/>
    <n v="2024"/>
  </r>
  <r>
    <s v="TXN01504"/>
    <x v="5"/>
    <x v="3"/>
    <x v="16"/>
    <x v="2"/>
    <d v="2025-01-26T00:00:00"/>
    <x v="8"/>
    <n v="1722.43"/>
    <n v="15"/>
    <x v="0"/>
    <n v="258.36"/>
    <x v="1503"/>
    <n v="1464.07"/>
    <x v="10"/>
    <n v="2025"/>
  </r>
  <r>
    <s v="TXN01505"/>
    <x v="0"/>
    <x v="3"/>
    <x v="21"/>
    <x v="1"/>
    <d v="2024-08-17T00:00:00"/>
    <x v="9"/>
    <n v="2859.49"/>
    <n v="15"/>
    <x v="6"/>
    <n v="4289.2299999999996"/>
    <x v="1504"/>
    <n v="24305.67"/>
    <x v="0"/>
    <n v="2024"/>
  </r>
  <r>
    <s v="TXN01506"/>
    <x v="3"/>
    <x v="1"/>
    <x v="2"/>
    <x v="5"/>
    <d v="2025-10-20T00:00:00"/>
    <x v="7"/>
    <n v="27035.49"/>
    <n v="0"/>
    <x v="7"/>
    <n v="0"/>
    <x v="1505"/>
    <n v="135177.45000000001"/>
    <x v="4"/>
    <n v="2025"/>
  </r>
  <r>
    <s v="TXN01507"/>
    <x v="7"/>
    <x v="0"/>
    <x v="1"/>
    <x v="4"/>
    <d v="2025-08-30T00:00:00"/>
    <x v="1"/>
    <n v="2762.92"/>
    <n v="15"/>
    <x v="6"/>
    <n v="1657.75"/>
    <x v="1506"/>
    <n v="9393.93"/>
    <x v="0"/>
    <n v="2025"/>
  </r>
  <r>
    <s v="TXN01508"/>
    <x v="9"/>
    <x v="2"/>
    <x v="9"/>
    <x v="2"/>
    <d v="2024-03-01T00:00:00"/>
    <x v="2"/>
    <n v="4333.53"/>
    <n v="10"/>
    <x v="0"/>
    <n v="3466.82"/>
    <x v="1507"/>
    <n v="31201.42"/>
    <x v="6"/>
    <n v="2024"/>
  </r>
  <r>
    <s v="TXN01509"/>
    <x v="13"/>
    <x v="3"/>
    <x v="7"/>
    <x v="0"/>
    <d v="2024-01-06T00:00:00"/>
    <x v="7"/>
    <n v="1930.68"/>
    <n v="20"/>
    <x v="2"/>
    <n v="1930.68"/>
    <x v="1508"/>
    <n v="7722.72"/>
    <x v="10"/>
    <n v="2024"/>
  </r>
  <r>
    <s v="TXN01510"/>
    <x v="11"/>
    <x v="4"/>
    <x v="14"/>
    <x v="0"/>
    <d v="2024-11-25T00:00:00"/>
    <x v="2"/>
    <n v="1777.41"/>
    <n v="20"/>
    <x v="0"/>
    <n v="2843.86"/>
    <x v="1509"/>
    <n v="11375.42"/>
    <x v="8"/>
    <n v="2024"/>
  </r>
  <r>
    <s v="TXN01511"/>
    <x v="14"/>
    <x v="2"/>
    <x v="10"/>
    <x v="1"/>
    <d v="2025-12-17T00:00:00"/>
    <x v="5"/>
    <n v="2733.28"/>
    <n v="0"/>
    <x v="2"/>
    <n v="0"/>
    <x v="1510"/>
    <n v="5466.56"/>
    <x v="3"/>
    <n v="2025"/>
  </r>
  <r>
    <s v="TXN01512"/>
    <x v="0"/>
    <x v="1"/>
    <x v="8"/>
    <x v="1"/>
    <d v="2024-07-21T00:00:00"/>
    <x v="2"/>
    <n v="44697.49"/>
    <n v="0"/>
    <x v="3"/>
    <n v="0"/>
    <x v="1511"/>
    <n v="357579.92"/>
    <x v="11"/>
    <n v="2024"/>
  </r>
  <r>
    <s v="TXN01513"/>
    <x v="11"/>
    <x v="0"/>
    <x v="24"/>
    <x v="4"/>
    <d v="2024-05-23T00:00:00"/>
    <x v="6"/>
    <n v="7031.76"/>
    <n v="0"/>
    <x v="6"/>
    <n v="0"/>
    <x v="1512"/>
    <n v="63285.84"/>
    <x v="9"/>
    <n v="2024"/>
  </r>
  <r>
    <s v="TXN01514"/>
    <x v="1"/>
    <x v="3"/>
    <x v="15"/>
    <x v="0"/>
    <d v="2025-06-19T00:00:00"/>
    <x v="3"/>
    <n v="843.02"/>
    <n v="10"/>
    <x v="4"/>
    <n v="505.81"/>
    <x v="1513"/>
    <n v="4552.3100000000004"/>
    <x v="5"/>
    <n v="2025"/>
  </r>
  <r>
    <s v="TXN01515"/>
    <x v="7"/>
    <x v="2"/>
    <x v="5"/>
    <x v="0"/>
    <d v="2025-09-20T00:00:00"/>
    <x v="3"/>
    <n v="1235.81"/>
    <n v="10"/>
    <x v="0"/>
    <n v="741.49"/>
    <x v="1514"/>
    <n v="6673.37"/>
    <x v="7"/>
    <n v="2025"/>
  </r>
  <r>
    <s v="TXN01516"/>
    <x v="2"/>
    <x v="4"/>
    <x v="23"/>
    <x v="0"/>
    <d v="2024-06-17T00:00:00"/>
    <x v="6"/>
    <n v="10787.7"/>
    <n v="15"/>
    <x v="3"/>
    <n v="14563.4"/>
    <x v="1515"/>
    <n v="82525.899999999994"/>
    <x v="5"/>
    <n v="2024"/>
  </r>
  <r>
    <s v="TXN01517"/>
    <x v="1"/>
    <x v="0"/>
    <x v="3"/>
    <x v="4"/>
    <d v="2025-04-26T00:00:00"/>
    <x v="5"/>
    <n v="20669.900000000001"/>
    <n v="0"/>
    <x v="3"/>
    <n v="0"/>
    <x v="1516"/>
    <n v="41339.800000000003"/>
    <x v="1"/>
    <n v="2025"/>
  </r>
  <r>
    <s v="TXN01518"/>
    <x v="2"/>
    <x v="3"/>
    <x v="7"/>
    <x v="2"/>
    <d v="2025-07-04T00:00:00"/>
    <x v="2"/>
    <n v="1768.97"/>
    <n v="0"/>
    <x v="7"/>
    <n v="0"/>
    <x v="1517"/>
    <n v="14151.76"/>
    <x v="11"/>
    <n v="2025"/>
  </r>
  <r>
    <s v="TXN01519"/>
    <x v="12"/>
    <x v="2"/>
    <x v="9"/>
    <x v="4"/>
    <d v="2024-12-24T00:00:00"/>
    <x v="6"/>
    <n v="5548.14"/>
    <n v="10"/>
    <x v="7"/>
    <n v="4993.33"/>
    <x v="1518"/>
    <n v="44939.93"/>
    <x v="3"/>
    <n v="2024"/>
  </r>
  <r>
    <s v="TXN01520"/>
    <x v="5"/>
    <x v="0"/>
    <x v="6"/>
    <x v="0"/>
    <d v="2025-08-21T00:00:00"/>
    <x v="7"/>
    <n v="24795.47"/>
    <n v="15"/>
    <x v="2"/>
    <n v="18596.599999999999"/>
    <x v="1519"/>
    <n v="105380.75"/>
    <x v="0"/>
    <n v="2025"/>
  </r>
  <r>
    <s v="TXN01521"/>
    <x v="9"/>
    <x v="3"/>
    <x v="21"/>
    <x v="2"/>
    <d v="2024-03-20T00:00:00"/>
    <x v="9"/>
    <n v="2345.2600000000002"/>
    <n v="5"/>
    <x v="0"/>
    <n v="1172.6300000000001"/>
    <x v="1520"/>
    <n v="22279.97"/>
    <x v="6"/>
    <n v="2024"/>
  </r>
  <r>
    <s v="TXN01522"/>
    <x v="5"/>
    <x v="3"/>
    <x v="7"/>
    <x v="6"/>
    <d v="2024-05-09T00:00:00"/>
    <x v="6"/>
    <n v="1884.29"/>
    <n v="15"/>
    <x v="7"/>
    <n v="2543.79"/>
    <x v="1521"/>
    <n v="14414.82"/>
    <x v="9"/>
    <n v="2024"/>
  </r>
  <r>
    <s v="TXN01523"/>
    <x v="10"/>
    <x v="3"/>
    <x v="21"/>
    <x v="3"/>
    <d v="2025-09-22T00:00:00"/>
    <x v="2"/>
    <n v="2380.8200000000002"/>
    <n v="0"/>
    <x v="4"/>
    <n v="0"/>
    <x v="1522"/>
    <n v="19046.560000000001"/>
    <x v="7"/>
    <n v="2025"/>
  </r>
  <r>
    <s v="TXN01524"/>
    <x v="6"/>
    <x v="1"/>
    <x v="13"/>
    <x v="3"/>
    <d v="2024-05-26T00:00:00"/>
    <x v="0"/>
    <n v="12226.39"/>
    <n v="0"/>
    <x v="3"/>
    <n v="0"/>
    <x v="1523"/>
    <n v="36679.17"/>
    <x v="9"/>
    <n v="2024"/>
  </r>
  <r>
    <s v="TXN01525"/>
    <x v="14"/>
    <x v="3"/>
    <x v="15"/>
    <x v="1"/>
    <d v="2025-06-07T00:00:00"/>
    <x v="2"/>
    <n v="805.08"/>
    <n v="15"/>
    <x v="3"/>
    <n v="966.1"/>
    <x v="1524"/>
    <n v="5474.54"/>
    <x v="5"/>
    <n v="2025"/>
  </r>
  <r>
    <s v="TXN01526"/>
    <x v="9"/>
    <x v="3"/>
    <x v="20"/>
    <x v="3"/>
    <d v="2024-09-03T00:00:00"/>
    <x v="6"/>
    <n v="3494.09"/>
    <n v="15"/>
    <x v="7"/>
    <n v="4717.0200000000004"/>
    <x v="1525"/>
    <n v="26729.79"/>
    <x v="7"/>
    <n v="2024"/>
  </r>
  <r>
    <s v="TXN01527"/>
    <x v="5"/>
    <x v="4"/>
    <x v="19"/>
    <x v="3"/>
    <d v="2025-06-27T00:00:00"/>
    <x v="5"/>
    <n v="8966.57"/>
    <n v="5"/>
    <x v="5"/>
    <n v="896.66"/>
    <x v="1526"/>
    <n v="17036.48"/>
    <x v="5"/>
    <n v="2025"/>
  </r>
  <r>
    <s v="TXN01528"/>
    <x v="0"/>
    <x v="1"/>
    <x v="4"/>
    <x v="4"/>
    <d v="2025-07-27T00:00:00"/>
    <x v="2"/>
    <n v="8180.19"/>
    <n v="10"/>
    <x v="2"/>
    <n v="6544.15"/>
    <x v="1527"/>
    <n v="58897.37"/>
    <x v="11"/>
    <n v="2025"/>
  </r>
  <r>
    <s v="TXN01529"/>
    <x v="14"/>
    <x v="0"/>
    <x v="1"/>
    <x v="5"/>
    <d v="2024-07-01T00:00:00"/>
    <x v="8"/>
    <n v="3349.6"/>
    <n v="15"/>
    <x v="5"/>
    <n v="502.44"/>
    <x v="1528"/>
    <n v="2847.16"/>
    <x v="11"/>
    <n v="2024"/>
  </r>
  <r>
    <s v="TXN01530"/>
    <x v="2"/>
    <x v="3"/>
    <x v="16"/>
    <x v="6"/>
    <d v="2025-01-26T00:00:00"/>
    <x v="3"/>
    <n v="1417.13"/>
    <n v="0"/>
    <x v="0"/>
    <n v="0"/>
    <x v="1529"/>
    <n v="8502.7800000000007"/>
    <x v="10"/>
    <n v="2025"/>
  </r>
  <r>
    <s v="TXN01531"/>
    <x v="3"/>
    <x v="1"/>
    <x v="2"/>
    <x v="6"/>
    <d v="2024-01-06T00:00:00"/>
    <x v="9"/>
    <n v="24439.94"/>
    <n v="0"/>
    <x v="0"/>
    <n v="0"/>
    <x v="1530"/>
    <n v="244399.4"/>
    <x v="10"/>
    <n v="2024"/>
  </r>
  <r>
    <s v="TXN01532"/>
    <x v="9"/>
    <x v="3"/>
    <x v="20"/>
    <x v="1"/>
    <d v="2024-02-04T00:00:00"/>
    <x v="7"/>
    <n v="3711.46"/>
    <n v="15"/>
    <x v="4"/>
    <n v="2783.59"/>
    <x v="1531"/>
    <n v="15773.71"/>
    <x v="2"/>
    <n v="2024"/>
  </r>
  <r>
    <s v="TXN01533"/>
    <x v="5"/>
    <x v="0"/>
    <x v="3"/>
    <x v="2"/>
    <d v="2025-08-08T00:00:00"/>
    <x v="8"/>
    <n v="20084.330000000002"/>
    <n v="15"/>
    <x v="1"/>
    <n v="3012.65"/>
    <x v="1532"/>
    <n v="17071.68"/>
    <x v="0"/>
    <n v="2025"/>
  </r>
  <r>
    <s v="TXN01534"/>
    <x v="11"/>
    <x v="2"/>
    <x v="9"/>
    <x v="4"/>
    <d v="2025-10-25T00:00:00"/>
    <x v="6"/>
    <n v="5454.2"/>
    <n v="0"/>
    <x v="6"/>
    <n v="0"/>
    <x v="1533"/>
    <n v="49087.8"/>
    <x v="4"/>
    <n v="2025"/>
  </r>
  <r>
    <s v="TXN01535"/>
    <x v="12"/>
    <x v="3"/>
    <x v="15"/>
    <x v="2"/>
    <d v="2025-12-23T00:00:00"/>
    <x v="0"/>
    <n v="983.6"/>
    <n v="5"/>
    <x v="3"/>
    <n v="147.54"/>
    <x v="1534"/>
    <n v="2803.26"/>
    <x v="3"/>
    <n v="2025"/>
  </r>
  <r>
    <s v="TXN01536"/>
    <x v="4"/>
    <x v="0"/>
    <x v="24"/>
    <x v="3"/>
    <d v="2024-02-27T00:00:00"/>
    <x v="2"/>
    <n v="7415.59"/>
    <n v="0"/>
    <x v="7"/>
    <n v="0"/>
    <x v="1535"/>
    <n v="59324.72"/>
    <x v="2"/>
    <n v="2024"/>
  </r>
  <r>
    <s v="TXN01537"/>
    <x v="4"/>
    <x v="3"/>
    <x v="15"/>
    <x v="6"/>
    <d v="2024-07-17T00:00:00"/>
    <x v="9"/>
    <n v="867.49"/>
    <n v="10"/>
    <x v="4"/>
    <n v="867.49"/>
    <x v="1536"/>
    <n v="7807.41"/>
    <x v="11"/>
    <n v="2024"/>
  </r>
  <r>
    <s v="TXN01538"/>
    <x v="14"/>
    <x v="3"/>
    <x v="7"/>
    <x v="6"/>
    <d v="2025-06-12T00:00:00"/>
    <x v="8"/>
    <n v="2043.25"/>
    <n v="15"/>
    <x v="5"/>
    <n v="306.49"/>
    <x v="1537"/>
    <n v="1736.76"/>
    <x v="5"/>
    <n v="2025"/>
  </r>
  <r>
    <s v="TXN01539"/>
    <x v="6"/>
    <x v="4"/>
    <x v="17"/>
    <x v="4"/>
    <d v="2024-09-30T00:00:00"/>
    <x v="5"/>
    <n v="3301.01"/>
    <n v="0"/>
    <x v="3"/>
    <n v="0"/>
    <x v="1538"/>
    <n v="6602.02"/>
    <x v="7"/>
    <n v="2024"/>
  </r>
  <r>
    <s v="TXN01540"/>
    <x v="2"/>
    <x v="3"/>
    <x v="21"/>
    <x v="2"/>
    <d v="2024-06-26T00:00:00"/>
    <x v="8"/>
    <n v="2444.48"/>
    <n v="20"/>
    <x v="2"/>
    <n v="488.9"/>
    <x v="1539"/>
    <n v="1955.58"/>
    <x v="5"/>
    <n v="2024"/>
  </r>
  <r>
    <s v="TXN01541"/>
    <x v="3"/>
    <x v="3"/>
    <x v="15"/>
    <x v="5"/>
    <d v="2025-08-02T00:00:00"/>
    <x v="2"/>
    <n v="737.63"/>
    <n v="0"/>
    <x v="7"/>
    <n v="0"/>
    <x v="1540"/>
    <n v="5901.04"/>
    <x v="0"/>
    <n v="2025"/>
  </r>
  <r>
    <s v="TXN01542"/>
    <x v="7"/>
    <x v="1"/>
    <x v="12"/>
    <x v="0"/>
    <d v="2024-06-22T00:00:00"/>
    <x v="8"/>
    <n v="5726.29"/>
    <n v="10"/>
    <x v="1"/>
    <n v="572.63"/>
    <x v="1541"/>
    <n v="5153.66"/>
    <x v="5"/>
    <n v="2024"/>
  </r>
  <r>
    <s v="TXN01543"/>
    <x v="14"/>
    <x v="4"/>
    <x v="17"/>
    <x v="2"/>
    <d v="2024-11-11T00:00:00"/>
    <x v="1"/>
    <n v="4184.38"/>
    <n v="5"/>
    <x v="0"/>
    <n v="836.88"/>
    <x v="1542"/>
    <n v="15900.64"/>
    <x v="8"/>
    <n v="2024"/>
  </r>
  <r>
    <s v="TXN01544"/>
    <x v="1"/>
    <x v="3"/>
    <x v="15"/>
    <x v="2"/>
    <d v="2024-07-01T00:00:00"/>
    <x v="7"/>
    <n v="748.09"/>
    <n v="10"/>
    <x v="4"/>
    <n v="374.05"/>
    <x v="1543"/>
    <n v="3366.4"/>
    <x v="11"/>
    <n v="2024"/>
  </r>
  <r>
    <s v="TXN01545"/>
    <x v="4"/>
    <x v="4"/>
    <x v="18"/>
    <x v="4"/>
    <d v="2024-07-23T00:00:00"/>
    <x v="0"/>
    <n v="13737.83"/>
    <n v="10"/>
    <x v="4"/>
    <n v="4121.3500000000004"/>
    <x v="1544"/>
    <n v="37092.14"/>
    <x v="11"/>
    <n v="2024"/>
  </r>
  <r>
    <s v="TXN01546"/>
    <x v="6"/>
    <x v="4"/>
    <x v="19"/>
    <x v="5"/>
    <d v="2025-08-15T00:00:00"/>
    <x v="3"/>
    <n v="7897.72"/>
    <n v="20"/>
    <x v="5"/>
    <n v="9477.26"/>
    <x v="1545"/>
    <n v="37909.06"/>
    <x v="0"/>
    <n v="2025"/>
  </r>
  <r>
    <s v="TXN01547"/>
    <x v="13"/>
    <x v="4"/>
    <x v="18"/>
    <x v="3"/>
    <d v="2024-06-08T00:00:00"/>
    <x v="6"/>
    <n v="12506.13"/>
    <n v="15"/>
    <x v="2"/>
    <n v="16883.28"/>
    <x v="1546"/>
    <n v="95671.89"/>
    <x v="5"/>
    <n v="2024"/>
  </r>
  <r>
    <s v="TXN01548"/>
    <x v="2"/>
    <x v="3"/>
    <x v="20"/>
    <x v="0"/>
    <d v="2024-04-02T00:00:00"/>
    <x v="6"/>
    <n v="3826.73"/>
    <n v="10"/>
    <x v="4"/>
    <n v="3444.06"/>
    <x v="1547"/>
    <n v="30996.51"/>
    <x v="1"/>
    <n v="2024"/>
  </r>
  <r>
    <s v="TXN01549"/>
    <x v="5"/>
    <x v="1"/>
    <x v="2"/>
    <x v="1"/>
    <d v="2025-06-13T00:00:00"/>
    <x v="0"/>
    <n v="25470.06"/>
    <n v="15"/>
    <x v="7"/>
    <n v="11461.53"/>
    <x v="1548"/>
    <n v="64948.65"/>
    <x v="5"/>
    <n v="2025"/>
  </r>
  <r>
    <s v="TXN01550"/>
    <x v="3"/>
    <x v="2"/>
    <x v="22"/>
    <x v="6"/>
    <d v="2025-11-05T00:00:00"/>
    <x v="9"/>
    <n v="1114.07"/>
    <n v="10"/>
    <x v="2"/>
    <n v="1114.07"/>
    <x v="1549"/>
    <n v="10026.629999999999"/>
    <x v="8"/>
    <n v="2025"/>
  </r>
  <r>
    <s v="TXN01551"/>
    <x v="4"/>
    <x v="0"/>
    <x v="3"/>
    <x v="1"/>
    <d v="2025-03-07T00:00:00"/>
    <x v="2"/>
    <n v="17706.21"/>
    <n v="0"/>
    <x v="3"/>
    <n v="0"/>
    <x v="1550"/>
    <n v="141649.68"/>
    <x v="6"/>
    <n v="2025"/>
  </r>
  <r>
    <s v="TXN01552"/>
    <x v="5"/>
    <x v="1"/>
    <x v="4"/>
    <x v="4"/>
    <d v="2025-07-13T00:00:00"/>
    <x v="0"/>
    <n v="8704.09"/>
    <n v="15"/>
    <x v="6"/>
    <n v="3916.84"/>
    <x v="1551"/>
    <n v="22195.43"/>
    <x v="11"/>
    <n v="2025"/>
  </r>
  <r>
    <s v="TXN01553"/>
    <x v="12"/>
    <x v="2"/>
    <x v="9"/>
    <x v="6"/>
    <d v="2025-02-12T00:00:00"/>
    <x v="2"/>
    <n v="4988.3599999999997"/>
    <n v="10"/>
    <x v="2"/>
    <n v="3990.69"/>
    <x v="1552"/>
    <n v="35916.19"/>
    <x v="2"/>
    <n v="2025"/>
  </r>
  <r>
    <s v="TXN01554"/>
    <x v="3"/>
    <x v="3"/>
    <x v="21"/>
    <x v="5"/>
    <d v="2024-11-03T00:00:00"/>
    <x v="8"/>
    <n v="3142.4"/>
    <n v="5"/>
    <x v="2"/>
    <n v="157.12"/>
    <x v="1553"/>
    <n v="2985.28"/>
    <x v="8"/>
    <n v="2024"/>
  </r>
  <r>
    <s v="TXN01555"/>
    <x v="1"/>
    <x v="2"/>
    <x v="10"/>
    <x v="5"/>
    <d v="2025-08-14T00:00:00"/>
    <x v="4"/>
    <n v="2620.67"/>
    <n v="5"/>
    <x v="4"/>
    <n v="917.23"/>
    <x v="1554"/>
    <n v="17427.46"/>
    <x v="0"/>
    <n v="2025"/>
  </r>
  <r>
    <s v="TXN01556"/>
    <x v="14"/>
    <x v="2"/>
    <x v="5"/>
    <x v="0"/>
    <d v="2025-08-04T00:00:00"/>
    <x v="0"/>
    <n v="1118.97"/>
    <n v="10"/>
    <x v="0"/>
    <n v="335.69"/>
    <x v="1555"/>
    <n v="3021.22"/>
    <x v="0"/>
    <n v="2025"/>
  </r>
  <r>
    <s v="TXN01557"/>
    <x v="5"/>
    <x v="0"/>
    <x v="0"/>
    <x v="3"/>
    <d v="2024-12-20T00:00:00"/>
    <x v="2"/>
    <n v="71428.39"/>
    <n v="15"/>
    <x v="3"/>
    <n v="85714.07"/>
    <x v="1556"/>
    <n v="485713.05"/>
    <x v="3"/>
    <n v="2024"/>
  </r>
  <r>
    <s v="TXN01558"/>
    <x v="2"/>
    <x v="0"/>
    <x v="6"/>
    <x v="4"/>
    <d v="2024-11-10T00:00:00"/>
    <x v="5"/>
    <n v="26019.08"/>
    <n v="5"/>
    <x v="4"/>
    <n v="2601.91"/>
    <x v="1557"/>
    <n v="49436.25"/>
    <x v="8"/>
    <n v="2024"/>
  </r>
  <r>
    <s v="TXN01559"/>
    <x v="0"/>
    <x v="4"/>
    <x v="17"/>
    <x v="4"/>
    <d v="2025-12-02T00:00:00"/>
    <x v="6"/>
    <n v="4278.96"/>
    <n v="10"/>
    <x v="3"/>
    <n v="3851.06"/>
    <x v="1558"/>
    <n v="34659.58"/>
    <x v="3"/>
    <n v="2025"/>
  </r>
  <r>
    <s v="TXN01560"/>
    <x v="7"/>
    <x v="0"/>
    <x v="24"/>
    <x v="0"/>
    <d v="2025-04-27T00:00:00"/>
    <x v="6"/>
    <n v="7501.88"/>
    <n v="5"/>
    <x v="7"/>
    <n v="3375.85"/>
    <x v="1559"/>
    <n v="64141.07"/>
    <x v="1"/>
    <n v="2025"/>
  </r>
  <r>
    <s v="TXN01561"/>
    <x v="4"/>
    <x v="4"/>
    <x v="23"/>
    <x v="5"/>
    <d v="2024-04-08T00:00:00"/>
    <x v="4"/>
    <n v="9321.26"/>
    <n v="5"/>
    <x v="0"/>
    <n v="3262.44"/>
    <x v="1560"/>
    <n v="61986.38"/>
    <x v="1"/>
    <n v="2024"/>
  </r>
  <r>
    <s v="TXN01562"/>
    <x v="14"/>
    <x v="4"/>
    <x v="19"/>
    <x v="0"/>
    <d v="2025-09-03T00:00:00"/>
    <x v="4"/>
    <n v="8268.23"/>
    <n v="10"/>
    <x v="2"/>
    <n v="5787.76"/>
    <x v="1561"/>
    <n v="52089.85"/>
    <x v="7"/>
    <n v="2025"/>
  </r>
  <r>
    <s v="TXN01563"/>
    <x v="13"/>
    <x v="4"/>
    <x v="14"/>
    <x v="4"/>
    <d v="2024-08-28T00:00:00"/>
    <x v="3"/>
    <n v="1485.86"/>
    <n v="20"/>
    <x v="3"/>
    <n v="1783.03"/>
    <x v="1562"/>
    <n v="7132.13"/>
    <x v="0"/>
    <n v="2024"/>
  </r>
  <r>
    <s v="TXN01564"/>
    <x v="12"/>
    <x v="0"/>
    <x v="1"/>
    <x v="3"/>
    <d v="2024-03-20T00:00:00"/>
    <x v="1"/>
    <n v="2803.56"/>
    <n v="5"/>
    <x v="2"/>
    <n v="560.71"/>
    <x v="1563"/>
    <n v="10653.53"/>
    <x v="6"/>
    <n v="2024"/>
  </r>
  <r>
    <s v="TXN01565"/>
    <x v="5"/>
    <x v="0"/>
    <x v="6"/>
    <x v="5"/>
    <d v="2024-12-13T00:00:00"/>
    <x v="4"/>
    <n v="29246.560000000001"/>
    <n v="15"/>
    <x v="7"/>
    <n v="30708.89"/>
    <x v="1564"/>
    <n v="174017.03"/>
    <x v="3"/>
    <n v="2024"/>
  </r>
  <r>
    <s v="TXN01566"/>
    <x v="5"/>
    <x v="1"/>
    <x v="4"/>
    <x v="5"/>
    <d v="2024-02-05T00:00:00"/>
    <x v="7"/>
    <n v="9117.0300000000007"/>
    <n v="15"/>
    <x v="6"/>
    <n v="6837.77"/>
    <x v="1565"/>
    <n v="38747.379999999997"/>
    <x v="2"/>
    <n v="2024"/>
  </r>
  <r>
    <s v="TXN01567"/>
    <x v="1"/>
    <x v="1"/>
    <x v="13"/>
    <x v="2"/>
    <d v="2025-04-21T00:00:00"/>
    <x v="5"/>
    <n v="11838.86"/>
    <n v="0"/>
    <x v="7"/>
    <n v="0"/>
    <x v="1566"/>
    <n v="23677.72"/>
    <x v="1"/>
    <n v="2025"/>
  </r>
  <r>
    <s v="TXN01568"/>
    <x v="7"/>
    <x v="4"/>
    <x v="17"/>
    <x v="0"/>
    <d v="2025-08-11T00:00:00"/>
    <x v="6"/>
    <n v="3485.99"/>
    <n v="15"/>
    <x v="3"/>
    <n v="4706.09"/>
    <x v="1567"/>
    <n v="26667.82"/>
    <x v="0"/>
    <n v="2025"/>
  </r>
  <r>
    <s v="TXN01569"/>
    <x v="8"/>
    <x v="0"/>
    <x v="24"/>
    <x v="2"/>
    <d v="2025-03-08T00:00:00"/>
    <x v="8"/>
    <n v="6830.17"/>
    <n v="10"/>
    <x v="2"/>
    <n v="683.02"/>
    <x v="1568"/>
    <n v="6147.15"/>
    <x v="6"/>
    <n v="2025"/>
  </r>
  <r>
    <s v="TXN01570"/>
    <x v="10"/>
    <x v="0"/>
    <x v="1"/>
    <x v="3"/>
    <d v="2025-05-29T00:00:00"/>
    <x v="3"/>
    <n v="3285.75"/>
    <n v="10"/>
    <x v="6"/>
    <n v="1971.45"/>
    <x v="1569"/>
    <n v="17743.05"/>
    <x v="9"/>
    <n v="2025"/>
  </r>
  <r>
    <s v="TXN01571"/>
    <x v="6"/>
    <x v="2"/>
    <x v="22"/>
    <x v="3"/>
    <d v="2025-03-10T00:00:00"/>
    <x v="6"/>
    <n v="980.91"/>
    <n v="0"/>
    <x v="3"/>
    <n v="0"/>
    <x v="1570"/>
    <n v="8828.19"/>
    <x v="6"/>
    <n v="2025"/>
  </r>
  <r>
    <s v="TXN01572"/>
    <x v="3"/>
    <x v="1"/>
    <x v="12"/>
    <x v="2"/>
    <d v="2024-07-21T00:00:00"/>
    <x v="6"/>
    <n v="6619.25"/>
    <n v="15"/>
    <x v="4"/>
    <n v="8935.99"/>
    <x v="1571"/>
    <n v="50637.26"/>
    <x v="11"/>
    <n v="2024"/>
  </r>
  <r>
    <s v="TXN01573"/>
    <x v="11"/>
    <x v="4"/>
    <x v="17"/>
    <x v="0"/>
    <d v="2024-05-04T00:00:00"/>
    <x v="2"/>
    <n v="3552.72"/>
    <n v="0"/>
    <x v="1"/>
    <n v="0"/>
    <x v="1572"/>
    <n v="28421.759999999998"/>
    <x v="9"/>
    <n v="2024"/>
  </r>
  <r>
    <s v="TXN01574"/>
    <x v="5"/>
    <x v="2"/>
    <x v="22"/>
    <x v="5"/>
    <d v="2025-11-22T00:00:00"/>
    <x v="7"/>
    <n v="1080.79"/>
    <n v="0"/>
    <x v="5"/>
    <n v="0"/>
    <x v="1573"/>
    <n v="5403.95"/>
    <x v="8"/>
    <n v="2025"/>
  </r>
  <r>
    <s v="TXN01575"/>
    <x v="7"/>
    <x v="2"/>
    <x v="22"/>
    <x v="0"/>
    <d v="2025-03-03T00:00:00"/>
    <x v="8"/>
    <n v="910.52"/>
    <n v="10"/>
    <x v="5"/>
    <n v="91.05"/>
    <x v="1574"/>
    <n v="819.47"/>
    <x v="6"/>
    <n v="2025"/>
  </r>
  <r>
    <s v="TXN01576"/>
    <x v="6"/>
    <x v="0"/>
    <x v="1"/>
    <x v="0"/>
    <d v="2025-06-28T00:00:00"/>
    <x v="4"/>
    <n v="2886.47"/>
    <n v="0"/>
    <x v="1"/>
    <n v="0"/>
    <x v="1575"/>
    <n v="20205.29"/>
    <x v="5"/>
    <n v="2025"/>
  </r>
  <r>
    <s v="TXN01577"/>
    <x v="7"/>
    <x v="2"/>
    <x v="10"/>
    <x v="2"/>
    <d v="2025-10-10T00:00:00"/>
    <x v="2"/>
    <n v="2771.38"/>
    <n v="10"/>
    <x v="3"/>
    <n v="2217.1"/>
    <x v="1576"/>
    <n v="19953.939999999999"/>
    <x v="4"/>
    <n v="2025"/>
  </r>
  <r>
    <s v="TXN01578"/>
    <x v="0"/>
    <x v="3"/>
    <x v="16"/>
    <x v="6"/>
    <d v="2025-06-20T00:00:00"/>
    <x v="9"/>
    <n v="1521.91"/>
    <n v="0"/>
    <x v="0"/>
    <n v="0"/>
    <x v="1577"/>
    <n v="15219.1"/>
    <x v="5"/>
    <n v="2025"/>
  </r>
  <r>
    <s v="TXN01579"/>
    <x v="13"/>
    <x v="3"/>
    <x v="20"/>
    <x v="4"/>
    <d v="2025-01-26T00:00:00"/>
    <x v="6"/>
    <n v="4007.73"/>
    <n v="0"/>
    <x v="7"/>
    <n v="0"/>
    <x v="1578"/>
    <n v="36069.57"/>
    <x v="10"/>
    <n v="2025"/>
  </r>
  <r>
    <s v="TXN01580"/>
    <x v="1"/>
    <x v="3"/>
    <x v="20"/>
    <x v="5"/>
    <d v="2024-07-07T00:00:00"/>
    <x v="7"/>
    <n v="3781.39"/>
    <n v="0"/>
    <x v="1"/>
    <n v="0"/>
    <x v="1579"/>
    <n v="18906.95"/>
    <x v="11"/>
    <n v="2024"/>
  </r>
  <r>
    <s v="TXN01581"/>
    <x v="10"/>
    <x v="4"/>
    <x v="17"/>
    <x v="4"/>
    <d v="2024-11-06T00:00:00"/>
    <x v="9"/>
    <n v="3959.76"/>
    <n v="5"/>
    <x v="4"/>
    <n v="1979.88"/>
    <x v="1580"/>
    <n v="37617.72"/>
    <x v="8"/>
    <n v="2024"/>
  </r>
  <r>
    <s v="TXN01582"/>
    <x v="12"/>
    <x v="0"/>
    <x v="3"/>
    <x v="5"/>
    <d v="2025-03-23T00:00:00"/>
    <x v="7"/>
    <n v="19560.91"/>
    <n v="5"/>
    <x v="0"/>
    <n v="4890.2299999999996"/>
    <x v="1581"/>
    <n v="92914.32"/>
    <x v="6"/>
    <n v="2025"/>
  </r>
  <r>
    <s v="TXN01583"/>
    <x v="8"/>
    <x v="3"/>
    <x v="21"/>
    <x v="1"/>
    <d v="2024-07-04T00:00:00"/>
    <x v="7"/>
    <n v="2420.42"/>
    <n v="15"/>
    <x v="2"/>
    <n v="1815.32"/>
    <x v="1582"/>
    <n v="10286.780000000001"/>
    <x v="11"/>
    <n v="2024"/>
  </r>
  <r>
    <s v="TXN01584"/>
    <x v="10"/>
    <x v="1"/>
    <x v="12"/>
    <x v="5"/>
    <d v="2024-10-08T00:00:00"/>
    <x v="7"/>
    <n v="6703.03"/>
    <n v="10"/>
    <x v="3"/>
    <n v="3351.52"/>
    <x v="1583"/>
    <n v="30163.63"/>
    <x v="4"/>
    <n v="2024"/>
  </r>
  <r>
    <s v="TXN01585"/>
    <x v="2"/>
    <x v="0"/>
    <x v="6"/>
    <x v="1"/>
    <d v="2024-08-14T00:00:00"/>
    <x v="5"/>
    <n v="26321.16"/>
    <n v="20"/>
    <x v="5"/>
    <n v="10528.46"/>
    <x v="1584"/>
    <n v="42113.86"/>
    <x v="0"/>
    <n v="2024"/>
  </r>
  <r>
    <s v="TXN01586"/>
    <x v="1"/>
    <x v="4"/>
    <x v="14"/>
    <x v="2"/>
    <d v="2025-07-08T00:00:00"/>
    <x v="4"/>
    <n v="1528.35"/>
    <n v="20"/>
    <x v="5"/>
    <n v="2139.69"/>
    <x v="1585"/>
    <n v="8558.76"/>
    <x v="11"/>
    <n v="2025"/>
  </r>
  <r>
    <s v="TXN01587"/>
    <x v="3"/>
    <x v="0"/>
    <x v="3"/>
    <x v="0"/>
    <d v="2025-03-31T00:00:00"/>
    <x v="0"/>
    <n v="18278.759999999998"/>
    <n v="15"/>
    <x v="5"/>
    <n v="8225.44"/>
    <x v="1586"/>
    <n v="46610.84"/>
    <x v="6"/>
    <n v="2025"/>
  </r>
  <r>
    <s v="TXN01588"/>
    <x v="0"/>
    <x v="1"/>
    <x v="8"/>
    <x v="4"/>
    <d v="2024-09-18T00:00:00"/>
    <x v="4"/>
    <n v="36322.67"/>
    <n v="20"/>
    <x v="2"/>
    <n v="50851.74"/>
    <x v="1587"/>
    <n v="203406.95"/>
    <x v="7"/>
    <n v="2024"/>
  </r>
  <r>
    <s v="TXN01589"/>
    <x v="9"/>
    <x v="0"/>
    <x v="24"/>
    <x v="0"/>
    <d v="2024-07-31T00:00:00"/>
    <x v="6"/>
    <n v="6946.09"/>
    <n v="10"/>
    <x v="7"/>
    <n v="6251.48"/>
    <x v="1588"/>
    <n v="56263.33"/>
    <x v="11"/>
    <n v="2024"/>
  </r>
  <r>
    <s v="TXN01590"/>
    <x v="8"/>
    <x v="3"/>
    <x v="16"/>
    <x v="5"/>
    <d v="2024-06-08T00:00:00"/>
    <x v="9"/>
    <n v="1569.35"/>
    <n v="20"/>
    <x v="1"/>
    <n v="3138.7"/>
    <x v="1589"/>
    <n v="12554.8"/>
    <x v="5"/>
    <n v="2024"/>
  </r>
  <r>
    <s v="TXN01591"/>
    <x v="1"/>
    <x v="3"/>
    <x v="21"/>
    <x v="5"/>
    <d v="2024-10-17T00:00:00"/>
    <x v="6"/>
    <n v="2986.54"/>
    <n v="5"/>
    <x v="1"/>
    <n v="1343.94"/>
    <x v="1590"/>
    <n v="25534.92"/>
    <x v="4"/>
    <n v="2024"/>
  </r>
  <r>
    <s v="TXN01592"/>
    <x v="7"/>
    <x v="4"/>
    <x v="14"/>
    <x v="5"/>
    <d v="2024-04-09T00:00:00"/>
    <x v="4"/>
    <n v="1431.86"/>
    <n v="0"/>
    <x v="7"/>
    <n v="0"/>
    <x v="1591"/>
    <n v="10023.02"/>
    <x v="1"/>
    <n v="2024"/>
  </r>
  <r>
    <s v="TXN01593"/>
    <x v="7"/>
    <x v="2"/>
    <x v="22"/>
    <x v="3"/>
    <d v="2025-02-14T00:00:00"/>
    <x v="6"/>
    <n v="901.92"/>
    <n v="5"/>
    <x v="3"/>
    <n v="405.86"/>
    <x v="1592"/>
    <n v="7711.42"/>
    <x v="2"/>
    <n v="2025"/>
  </r>
  <r>
    <s v="TXN01594"/>
    <x v="5"/>
    <x v="4"/>
    <x v="14"/>
    <x v="0"/>
    <d v="2025-10-07T00:00:00"/>
    <x v="5"/>
    <n v="1759"/>
    <n v="10"/>
    <x v="5"/>
    <n v="351.8"/>
    <x v="1593"/>
    <n v="3166.2"/>
    <x v="4"/>
    <n v="2025"/>
  </r>
  <r>
    <s v="TXN01595"/>
    <x v="9"/>
    <x v="2"/>
    <x v="11"/>
    <x v="5"/>
    <d v="2025-02-17T00:00:00"/>
    <x v="2"/>
    <n v="5446.04"/>
    <n v="10"/>
    <x v="0"/>
    <n v="4356.83"/>
    <x v="1594"/>
    <n v="39211.49"/>
    <x v="2"/>
    <n v="2025"/>
  </r>
  <r>
    <s v="TXN01596"/>
    <x v="14"/>
    <x v="4"/>
    <x v="18"/>
    <x v="3"/>
    <d v="2025-02-13T00:00:00"/>
    <x v="7"/>
    <n v="10810.01"/>
    <n v="10"/>
    <x v="3"/>
    <n v="5405.01"/>
    <x v="1595"/>
    <n v="48645.04"/>
    <x v="2"/>
    <n v="2025"/>
  </r>
  <r>
    <s v="TXN01597"/>
    <x v="8"/>
    <x v="4"/>
    <x v="18"/>
    <x v="1"/>
    <d v="2025-08-17T00:00:00"/>
    <x v="4"/>
    <n v="13722.74"/>
    <n v="15"/>
    <x v="2"/>
    <n v="14408.88"/>
    <x v="1596"/>
    <n v="81650.3"/>
    <x v="0"/>
    <n v="2025"/>
  </r>
  <r>
    <s v="TXN01598"/>
    <x v="12"/>
    <x v="1"/>
    <x v="12"/>
    <x v="4"/>
    <d v="2025-09-16T00:00:00"/>
    <x v="9"/>
    <n v="6155.04"/>
    <n v="0"/>
    <x v="3"/>
    <n v="0"/>
    <x v="1597"/>
    <n v="61550.400000000001"/>
    <x v="7"/>
    <n v="2025"/>
  </r>
  <r>
    <s v="TXN01599"/>
    <x v="0"/>
    <x v="2"/>
    <x v="11"/>
    <x v="5"/>
    <d v="2024-11-28T00:00:00"/>
    <x v="9"/>
    <n v="5293.67"/>
    <n v="20"/>
    <x v="1"/>
    <n v="10587.34"/>
    <x v="1598"/>
    <n v="42349.36"/>
    <x v="8"/>
    <n v="2024"/>
  </r>
  <r>
    <s v="TXN01600"/>
    <x v="3"/>
    <x v="4"/>
    <x v="17"/>
    <x v="1"/>
    <d v="2025-07-19T00:00:00"/>
    <x v="6"/>
    <n v="3905.51"/>
    <n v="5"/>
    <x v="2"/>
    <n v="1757.48"/>
    <x v="1599"/>
    <n v="33392.11"/>
    <x v="11"/>
    <n v="2025"/>
  </r>
  <r>
    <s v="TXN01601"/>
    <x v="0"/>
    <x v="4"/>
    <x v="19"/>
    <x v="3"/>
    <d v="2024-06-28T00:00:00"/>
    <x v="2"/>
    <n v="9074.2800000000007"/>
    <n v="5"/>
    <x v="0"/>
    <n v="3629.71"/>
    <x v="1600"/>
    <n v="68964.53"/>
    <x v="5"/>
    <n v="2024"/>
  </r>
  <r>
    <s v="TXN01602"/>
    <x v="5"/>
    <x v="3"/>
    <x v="7"/>
    <x v="1"/>
    <d v="2024-07-30T00:00:00"/>
    <x v="9"/>
    <n v="1827.53"/>
    <n v="5"/>
    <x v="1"/>
    <n v="913.76"/>
    <x v="1601"/>
    <n v="17361.54"/>
    <x v="11"/>
    <n v="2024"/>
  </r>
  <r>
    <s v="TXN01603"/>
    <x v="2"/>
    <x v="2"/>
    <x v="9"/>
    <x v="3"/>
    <d v="2025-04-17T00:00:00"/>
    <x v="6"/>
    <n v="4771.55"/>
    <n v="20"/>
    <x v="3"/>
    <n v="8588.7900000000009"/>
    <x v="1602"/>
    <n v="34355.160000000003"/>
    <x v="1"/>
    <n v="2025"/>
  </r>
  <r>
    <s v="TXN01604"/>
    <x v="2"/>
    <x v="3"/>
    <x v="7"/>
    <x v="5"/>
    <d v="2024-01-08T00:00:00"/>
    <x v="8"/>
    <n v="1926.91"/>
    <n v="15"/>
    <x v="7"/>
    <n v="289.04000000000002"/>
    <x v="1603"/>
    <n v="1637.87"/>
    <x v="10"/>
    <n v="2024"/>
  </r>
  <r>
    <s v="TXN01605"/>
    <x v="4"/>
    <x v="2"/>
    <x v="9"/>
    <x v="5"/>
    <d v="2025-03-03T00:00:00"/>
    <x v="7"/>
    <n v="5043.78"/>
    <n v="20"/>
    <x v="7"/>
    <n v="5043.78"/>
    <x v="1604"/>
    <n v="20175.12"/>
    <x v="6"/>
    <n v="2025"/>
  </r>
  <r>
    <s v="TXN01606"/>
    <x v="8"/>
    <x v="0"/>
    <x v="1"/>
    <x v="6"/>
    <d v="2025-03-25T00:00:00"/>
    <x v="2"/>
    <n v="3320.82"/>
    <n v="0"/>
    <x v="1"/>
    <n v="0"/>
    <x v="1605"/>
    <n v="26566.560000000001"/>
    <x v="6"/>
    <n v="2025"/>
  </r>
  <r>
    <s v="TXN01607"/>
    <x v="4"/>
    <x v="3"/>
    <x v="16"/>
    <x v="3"/>
    <d v="2025-01-07T00:00:00"/>
    <x v="4"/>
    <n v="1618.73"/>
    <n v="20"/>
    <x v="1"/>
    <n v="2266.2199999999998"/>
    <x v="1606"/>
    <n v="9064.89"/>
    <x v="10"/>
    <n v="2025"/>
  </r>
  <r>
    <s v="TXN01608"/>
    <x v="10"/>
    <x v="4"/>
    <x v="23"/>
    <x v="1"/>
    <d v="2024-05-29T00:00:00"/>
    <x v="7"/>
    <n v="10894.85"/>
    <n v="20"/>
    <x v="7"/>
    <n v="10894.85"/>
    <x v="1607"/>
    <n v="43579.4"/>
    <x v="9"/>
    <n v="2024"/>
  </r>
  <r>
    <s v="TXN01609"/>
    <x v="3"/>
    <x v="0"/>
    <x v="6"/>
    <x v="5"/>
    <d v="2024-05-25T00:00:00"/>
    <x v="1"/>
    <n v="27472.21"/>
    <n v="5"/>
    <x v="5"/>
    <n v="5494.44"/>
    <x v="1608"/>
    <n v="104394.4"/>
    <x v="9"/>
    <n v="2024"/>
  </r>
  <r>
    <s v="TXN01610"/>
    <x v="3"/>
    <x v="3"/>
    <x v="15"/>
    <x v="2"/>
    <d v="2025-04-14T00:00:00"/>
    <x v="2"/>
    <n v="870.5"/>
    <n v="10"/>
    <x v="7"/>
    <n v="696.4"/>
    <x v="1609"/>
    <n v="6267.6"/>
    <x v="1"/>
    <n v="2025"/>
  </r>
  <r>
    <s v="TXN01611"/>
    <x v="0"/>
    <x v="3"/>
    <x v="20"/>
    <x v="5"/>
    <d v="2025-04-06T00:00:00"/>
    <x v="7"/>
    <n v="3647.2"/>
    <n v="20"/>
    <x v="5"/>
    <n v="3647.2"/>
    <x v="1610"/>
    <n v="14588.8"/>
    <x v="1"/>
    <n v="2025"/>
  </r>
  <r>
    <s v="TXN01612"/>
    <x v="7"/>
    <x v="0"/>
    <x v="6"/>
    <x v="6"/>
    <d v="2024-01-27T00:00:00"/>
    <x v="1"/>
    <n v="28001.07"/>
    <n v="20"/>
    <x v="4"/>
    <n v="22400.86"/>
    <x v="1611"/>
    <n v="89603.42"/>
    <x v="10"/>
    <n v="2024"/>
  </r>
  <r>
    <s v="TXN01613"/>
    <x v="5"/>
    <x v="3"/>
    <x v="20"/>
    <x v="2"/>
    <d v="2025-08-04T00:00:00"/>
    <x v="7"/>
    <n v="3565.87"/>
    <n v="15"/>
    <x v="3"/>
    <n v="2674.4"/>
    <x v="1612"/>
    <n v="15154.95"/>
    <x v="0"/>
    <n v="2025"/>
  </r>
  <r>
    <s v="TXN01614"/>
    <x v="0"/>
    <x v="3"/>
    <x v="7"/>
    <x v="3"/>
    <d v="2024-05-30T00:00:00"/>
    <x v="9"/>
    <n v="1751.55"/>
    <n v="15"/>
    <x v="3"/>
    <n v="2627.32"/>
    <x v="1613"/>
    <n v="14888.18"/>
    <x v="9"/>
    <n v="2024"/>
  </r>
  <r>
    <s v="TXN01615"/>
    <x v="13"/>
    <x v="3"/>
    <x v="7"/>
    <x v="3"/>
    <d v="2025-08-20T00:00:00"/>
    <x v="7"/>
    <n v="1686.76"/>
    <n v="0"/>
    <x v="0"/>
    <n v="0"/>
    <x v="1614"/>
    <n v="8433.7999999999993"/>
    <x v="0"/>
    <n v="2025"/>
  </r>
  <r>
    <s v="TXN01616"/>
    <x v="0"/>
    <x v="3"/>
    <x v="20"/>
    <x v="6"/>
    <d v="2025-05-03T00:00:00"/>
    <x v="9"/>
    <n v="3937.5"/>
    <n v="10"/>
    <x v="2"/>
    <n v="3937.5"/>
    <x v="1615"/>
    <n v="35437.5"/>
    <x v="9"/>
    <n v="2025"/>
  </r>
  <r>
    <s v="TXN01617"/>
    <x v="4"/>
    <x v="1"/>
    <x v="8"/>
    <x v="6"/>
    <d v="2025-06-19T00:00:00"/>
    <x v="3"/>
    <n v="39779.79"/>
    <n v="15"/>
    <x v="5"/>
    <n v="35801.81"/>
    <x v="1616"/>
    <n v="202876.93"/>
    <x v="5"/>
    <n v="2025"/>
  </r>
  <r>
    <s v="TXN01618"/>
    <x v="11"/>
    <x v="1"/>
    <x v="8"/>
    <x v="4"/>
    <d v="2025-01-23T00:00:00"/>
    <x v="8"/>
    <n v="42687.45"/>
    <n v="0"/>
    <x v="6"/>
    <n v="0"/>
    <x v="1617"/>
    <n v="42687.45"/>
    <x v="10"/>
    <n v="2025"/>
  </r>
  <r>
    <s v="TXN01619"/>
    <x v="5"/>
    <x v="3"/>
    <x v="7"/>
    <x v="4"/>
    <d v="2024-06-02T00:00:00"/>
    <x v="7"/>
    <n v="1893.89"/>
    <n v="0"/>
    <x v="0"/>
    <n v="0"/>
    <x v="1618"/>
    <n v="9469.4500000000007"/>
    <x v="5"/>
    <n v="2024"/>
  </r>
  <r>
    <s v="TXN01620"/>
    <x v="11"/>
    <x v="1"/>
    <x v="4"/>
    <x v="5"/>
    <d v="2025-06-20T00:00:00"/>
    <x v="1"/>
    <n v="8682.76"/>
    <n v="10"/>
    <x v="1"/>
    <n v="3473.1"/>
    <x v="1619"/>
    <n v="31257.94"/>
    <x v="5"/>
    <n v="2025"/>
  </r>
  <r>
    <s v="TXN01621"/>
    <x v="8"/>
    <x v="0"/>
    <x v="24"/>
    <x v="1"/>
    <d v="2025-06-03T00:00:00"/>
    <x v="5"/>
    <n v="6775.08"/>
    <n v="20"/>
    <x v="5"/>
    <n v="2710.03"/>
    <x v="1620"/>
    <n v="10840.13"/>
    <x v="5"/>
    <n v="2025"/>
  </r>
  <r>
    <s v="TXN01622"/>
    <x v="10"/>
    <x v="2"/>
    <x v="10"/>
    <x v="1"/>
    <d v="2025-08-03T00:00:00"/>
    <x v="6"/>
    <n v="2404.98"/>
    <n v="10"/>
    <x v="6"/>
    <n v="2164.48"/>
    <x v="1621"/>
    <n v="19480.34"/>
    <x v="0"/>
    <n v="2025"/>
  </r>
  <r>
    <s v="TXN01623"/>
    <x v="2"/>
    <x v="1"/>
    <x v="13"/>
    <x v="2"/>
    <d v="2024-06-30T00:00:00"/>
    <x v="8"/>
    <n v="13738.13"/>
    <n v="10"/>
    <x v="6"/>
    <n v="1373.81"/>
    <x v="1622"/>
    <n v="12364.32"/>
    <x v="5"/>
    <n v="2024"/>
  </r>
  <r>
    <s v="TXN01624"/>
    <x v="6"/>
    <x v="2"/>
    <x v="22"/>
    <x v="2"/>
    <d v="2024-03-06T00:00:00"/>
    <x v="0"/>
    <n v="927.58"/>
    <n v="0"/>
    <x v="0"/>
    <n v="0"/>
    <x v="1623"/>
    <n v="2782.74"/>
    <x v="6"/>
    <n v="2024"/>
  </r>
  <r>
    <s v="TXN01625"/>
    <x v="2"/>
    <x v="1"/>
    <x v="13"/>
    <x v="6"/>
    <d v="2025-04-20T00:00:00"/>
    <x v="5"/>
    <n v="12410.8"/>
    <n v="0"/>
    <x v="6"/>
    <n v="0"/>
    <x v="1624"/>
    <n v="24821.599999999999"/>
    <x v="1"/>
    <n v="2025"/>
  </r>
  <r>
    <s v="TXN01626"/>
    <x v="2"/>
    <x v="3"/>
    <x v="15"/>
    <x v="5"/>
    <d v="2025-03-28T00:00:00"/>
    <x v="5"/>
    <n v="815.21"/>
    <n v="0"/>
    <x v="7"/>
    <n v="0"/>
    <x v="1625"/>
    <n v="1630.42"/>
    <x v="6"/>
    <n v="2025"/>
  </r>
  <r>
    <s v="TXN01627"/>
    <x v="2"/>
    <x v="2"/>
    <x v="11"/>
    <x v="6"/>
    <d v="2024-11-03T00:00:00"/>
    <x v="9"/>
    <n v="4963.2"/>
    <n v="15"/>
    <x v="6"/>
    <n v="7444.8"/>
    <x v="1626"/>
    <n v="42187.199999999997"/>
    <x v="8"/>
    <n v="2024"/>
  </r>
  <r>
    <s v="TXN01628"/>
    <x v="10"/>
    <x v="0"/>
    <x v="24"/>
    <x v="2"/>
    <d v="2025-08-26T00:00:00"/>
    <x v="9"/>
    <n v="7622.2"/>
    <n v="0"/>
    <x v="0"/>
    <n v="0"/>
    <x v="1627"/>
    <n v="76222"/>
    <x v="0"/>
    <n v="2025"/>
  </r>
  <r>
    <s v="TXN01629"/>
    <x v="12"/>
    <x v="3"/>
    <x v="16"/>
    <x v="0"/>
    <d v="2025-10-08T00:00:00"/>
    <x v="0"/>
    <n v="1620.56"/>
    <n v="15"/>
    <x v="6"/>
    <n v="729.25"/>
    <x v="1628"/>
    <n v="4132.43"/>
    <x v="4"/>
    <n v="2025"/>
  </r>
  <r>
    <s v="TXN01630"/>
    <x v="8"/>
    <x v="2"/>
    <x v="22"/>
    <x v="0"/>
    <d v="2025-06-28T00:00:00"/>
    <x v="1"/>
    <n v="886.76"/>
    <n v="20"/>
    <x v="4"/>
    <n v="709.41"/>
    <x v="1629"/>
    <n v="2837.63"/>
    <x v="5"/>
    <n v="2025"/>
  </r>
  <r>
    <s v="TXN01631"/>
    <x v="8"/>
    <x v="2"/>
    <x v="22"/>
    <x v="5"/>
    <d v="2024-07-05T00:00:00"/>
    <x v="2"/>
    <n v="811.47"/>
    <n v="20"/>
    <x v="7"/>
    <n v="1298.3499999999999"/>
    <x v="1630"/>
    <n v="5193.41"/>
    <x v="11"/>
    <n v="2024"/>
  </r>
  <r>
    <s v="TXN01632"/>
    <x v="7"/>
    <x v="4"/>
    <x v="23"/>
    <x v="4"/>
    <d v="2025-03-18T00:00:00"/>
    <x v="7"/>
    <n v="9236.42"/>
    <n v="15"/>
    <x v="7"/>
    <n v="6927.31"/>
    <x v="1631"/>
    <n v="39254.79"/>
    <x v="6"/>
    <n v="2025"/>
  </r>
  <r>
    <s v="TXN01633"/>
    <x v="4"/>
    <x v="3"/>
    <x v="21"/>
    <x v="4"/>
    <d v="2024-04-21T00:00:00"/>
    <x v="1"/>
    <n v="2383.2600000000002"/>
    <n v="20"/>
    <x v="0"/>
    <n v="1906.61"/>
    <x v="1632"/>
    <n v="7626.43"/>
    <x v="1"/>
    <n v="2024"/>
  </r>
  <r>
    <s v="TXN01634"/>
    <x v="10"/>
    <x v="3"/>
    <x v="20"/>
    <x v="6"/>
    <d v="2024-04-15T00:00:00"/>
    <x v="7"/>
    <n v="3961.61"/>
    <n v="5"/>
    <x v="6"/>
    <n v="990.4"/>
    <x v="1633"/>
    <n v="18817.650000000001"/>
    <x v="1"/>
    <n v="2024"/>
  </r>
  <r>
    <s v="TXN01635"/>
    <x v="3"/>
    <x v="2"/>
    <x v="5"/>
    <x v="4"/>
    <d v="2025-02-09T00:00:00"/>
    <x v="0"/>
    <n v="1335.71"/>
    <n v="20"/>
    <x v="0"/>
    <n v="801.43"/>
    <x v="1634"/>
    <n v="3205.7"/>
    <x v="2"/>
    <n v="2025"/>
  </r>
  <r>
    <s v="TXN01636"/>
    <x v="9"/>
    <x v="1"/>
    <x v="4"/>
    <x v="5"/>
    <d v="2024-10-02T00:00:00"/>
    <x v="1"/>
    <n v="9972.26"/>
    <n v="15"/>
    <x v="2"/>
    <n v="5983.36"/>
    <x v="1635"/>
    <n v="33905.68"/>
    <x v="4"/>
    <n v="2024"/>
  </r>
  <r>
    <s v="TXN01637"/>
    <x v="7"/>
    <x v="3"/>
    <x v="20"/>
    <x v="0"/>
    <d v="2024-12-28T00:00:00"/>
    <x v="3"/>
    <n v="3897.84"/>
    <n v="15"/>
    <x v="5"/>
    <n v="3508.06"/>
    <x v="1636"/>
    <n v="19878.98"/>
    <x v="3"/>
    <n v="2024"/>
  </r>
  <r>
    <s v="TXN01638"/>
    <x v="10"/>
    <x v="2"/>
    <x v="9"/>
    <x v="5"/>
    <d v="2025-02-17T00:00:00"/>
    <x v="8"/>
    <n v="5139.76"/>
    <n v="10"/>
    <x v="1"/>
    <n v="513.98"/>
    <x v="1637"/>
    <n v="4625.78"/>
    <x v="2"/>
    <n v="2025"/>
  </r>
  <r>
    <s v="TXN01639"/>
    <x v="10"/>
    <x v="1"/>
    <x v="2"/>
    <x v="0"/>
    <d v="2025-12-22T00:00:00"/>
    <x v="1"/>
    <n v="26184.19"/>
    <n v="10"/>
    <x v="1"/>
    <n v="10473.68"/>
    <x v="1638"/>
    <n v="94263.08"/>
    <x v="3"/>
    <n v="2025"/>
  </r>
  <r>
    <s v="TXN01640"/>
    <x v="13"/>
    <x v="3"/>
    <x v="20"/>
    <x v="0"/>
    <d v="2025-01-26T00:00:00"/>
    <x v="3"/>
    <n v="3638.31"/>
    <n v="5"/>
    <x v="2"/>
    <n v="1091.49"/>
    <x v="1639"/>
    <n v="20738.37"/>
    <x v="10"/>
    <n v="2025"/>
  </r>
  <r>
    <s v="TXN01641"/>
    <x v="9"/>
    <x v="1"/>
    <x v="8"/>
    <x v="5"/>
    <d v="2024-04-19T00:00:00"/>
    <x v="5"/>
    <n v="38431.379999999997"/>
    <n v="10"/>
    <x v="4"/>
    <n v="7686.28"/>
    <x v="1640"/>
    <n v="69176.479999999996"/>
    <x v="1"/>
    <n v="2024"/>
  </r>
  <r>
    <s v="TXN01642"/>
    <x v="11"/>
    <x v="4"/>
    <x v="14"/>
    <x v="1"/>
    <d v="2025-12-05T00:00:00"/>
    <x v="2"/>
    <n v="1588.06"/>
    <n v="20"/>
    <x v="2"/>
    <n v="2540.9"/>
    <x v="1641"/>
    <n v="10163.58"/>
    <x v="3"/>
    <n v="2025"/>
  </r>
  <r>
    <s v="TXN01643"/>
    <x v="13"/>
    <x v="2"/>
    <x v="9"/>
    <x v="1"/>
    <d v="2025-10-16T00:00:00"/>
    <x v="3"/>
    <n v="4796.6099999999997"/>
    <n v="10"/>
    <x v="1"/>
    <n v="2877.97"/>
    <x v="1642"/>
    <n v="25901.69"/>
    <x v="4"/>
    <n v="2025"/>
  </r>
  <r>
    <s v="TXN01644"/>
    <x v="6"/>
    <x v="4"/>
    <x v="19"/>
    <x v="5"/>
    <d v="2024-03-16T00:00:00"/>
    <x v="3"/>
    <n v="9154.36"/>
    <n v="15"/>
    <x v="3"/>
    <n v="8238.92"/>
    <x v="1643"/>
    <n v="46687.24"/>
    <x v="6"/>
    <n v="2024"/>
  </r>
  <r>
    <s v="TXN01645"/>
    <x v="12"/>
    <x v="1"/>
    <x v="13"/>
    <x v="0"/>
    <d v="2025-07-29T00:00:00"/>
    <x v="5"/>
    <n v="12114.78"/>
    <n v="10"/>
    <x v="0"/>
    <n v="2422.96"/>
    <x v="1644"/>
    <n v="21806.6"/>
    <x v="11"/>
    <n v="2025"/>
  </r>
  <r>
    <s v="TXN01646"/>
    <x v="10"/>
    <x v="2"/>
    <x v="11"/>
    <x v="2"/>
    <d v="2025-07-24T00:00:00"/>
    <x v="6"/>
    <n v="5521.64"/>
    <n v="0"/>
    <x v="4"/>
    <n v="0"/>
    <x v="1645"/>
    <n v="49694.76"/>
    <x v="11"/>
    <n v="2025"/>
  </r>
  <r>
    <s v="TXN01647"/>
    <x v="4"/>
    <x v="1"/>
    <x v="12"/>
    <x v="3"/>
    <d v="2025-01-04T00:00:00"/>
    <x v="2"/>
    <n v="6520.91"/>
    <n v="5"/>
    <x v="5"/>
    <n v="2608.36"/>
    <x v="1646"/>
    <n v="49558.92"/>
    <x v="10"/>
    <n v="2025"/>
  </r>
  <r>
    <s v="TXN01648"/>
    <x v="11"/>
    <x v="1"/>
    <x v="4"/>
    <x v="4"/>
    <d v="2025-01-05T00:00:00"/>
    <x v="3"/>
    <n v="7597.97"/>
    <n v="10"/>
    <x v="6"/>
    <n v="4558.78"/>
    <x v="1647"/>
    <n v="41029.040000000001"/>
    <x v="10"/>
    <n v="2025"/>
  </r>
  <r>
    <s v="TXN01649"/>
    <x v="0"/>
    <x v="3"/>
    <x v="21"/>
    <x v="1"/>
    <d v="2024-05-02T00:00:00"/>
    <x v="4"/>
    <n v="2517.08"/>
    <n v="15"/>
    <x v="3"/>
    <n v="2642.93"/>
    <x v="1648"/>
    <n v="14976.63"/>
    <x v="9"/>
    <n v="2024"/>
  </r>
  <r>
    <s v="TXN01650"/>
    <x v="13"/>
    <x v="0"/>
    <x v="1"/>
    <x v="6"/>
    <d v="2024-01-17T00:00:00"/>
    <x v="9"/>
    <n v="3027.91"/>
    <n v="0"/>
    <x v="5"/>
    <n v="0"/>
    <x v="1649"/>
    <n v="30279.1"/>
    <x v="10"/>
    <n v="2024"/>
  </r>
  <r>
    <s v="TXN01651"/>
    <x v="10"/>
    <x v="2"/>
    <x v="22"/>
    <x v="6"/>
    <d v="2024-10-16T00:00:00"/>
    <x v="9"/>
    <n v="973.6"/>
    <n v="0"/>
    <x v="6"/>
    <n v="0"/>
    <x v="1650"/>
    <n v="9736"/>
    <x v="4"/>
    <n v="2024"/>
  </r>
  <r>
    <s v="TXN01652"/>
    <x v="6"/>
    <x v="0"/>
    <x v="1"/>
    <x v="6"/>
    <d v="2025-06-28T00:00:00"/>
    <x v="0"/>
    <n v="3298.94"/>
    <n v="0"/>
    <x v="7"/>
    <n v="0"/>
    <x v="1651"/>
    <n v="9896.82"/>
    <x v="5"/>
    <n v="2025"/>
  </r>
  <r>
    <s v="TXN01653"/>
    <x v="12"/>
    <x v="2"/>
    <x v="9"/>
    <x v="2"/>
    <d v="2024-03-15T00:00:00"/>
    <x v="4"/>
    <n v="4969.9799999999996"/>
    <n v="15"/>
    <x v="0"/>
    <n v="5218.4799999999996"/>
    <x v="1652"/>
    <n v="29571.38"/>
    <x v="6"/>
    <n v="2024"/>
  </r>
  <r>
    <s v="TXN01654"/>
    <x v="8"/>
    <x v="4"/>
    <x v="18"/>
    <x v="0"/>
    <d v="2024-07-05T00:00:00"/>
    <x v="9"/>
    <n v="11819.43"/>
    <n v="20"/>
    <x v="7"/>
    <n v="23638.86"/>
    <x v="1653"/>
    <n v="94555.44"/>
    <x v="11"/>
    <n v="2024"/>
  </r>
  <r>
    <s v="TXN01655"/>
    <x v="1"/>
    <x v="4"/>
    <x v="17"/>
    <x v="6"/>
    <d v="2024-01-07T00:00:00"/>
    <x v="9"/>
    <n v="3874.69"/>
    <n v="0"/>
    <x v="4"/>
    <n v="0"/>
    <x v="1654"/>
    <n v="38746.9"/>
    <x v="10"/>
    <n v="2024"/>
  </r>
  <r>
    <s v="TXN01656"/>
    <x v="3"/>
    <x v="0"/>
    <x v="6"/>
    <x v="5"/>
    <d v="2024-09-22T00:00:00"/>
    <x v="1"/>
    <n v="26152.35"/>
    <n v="10"/>
    <x v="3"/>
    <n v="10460.94"/>
    <x v="1655"/>
    <n v="94148.46"/>
    <x v="7"/>
    <n v="2024"/>
  </r>
  <r>
    <s v="TXN01657"/>
    <x v="8"/>
    <x v="2"/>
    <x v="9"/>
    <x v="2"/>
    <d v="2025-08-11T00:00:00"/>
    <x v="3"/>
    <n v="5054.8999999999996"/>
    <n v="20"/>
    <x v="0"/>
    <n v="6065.88"/>
    <x v="1656"/>
    <n v="24263.52"/>
    <x v="0"/>
    <n v="2025"/>
  </r>
  <r>
    <s v="TXN01658"/>
    <x v="10"/>
    <x v="1"/>
    <x v="13"/>
    <x v="4"/>
    <d v="2024-11-11T00:00:00"/>
    <x v="0"/>
    <n v="12212.96"/>
    <n v="20"/>
    <x v="0"/>
    <n v="7327.78"/>
    <x v="1657"/>
    <n v="29311.1"/>
    <x v="8"/>
    <n v="2024"/>
  </r>
  <r>
    <s v="TXN01659"/>
    <x v="10"/>
    <x v="2"/>
    <x v="10"/>
    <x v="4"/>
    <d v="2024-03-11T00:00:00"/>
    <x v="3"/>
    <n v="2794.1"/>
    <n v="5"/>
    <x v="5"/>
    <n v="838.23"/>
    <x v="1658"/>
    <n v="15926.37"/>
    <x v="6"/>
    <n v="2024"/>
  </r>
  <r>
    <s v="TXN01660"/>
    <x v="5"/>
    <x v="1"/>
    <x v="13"/>
    <x v="4"/>
    <d v="2024-10-04T00:00:00"/>
    <x v="1"/>
    <n v="14969.8"/>
    <n v="5"/>
    <x v="2"/>
    <n v="2993.96"/>
    <x v="1659"/>
    <n v="56885.24"/>
    <x v="4"/>
    <n v="2024"/>
  </r>
  <r>
    <s v="TXN01661"/>
    <x v="7"/>
    <x v="3"/>
    <x v="15"/>
    <x v="5"/>
    <d v="2025-01-19T00:00:00"/>
    <x v="8"/>
    <n v="808.79"/>
    <n v="5"/>
    <x v="7"/>
    <n v="40.44"/>
    <x v="1660"/>
    <n v="768.35"/>
    <x v="10"/>
    <n v="2025"/>
  </r>
  <r>
    <s v="TXN01662"/>
    <x v="11"/>
    <x v="4"/>
    <x v="17"/>
    <x v="5"/>
    <d v="2024-07-22T00:00:00"/>
    <x v="1"/>
    <n v="3824.61"/>
    <n v="20"/>
    <x v="2"/>
    <n v="3059.69"/>
    <x v="1661"/>
    <n v="12238.75"/>
    <x v="11"/>
    <n v="2024"/>
  </r>
  <r>
    <s v="TXN01663"/>
    <x v="7"/>
    <x v="0"/>
    <x v="0"/>
    <x v="6"/>
    <d v="2024-06-15T00:00:00"/>
    <x v="1"/>
    <n v="60455.82"/>
    <n v="15"/>
    <x v="7"/>
    <n v="36273.49"/>
    <x v="1662"/>
    <n v="205549.79"/>
    <x v="5"/>
    <n v="2024"/>
  </r>
  <r>
    <s v="TXN01664"/>
    <x v="0"/>
    <x v="2"/>
    <x v="22"/>
    <x v="0"/>
    <d v="2024-07-14T00:00:00"/>
    <x v="1"/>
    <n v="1031.6600000000001"/>
    <n v="20"/>
    <x v="2"/>
    <n v="825.33"/>
    <x v="1663"/>
    <n v="3301.31"/>
    <x v="11"/>
    <n v="2024"/>
  </r>
  <r>
    <s v="TXN01665"/>
    <x v="5"/>
    <x v="3"/>
    <x v="16"/>
    <x v="6"/>
    <d v="2025-04-12T00:00:00"/>
    <x v="8"/>
    <n v="1352.72"/>
    <n v="15"/>
    <x v="7"/>
    <n v="202.91"/>
    <x v="1664"/>
    <n v="1149.81"/>
    <x v="1"/>
    <n v="2025"/>
  </r>
  <r>
    <s v="TXN01666"/>
    <x v="3"/>
    <x v="4"/>
    <x v="17"/>
    <x v="0"/>
    <d v="2024-03-07T00:00:00"/>
    <x v="4"/>
    <n v="3977.7"/>
    <n v="10"/>
    <x v="4"/>
    <n v="2784.39"/>
    <x v="1665"/>
    <n v="25059.51"/>
    <x v="6"/>
    <n v="2024"/>
  </r>
  <r>
    <s v="TXN01667"/>
    <x v="8"/>
    <x v="1"/>
    <x v="12"/>
    <x v="2"/>
    <d v="2025-04-27T00:00:00"/>
    <x v="8"/>
    <n v="6826.96"/>
    <n v="10"/>
    <x v="2"/>
    <n v="682.7"/>
    <x v="1666"/>
    <n v="6144.26"/>
    <x v="1"/>
    <n v="2025"/>
  </r>
  <r>
    <s v="TXN01668"/>
    <x v="7"/>
    <x v="3"/>
    <x v="15"/>
    <x v="3"/>
    <d v="2024-06-30T00:00:00"/>
    <x v="9"/>
    <n v="721.85"/>
    <n v="20"/>
    <x v="0"/>
    <n v="1443.7"/>
    <x v="1667"/>
    <n v="5774.8"/>
    <x v="5"/>
    <n v="2024"/>
  </r>
  <r>
    <s v="TXN01669"/>
    <x v="0"/>
    <x v="1"/>
    <x v="13"/>
    <x v="5"/>
    <d v="2024-03-03T00:00:00"/>
    <x v="9"/>
    <n v="13207.14"/>
    <n v="10"/>
    <x v="1"/>
    <n v="13207.14"/>
    <x v="1668"/>
    <n v="118864.26"/>
    <x v="6"/>
    <n v="2024"/>
  </r>
  <r>
    <s v="TXN01670"/>
    <x v="1"/>
    <x v="3"/>
    <x v="21"/>
    <x v="3"/>
    <d v="2025-03-05T00:00:00"/>
    <x v="0"/>
    <n v="2359.15"/>
    <n v="20"/>
    <x v="3"/>
    <n v="1415.49"/>
    <x v="1669"/>
    <n v="5661.96"/>
    <x v="6"/>
    <n v="2025"/>
  </r>
  <r>
    <s v="TXN01671"/>
    <x v="3"/>
    <x v="1"/>
    <x v="13"/>
    <x v="1"/>
    <d v="2024-01-31T00:00:00"/>
    <x v="2"/>
    <n v="11412.23"/>
    <n v="15"/>
    <x v="3"/>
    <n v="13694.68"/>
    <x v="1670"/>
    <n v="77603.16"/>
    <x v="10"/>
    <n v="2024"/>
  </r>
  <r>
    <s v="TXN01672"/>
    <x v="12"/>
    <x v="3"/>
    <x v="20"/>
    <x v="0"/>
    <d v="2024-01-27T00:00:00"/>
    <x v="3"/>
    <n v="3174.93"/>
    <n v="15"/>
    <x v="1"/>
    <n v="2857.44"/>
    <x v="1671"/>
    <n v="16192.14"/>
    <x v="10"/>
    <n v="2024"/>
  </r>
  <r>
    <s v="TXN01673"/>
    <x v="14"/>
    <x v="0"/>
    <x v="6"/>
    <x v="5"/>
    <d v="2025-07-06T00:00:00"/>
    <x v="4"/>
    <n v="27265.64"/>
    <n v="20"/>
    <x v="1"/>
    <n v="38171.9"/>
    <x v="1672"/>
    <n v="152687.57999999999"/>
    <x v="11"/>
    <n v="2025"/>
  </r>
  <r>
    <s v="TXN01674"/>
    <x v="6"/>
    <x v="1"/>
    <x v="13"/>
    <x v="1"/>
    <d v="2024-08-16T00:00:00"/>
    <x v="5"/>
    <n v="12059.65"/>
    <n v="0"/>
    <x v="5"/>
    <n v="0"/>
    <x v="1673"/>
    <n v="24119.3"/>
    <x v="0"/>
    <n v="2024"/>
  </r>
  <r>
    <s v="TXN01675"/>
    <x v="11"/>
    <x v="0"/>
    <x v="24"/>
    <x v="5"/>
    <d v="2024-05-17T00:00:00"/>
    <x v="9"/>
    <n v="7716.49"/>
    <n v="0"/>
    <x v="6"/>
    <n v="0"/>
    <x v="1674"/>
    <n v="77164.899999999994"/>
    <x v="9"/>
    <n v="2024"/>
  </r>
  <r>
    <s v="TXN01676"/>
    <x v="11"/>
    <x v="3"/>
    <x v="16"/>
    <x v="0"/>
    <d v="2024-11-26T00:00:00"/>
    <x v="6"/>
    <n v="1635.8"/>
    <n v="20"/>
    <x v="3"/>
    <n v="2944.44"/>
    <x v="1675"/>
    <n v="11777.76"/>
    <x v="8"/>
    <n v="2024"/>
  </r>
  <r>
    <s v="TXN01677"/>
    <x v="11"/>
    <x v="0"/>
    <x v="24"/>
    <x v="2"/>
    <d v="2024-05-08T00:00:00"/>
    <x v="1"/>
    <n v="7200.78"/>
    <n v="5"/>
    <x v="0"/>
    <n v="1440.16"/>
    <x v="1676"/>
    <n v="27362.959999999999"/>
    <x v="9"/>
    <n v="2024"/>
  </r>
  <r>
    <s v="TXN01678"/>
    <x v="0"/>
    <x v="1"/>
    <x v="12"/>
    <x v="1"/>
    <d v="2024-10-16T00:00:00"/>
    <x v="9"/>
    <n v="6113.63"/>
    <n v="5"/>
    <x v="2"/>
    <n v="3056.82"/>
    <x v="1677"/>
    <n v="58079.48"/>
    <x v="4"/>
    <n v="2024"/>
  </r>
  <r>
    <s v="TXN01679"/>
    <x v="0"/>
    <x v="3"/>
    <x v="7"/>
    <x v="2"/>
    <d v="2024-12-02T00:00:00"/>
    <x v="2"/>
    <n v="2112.84"/>
    <n v="20"/>
    <x v="4"/>
    <n v="3380.54"/>
    <x v="1678"/>
    <n v="13522.18"/>
    <x v="3"/>
    <n v="2024"/>
  </r>
  <r>
    <s v="TXN01680"/>
    <x v="14"/>
    <x v="2"/>
    <x v="11"/>
    <x v="0"/>
    <d v="2024-12-01T00:00:00"/>
    <x v="4"/>
    <n v="5465.31"/>
    <n v="5"/>
    <x v="3"/>
    <n v="1912.86"/>
    <x v="1679"/>
    <n v="36344.31"/>
    <x v="3"/>
    <n v="2024"/>
  </r>
  <r>
    <s v="TXN01681"/>
    <x v="0"/>
    <x v="2"/>
    <x v="10"/>
    <x v="3"/>
    <d v="2025-10-09T00:00:00"/>
    <x v="8"/>
    <n v="3021.01"/>
    <n v="5"/>
    <x v="2"/>
    <n v="151.05000000000001"/>
    <x v="1680"/>
    <n v="2869.96"/>
    <x v="4"/>
    <n v="2025"/>
  </r>
  <r>
    <s v="TXN01682"/>
    <x v="8"/>
    <x v="0"/>
    <x v="6"/>
    <x v="1"/>
    <d v="2024-06-14T00:00:00"/>
    <x v="4"/>
    <n v="24515.83"/>
    <n v="20"/>
    <x v="0"/>
    <n v="34322.160000000003"/>
    <x v="1681"/>
    <n v="137288.65"/>
    <x v="5"/>
    <n v="2024"/>
  </r>
  <r>
    <s v="TXN01683"/>
    <x v="4"/>
    <x v="4"/>
    <x v="23"/>
    <x v="0"/>
    <d v="2025-10-05T00:00:00"/>
    <x v="9"/>
    <n v="11015.56"/>
    <n v="5"/>
    <x v="0"/>
    <n v="5507.78"/>
    <x v="1682"/>
    <n v="104647.82"/>
    <x v="4"/>
    <n v="2025"/>
  </r>
  <r>
    <s v="TXN01684"/>
    <x v="5"/>
    <x v="4"/>
    <x v="14"/>
    <x v="6"/>
    <d v="2024-04-30T00:00:00"/>
    <x v="7"/>
    <n v="1595.8"/>
    <n v="20"/>
    <x v="6"/>
    <n v="1595.8"/>
    <x v="1683"/>
    <n v="6383.2"/>
    <x v="1"/>
    <n v="2024"/>
  </r>
  <r>
    <s v="TXN01685"/>
    <x v="14"/>
    <x v="3"/>
    <x v="20"/>
    <x v="4"/>
    <d v="2024-12-15T00:00:00"/>
    <x v="2"/>
    <n v="4208.0600000000004"/>
    <n v="15"/>
    <x v="4"/>
    <n v="5049.67"/>
    <x v="1684"/>
    <n v="28614.81"/>
    <x v="3"/>
    <n v="2024"/>
  </r>
  <r>
    <s v="TXN01686"/>
    <x v="10"/>
    <x v="0"/>
    <x v="3"/>
    <x v="6"/>
    <d v="2024-03-05T00:00:00"/>
    <x v="3"/>
    <n v="18119.32"/>
    <n v="0"/>
    <x v="4"/>
    <n v="0"/>
    <x v="1685"/>
    <n v="108715.92"/>
    <x v="6"/>
    <n v="2024"/>
  </r>
  <r>
    <s v="TXN01687"/>
    <x v="6"/>
    <x v="2"/>
    <x v="5"/>
    <x v="4"/>
    <d v="2024-04-23T00:00:00"/>
    <x v="5"/>
    <n v="1245.1400000000001"/>
    <n v="10"/>
    <x v="6"/>
    <n v="249.03"/>
    <x v="1686"/>
    <n v="2241.25"/>
    <x v="1"/>
    <n v="2024"/>
  </r>
  <r>
    <s v="TXN01688"/>
    <x v="5"/>
    <x v="1"/>
    <x v="4"/>
    <x v="5"/>
    <d v="2025-07-20T00:00:00"/>
    <x v="5"/>
    <n v="9132.59"/>
    <n v="20"/>
    <x v="2"/>
    <n v="3653.04"/>
    <x v="1687"/>
    <n v="14612.14"/>
    <x v="11"/>
    <n v="2025"/>
  </r>
  <r>
    <s v="TXN01689"/>
    <x v="4"/>
    <x v="1"/>
    <x v="2"/>
    <x v="6"/>
    <d v="2024-05-25T00:00:00"/>
    <x v="1"/>
    <n v="27349.45"/>
    <n v="5"/>
    <x v="0"/>
    <n v="5469.89"/>
    <x v="1688"/>
    <n v="103927.91"/>
    <x v="9"/>
    <n v="2024"/>
  </r>
  <r>
    <s v="TXN01690"/>
    <x v="12"/>
    <x v="3"/>
    <x v="21"/>
    <x v="3"/>
    <d v="2025-07-30T00:00:00"/>
    <x v="6"/>
    <n v="2578.15"/>
    <n v="20"/>
    <x v="3"/>
    <n v="4640.67"/>
    <x v="1689"/>
    <n v="18562.68"/>
    <x v="11"/>
    <n v="2025"/>
  </r>
  <r>
    <s v="TXN01691"/>
    <x v="2"/>
    <x v="3"/>
    <x v="21"/>
    <x v="2"/>
    <d v="2025-01-18T00:00:00"/>
    <x v="0"/>
    <n v="2312.59"/>
    <n v="5"/>
    <x v="3"/>
    <n v="346.89"/>
    <x v="1690"/>
    <n v="6590.88"/>
    <x v="10"/>
    <n v="2025"/>
  </r>
  <r>
    <s v="TXN01692"/>
    <x v="4"/>
    <x v="2"/>
    <x v="5"/>
    <x v="3"/>
    <d v="2025-07-07T00:00:00"/>
    <x v="9"/>
    <n v="1207.2"/>
    <n v="5"/>
    <x v="3"/>
    <n v="603.6"/>
    <x v="1691"/>
    <n v="11468.4"/>
    <x v="11"/>
    <n v="2025"/>
  </r>
  <r>
    <s v="TXN01693"/>
    <x v="1"/>
    <x v="3"/>
    <x v="15"/>
    <x v="0"/>
    <d v="2025-06-18T00:00:00"/>
    <x v="4"/>
    <n v="898.75"/>
    <n v="15"/>
    <x v="2"/>
    <n v="943.69"/>
    <x v="1692"/>
    <n v="5347.56"/>
    <x v="5"/>
    <n v="2025"/>
  </r>
  <r>
    <s v="TXN01694"/>
    <x v="0"/>
    <x v="3"/>
    <x v="7"/>
    <x v="0"/>
    <d v="2024-03-17T00:00:00"/>
    <x v="7"/>
    <n v="1938.75"/>
    <n v="10"/>
    <x v="1"/>
    <n v="969.38"/>
    <x v="1693"/>
    <n v="8724.3700000000008"/>
    <x v="6"/>
    <n v="2024"/>
  </r>
  <r>
    <s v="TXN01695"/>
    <x v="12"/>
    <x v="1"/>
    <x v="8"/>
    <x v="1"/>
    <d v="2025-02-24T00:00:00"/>
    <x v="0"/>
    <n v="37437.919999999998"/>
    <n v="5"/>
    <x v="1"/>
    <n v="5615.69"/>
    <x v="1694"/>
    <n v="106698.07"/>
    <x v="2"/>
    <n v="2025"/>
  </r>
  <r>
    <s v="TXN01696"/>
    <x v="10"/>
    <x v="1"/>
    <x v="2"/>
    <x v="4"/>
    <d v="2025-02-04T00:00:00"/>
    <x v="9"/>
    <n v="23708.57"/>
    <n v="10"/>
    <x v="2"/>
    <n v="23708.57"/>
    <x v="1695"/>
    <n v="213377.13"/>
    <x v="2"/>
    <n v="2025"/>
  </r>
  <r>
    <s v="TXN01697"/>
    <x v="5"/>
    <x v="0"/>
    <x v="6"/>
    <x v="4"/>
    <d v="2024-05-06T00:00:00"/>
    <x v="9"/>
    <n v="28402.13"/>
    <n v="5"/>
    <x v="2"/>
    <n v="14201.07"/>
    <x v="1696"/>
    <n v="269820.23"/>
    <x v="9"/>
    <n v="2024"/>
  </r>
  <r>
    <s v="TXN01698"/>
    <x v="7"/>
    <x v="1"/>
    <x v="2"/>
    <x v="2"/>
    <d v="2024-12-01T00:00:00"/>
    <x v="8"/>
    <n v="29127.7"/>
    <n v="20"/>
    <x v="4"/>
    <n v="5825.54"/>
    <x v="1697"/>
    <n v="23302.16"/>
    <x v="3"/>
    <n v="2024"/>
  </r>
  <r>
    <s v="TXN01699"/>
    <x v="6"/>
    <x v="3"/>
    <x v="21"/>
    <x v="3"/>
    <d v="2024-08-25T00:00:00"/>
    <x v="2"/>
    <n v="2436.7600000000002"/>
    <n v="0"/>
    <x v="6"/>
    <n v="0"/>
    <x v="1698"/>
    <n v="19494.080000000002"/>
    <x v="0"/>
    <n v="2024"/>
  </r>
  <r>
    <s v="TXN01700"/>
    <x v="11"/>
    <x v="2"/>
    <x v="11"/>
    <x v="4"/>
    <d v="2024-12-15T00:00:00"/>
    <x v="7"/>
    <n v="6255.55"/>
    <n v="0"/>
    <x v="7"/>
    <n v="0"/>
    <x v="1699"/>
    <n v="31277.75"/>
    <x v="3"/>
    <n v="2024"/>
  </r>
  <r>
    <s v="TXN01701"/>
    <x v="6"/>
    <x v="4"/>
    <x v="19"/>
    <x v="2"/>
    <d v="2025-03-12T00:00:00"/>
    <x v="9"/>
    <n v="7536.91"/>
    <n v="15"/>
    <x v="6"/>
    <n v="11305.36"/>
    <x v="1700"/>
    <n v="64063.74"/>
    <x v="6"/>
    <n v="2025"/>
  </r>
  <r>
    <s v="TXN01702"/>
    <x v="9"/>
    <x v="3"/>
    <x v="7"/>
    <x v="1"/>
    <d v="2025-09-09T00:00:00"/>
    <x v="9"/>
    <n v="2009.29"/>
    <n v="5"/>
    <x v="7"/>
    <n v="1004.65"/>
    <x v="1701"/>
    <n v="19088.25"/>
    <x v="7"/>
    <n v="2025"/>
  </r>
  <r>
    <s v="TXN01703"/>
    <x v="1"/>
    <x v="4"/>
    <x v="23"/>
    <x v="1"/>
    <d v="2024-10-13T00:00:00"/>
    <x v="7"/>
    <n v="12388.01"/>
    <n v="20"/>
    <x v="7"/>
    <n v="12388.01"/>
    <x v="1702"/>
    <n v="49552.04"/>
    <x v="4"/>
    <n v="2024"/>
  </r>
  <r>
    <s v="TXN01704"/>
    <x v="8"/>
    <x v="3"/>
    <x v="16"/>
    <x v="3"/>
    <d v="2024-12-31T00:00:00"/>
    <x v="5"/>
    <n v="1490.33"/>
    <n v="15"/>
    <x v="4"/>
    <n v="447.1"/>
    <x v="1703"/>
    <n v="2533.56"/>
    <x v="3"/>
    <n v="2024"/>
  </r>
  <r>
    <s v="TXN01705"/>
    <x v="11"/>
    <x v="1"/>
    <x v="8"/>
    <x v="4"/>
    <d v="2025-11-12T00:00:00"/>
    <x v="7"/>
    <n v="40743.620000000003"/>
    <n v="15"/>
    <x v="2"/>
    <n v="30557.72"/>
    <x v="1704"/>
    <n v="173160.38"/>
    <x v="8"/>
    <n v="2025"/>
  </r>
  <r>
    <s v="TXN01706"/>
    <x v="4"/>
    <x v="2"/>
    <x v="11"/>
    <x v="6"/>
    <d v="2025-09-13T00:00:00"/>
    <x v="6"/>
    <n v="5587.99"/>
    <n v="15"/>
    <x v="2"/>
    <n v="7543.79"/>
    <x v="1705"/>
    <n v="42748.12"/>
    <x v="7"/>
    <n v="2025"/>
  </r>
  <r>
    <s v="TXN01707"/>
    <x v="6"/>
    <x v="0"/>
    <x v="1"/>
    <x v="6"/>
    <d v="2025-08-12T00:00:00"/>
    <x v="5"/>
    <n v="2788.11"/>
    <n v="5"/>
    <x v="7"/>
    <n v="278.81"/>
    <x v="1706"/>
    <n v="5297.41"/>
    <x v="0"/>
    <n v="2025"/>
  </r>
  <r>
    <s v="TXN01708"/>
    <x v="8"/>
    <x v="3"/>
    <x v="21"/>
    <x v="2"/>
    <d v="2025-02-07T00:00:00"/>
    <x v="8"/>
    <n v="2467.0700000000002"/>
    <n v="15"/>
    <x v="2"/>
    <n v="370.06"/>
    <x v="1707"/>
    <n v="2097.0100000000002"/>
    <x v="2"/>
    <n v="2025"/>
  </r>
  <r>
    <s v="TXN01709"/>
    <x v="4"/>
    <x v="4"/>
    <x v="14"/>
    <x v="6"/>
    <d v="2025-02-12T00:00:00"/>
    <x v="4"/>
    <n v="1600.9"/>
    <n v="0"/>
    <x v="1"/>
    <n v="0"/>
    <x v="1708"/>
    <n v="11206.3"/>
    <x v="2"/>
    <n v="2025"/>
  </r>
  <r>
    <s v="TXN01710"/>
    <x v="7"/>
    <x v="1"/>
    <x v="8"/>
    <x v="1"/>
    <d v="2024-04-11T00:00:00"/>
    <x v="7"/>
    <n v="45206.7"/>
    <n v="0"/>
    <x v="5"/>
    <n v="0"/>
    <x v="1709"/>
    <n v="226033.5"/>
    <x v="1"/>
    <n v="2024"/>
  </r>
  <r>
    <s v="TXN01711"/>
    <x v="3"/>
    <x v="4"/>
    <x v="19"/>
    <x v="3"/>
    <d v="2024-12-26T00:00:00"/>
    <x v="1"/>
    <n v="8528.59"/>
    <n v="0"/>
    <x v="5"/>
    <n v="0"/>
    <x v="1710"/>
    <n v="34114.36"/>
    <x v="3"/>
    <n v="2024"/>
  </r>
  <r>
    <s v="TXN01712"/>
    <x v="0"/>
    <x v="3"/>
    <x v="16"/>
    <x v="2"/>
    <d v="2024-06-13T00:00:00"/>
    <x v="1"/>
    <n v="1559.43"/>
    <n v="20"/>
    <x v="4"/>
    <n v="1247.54"/>
    <x v="1711"/>
    <n v="4990.18"/>
    <x v="5"/>
    <n v="2024"/>
  </r>
  <r>
    <s v="TXN01713"/>
    <x v="10"/>
    <x v="3"/>
    <x v="16"/>
    <x v="0"/>
    <d v="2025-05-26T00:00:00"/>
    <x v="5"/>
    <n v="1475.16"/>
    <n v="20"/>
    <x v="3"/>
    <n v="590.05999999999995"/>
    <x v="1712"/>
    <n v="2360.2600000000002"/>
    <x v="9"/>
    <n v="2025"/>
  </r>
  <r>
    <s v="TXN01714"/>
    <x v="3"/>
    <x v="2"/>
    <x v="5"/>
    <x v="3"/>
    <d v="2024-04-13T00:00:00"/>
    <x v="5"/>
    <n v="1271.8399999999999"/>
    <n v="10"/>
    <x v="4"/>
    <n v="254.37"/>
    <x v="1713"/>
    <n v="2289.31"/>
    <x v="1"/>
    <n v="2024"/>
  </r>
  <r>
    <s v="TXN01715"/>
    <x v="8"/>
    <x v="2"/>
    <x v="9"/>
    <x v="4"/>
    <d v="2024-07-26T00:00:00"/>
    <x v="7"/>
    <n v="5012.97"/>
    <n v="15"/>
    <x v="2"/>
    <n v="3759.73"/>
    <x v="1714"/>
    <n v="21305.119999999999"/>
    <x v="11"/>
    <n v="2024"/>
  </r>
  <r>
    <s v="TXN01716"/>
    <x v="10"/>
    <x v="3"/>
    <x v="20"/>
    <x v="5"/>
    <d v="2024-06-12T00:00:00"/>
    <x v="0"/>
    <n v="3432.41"/>
    <n v="0"/>
    <x v="5"/>
    <n v="0"/>
    <x v="1715"/>
    <n v="10297.23"/>
    <x v="5"/>
    <n v="2024"/>
  </r>
  <r>
    <s v="TXN01717"/>
    <x v="5"/>
    <x v="1"/>
    <x v="8"/>
    <x v="6"/>
    <d v="2025-07-27T00:00:00"/>
    <x v="6"/>
    <n v="37779.08"/>
    <n v="20"/>
    <x v="4"/>
    <n v="68002.34"/>
    <x v="1716"/>
    <n v="272009.38"/>
    <x v="11"/>
    <n v="2025"/>
  </r>
  <r>
    <s v="TXN01718"/>
    <x v="6"/>
    <x v="0"/>
    <x v="6"/>
    <x v="1"/>
    <d v="2024-09-26T00:00:00"/>
    <x v="0"/>
    <n v="26974.3"/>
    <n v="20"/>
    <x v="2"/>
    <n v="16184.58"/>
    <x v="1717"/>
    <n v="64738.32"/>
    <x v="7"/>
    <n v="2024"/>
  </r>
  <r>
    <s v="TXN01719"/>
    <x v="7"/>
    <x v="3"/>
    <x v="16"/>
    <x v="5"/>
    <d v="2024-10-27T00:00:00"/>
    <x v="9"/>
    <n v="1720.17"/>
    <n v="0"/>
    <x v="7"/>
    <n v="0"/>
    <x v="1718"/>
    <n v="17201.7"/>
    <x v="4"/>
    <n v="2024"/>
  </r>
  <r>
    <s v="TXN01720"/>
    <x v="11"/>
    <x v="3"/>
    <x v="7"/>
    <x v="3"/>
    <d v="2024-09-08T00:00:00"/>
    <x v="6"/>
    <n v="1689.76"/>
    <n v="10"/>
    <x v="1"/>
    <n v="1520.78"/>
    <x v="1719"/>
    <n v="13687.06"/>
    <x v="7"/>
    <n v="2024"/>
  </r>
  <r>
    <s v="TXN01721"/>
    <x v="2"/>
    <x v="0"/>
    <x v="24"/>
    <x v="3"/>
    <d v="2024-09-08T00:00:00"/>
    <x v="1"/>
    <n v="7070.62"/>
    <n v="5"/>
    <x v="0"/>
    <n v="1414.12"/>
    <x v="1720"/>
    <n v="26868.36"/>
    <x v="7"/>
    <n v="2024"/>
  </r>
  <r>
    <s v="TXN01722"/>
    <x v="5"/>
    <x v="1"/>
    <x v="12"/>
    <x v="4"/>
    <d v="2025-09-18T00:00:00"/>
    <x v="2"/>
    <n v="6656.9"/>
    <n v="15"/>
    <x v="1"/>
    <n v="7988.28"/>
    <x v="1721"/>
    <n v="45266.92"/>
    <x v="7"/>
    <n v="2025"/>
  </r>
  <r>
    <s v="TXN01723"/>
    <x v="12"/>
    <x v="2"/>
    <x v="11"/>
    <x v="4"/>
    <d v="2024-07-09T00:00:00"/>
    <x v="6"/>
    <n v="5226.12"/>
    <n v="20"/>
    <x v="2"/>
    <n v="9407.02"/>
    <x v="1722"/>
    <n v="37628.06"/>
    <x v="11"/>
    <n v="2024"/>
  </r>
  <r>
    <s v="TXN01724"/>
    <x v="0"/>
    <x v="4"/>
    <x v="19"/>
    <x v="3"/>
    <d v="2024-09-26T00:00:00"/>
    <x v="4"/>
    <n v="7940.46"/>
    <n v="5"/>
    <x v="5"/>
    <n v="2779.16"/>
    <x v="1723"/>
    <n v="52804.06"/>
    <x v="7"/>
    <n v="2024"/>
  </r>
  <r>
    <s v="TXN01725"/>
    <x v="3"/>
    <x v="3"/>
    <x v="21"/>
    <x v="1"/>
    <d v="2024-11-25T00:00:00"/>
    <x v="1"/>
    <n v="3021.95"/>
    <n v="20"/>
    <x v="3"/>
    <n v="2417.56"/>
    <x v="1724"/>
    <n v="9670.24"/>
    <x v="8"/>
    <n v="2024"/>
  </r>
  <r>
    <s v="TXN01726"/>
    <x v="14"/>
    <x v="1"/>
    <x v="12"/>
    <x v="3"/>
    <d v="2025-07-02T00:00:00"/>
    <x v="3"/>
    <n v="5557.21"/>
    <n v="20"/>
    <x v="6"/>
    <n v="6668.65"/>
    <x v="1725"/>
    <n v="26674.61"/>
    <x v="11"/>
    <n v="2025"/>
  </r>
  <r>
    <s v="TXN01727"/>
    <x v="0"/>
    <x v="1"/>
    <x v="4"/>
    <x v="2"/>
    <d v="2025-04-21T00:00:00"/>
    <x v="7"/>
    <n v="8348.52"/>
    <n v="0"/>
    <x v="0"/>
    <n v="0"/>
    <x v="1726"/>
    <n v="41742.6"/>
    <x v="1"/>
    <n v="2025"/>
  </r>
  <r>
    <s v="TXN01728"/>
    <x v="11"/>
    <x v="4"/>
    <x v="14"/>
    <x v="5"/>
    <d v="2024-03-07T00:00:00"/>
    <x v="0"/>
    <n v="1358.29"/>
    <n v="15"/>
    <x v="2"/>
    <n v="611.23"/>
    <x v="1727"/>
    <n v="3463.64"/>
    <x v="6"/>
    <n v="2024"/>
  </r>
  <r>
    <s v="TXN01729"/>
    <x v="14"/>
    <x v="2"/>
    <x v="10"/>
    <x v="0"/>
    <d v="2025-12-24T00:00:00"/>
    <x v="0"/>
    <n v="2518.85"/>
    <n v="10"/>
    <x v="6"/>
    <n v="755.66"/>
    <x v="1728"/>
    <n v="6800.89"/>
    <x v="3"/>
    <n v="2025"/>
  </r>
  <r>
    <s v="TXN01730"/>
    <x v="12"/>
    <x v="0"/>
    <x v="3"/>
    <x v="0"/>
    <d v="2025-12-31T00:00:00"/>
    <x v="9"/>
    <n v="20249.509999999998"/>
    <n v="5"/>
    <x v="1"/>
    <n v="10124.76"/>
    <x v="1729"/>
    <n v="192370.34"/>
    <x v="3"/>
    <n v="2025"/>
  </r>
  <r>
    <s v="TXN01731"/>
    <x v="8"/>
    <x v="4"/>
    <x v="18"/>
    <x v="5"/>
    <d v="2025-07-05T00:00:00"/>
    <x v="7"/>
    <n v="11791.6"/>
    <n v="20"/>
    <x v="4"/>
    <n v="11791.6"/>
    <x v="1730"/>
    <n v="47166.400000000001"/>
    <x v="11"/>
    <n v="2025"/>
  </r>
  <r>
    <s v="TXN01732"/>
    <x v="7"/>
    <x v="2"/>
    <x v="9"/>
    <x v="3"/>
    <d v="2024-01-07T00:00:00"/>
    <x v="9"/>
    <n v="4109.59"/>
    <n v="10"/>
    <x v="5"/>
    <n v="4109.59"/>
    <x v="1731"/>
    <n v="36986.31"/>
    <x v="10"/>
    <n v="2024"/>
  </r>
  <r>
    <s v="TXN01733"/>
    <x v="10"/>
    <x v="2"/>
    <x v="10"/>
    <x v="1"/>
    <d v="2025-06-26T00:00:00"/>
    <x v="4"/>
    <n v="2706.49"/>
    <n v="5"/>
    <x v="7"/>
    <n v="947.27"/>
    <x v="1732"/>
    <n v="17998.16"/>
    <x v="5"/>
    <n v="2025"/>
  </r>
  <r>
    <s v="TXN01734"/>
    <x v="10"/>
    <x v="1"/>
    <x v="8"/>
    <x v="3"/>
    <d v="2024-07-04T00:00:00"/>
    <x v="8"/>
    <n v="42494.07"/>
    <n v="15"/>
    <x v="3"/>
    <n v="6374.11"/>
    <x v="1733"/>
    <n v="36119.96"/>
    <x v="11"/>
    <n v="2024"/>
  </r>
  <r>
    <s v="TXN01735"/>
    <x v="6"/>
    <x v="0"/>
    <x v="3"/>
    <x v="1"/>
    <d v="2025-08-10T00:00:00"/>
    <x v="4"/>
    <n v="19822.11"/>
    <n v="15"/>
    <x v="2"/>
    <n v="20813.22"/>
    <x v="1734"/>
    <n v="117941.55"/>
    <x v="0"/>
    <n v="2025"/>
  </r>
  <r>
    <s v="TXN01736"/>
    <x v="4"/>
    <x v="4"/>
    <x v="18"/>
    <x v="0"/>
    <d v="2024-04-08T00:00:00"/>
    <x v="7"/>
    <n v="11865.47"/>
    <n v="15"/>
    <x v="3"/>
    <n v="8899.1"/>
    <x v="1735"/>
    <n v="50428.25"/>
    <x v="1"/>
    <n v="2024"/>
  </r>
  <r>
    <s v="TXN01737"/>
    <x v="6"/>
    <x v="3"/>
    <x v="16"/>
    <x v="4"/>
    <d v="2025-02-15T00:00:00"/>
    <x v="1"/>
    <n v="1434.99"/>
    <n v="0"/>
    <x v="4"/>
    <n v="0"/>
    <x v="1736"/>
    <n v="5739.96"/>
    <x v="2"/>
    <n v="2025"/>
  </r>
  <r>
    <s v="TXN01738"/>
    <x v="10"/>
    <x v="3"/>
    <x v="16"/>
    <x v="1"/>
    <d v="2024-01-21T00:00:00"/>
    <x v="9"/>
    <n v="1372.84"/>
    <n v="20"/>
    <x v="4"/>
    <n v="2745.68"/>
    <x v="1737"/>
    <n v="10982.72"/>
    <x v="10"/>
    <n v="2024"/>
  </r>
  <r>
    <s v="TXN01739"/>
    <x v="6"/>
    <x v="0"/>
    <x v="3"/>
    <x v="4"/>
    <d v="2025-06-25T00:00:00"/>
    <x v="8"/>
    <n v="16220.97"/>
    <n v="15"/>
    <x v="1"/>
    <n v="2433.15"/>
    <x v="1738"/>
    <n v="13787.82"/>
    <x v="5"/>
    <n v="2025"/>
  </r>
  <r>
    <s v="TXN01740"/>
    <x v="10"/>
    <x v="3"/>
    <x v="15"/>
    <x v="6"/>
    <d v="2024-03-12T00:00:00"/>
    <x v="0"/>
    <n v="757.7"/>
    <n v="20"/>
    <x v="5"/>
    <n v="454.62"/>
    <x v="1739"/>
    <n v="1818.48"/>
    <x v="6"/>
    <n v="2024"/>
  </r>
  <r>
    <s v="TXN01741"/>
    <x v="9"/>
    <x v="4"/>
    <x v="18"/>
    <x v="4"/>
    <d v="2024-04-09T00:00:00"/>
    <x v="0"/>
    <n v="12599.15"/>
    <n v="20"/>
    <x v="5"/>
    <n v="7559.49"/>
    <x v="1740"/>
    <n v="30237.96"/>
    <x v="1"/>
    <n v="2024"/>
  </r>
  <r>
    <s v="TXN01742"/>
    <x v="0"/>
    <x v="1"/>
    <x v="2"/>
    <x v="3"/>
    <d v="2025-06-03T00:00:00"/>
    <x v="0"/>
    <n v="27589.759999999998"/>
    <n v="15"/>
    <x v="3"/>
    <n v="12415.39"/>
    <x v="1741"/>
    <n v="70353.89"/>
    <x v="5"/>
    <n v="2025"/>
  </r>
  <r>
    <s v="TXN01743"/>
    <x v="13"/>
    <x v="0"/>
    <x v="1"/>
    <x v="6"/>
    <d v="2024-11-15T00:00:00"/>
    <x v="7"/>
    <n v="3058.91"/>
    <n v="5"/>
    <x v="7"/>
    <n v="764.73"/>
    <x v="1742"/>
    <n v="14529.82"/>
    <x v="8"/>
    <n v="2024"/>
  </r>
  <r>
    <s v="TXN01744"/>
    <x v="7"/>
    <x v="2"/>
    <x v="11"/>
    <x v="1"/>
    <d v="2024-07-16T00:00:00"/>
    <x v="9"/>
    <n v="4694.07"/>
    <n v="20"/>
    <x v="6"/>
    <n v="9388.14"/>
    <x v="1743"/>
    <n v="37552.559999999998"/>
    <x v="11"/>
    <n v="2024"/>
  </r>
  <r>
    <s v="TXN01745"/>
    <x v="14"/>
    <x v="3"/>
    <x v="16"/>
    <x v="2"/>
    <d v="2025-04-03T00:00:00"/>
    <x v="5"/>
    <n v="1600.76"/>
    <n v="0"/>
    <x v="2"/>
    <n v="0"/>
    <x v="1744"/>
    <n v="3201.52"/>
    <x v="1"/>
    <n v="2025"/>
  </r>
  <r>
    <s v="TXN01746"/>
    <x v="3"/>
    <x v="3"/>
    <x v="7"/>
    <x v="4"/>
    <d v="2025-05-17T00:00:00"/>
    <x v="1"/>
    <n v="1977.32"/>
    <n v="0"/>
    <x v="0"/>
    <n v="0"/>
    <x v="1745"/>
    <n v="7909.28"/>
    <x v="9"/>
    <n v="2025"/>
  </r>
  <r>
    <s v="TXN01747"/>
    <x v="14"/>
    <x v="3"/>
    <x v="15"/>
    <x v="5"/>
    <d v="2025-06-16T00:00:00"/>
    <x v="5"/>
    <n v="852.7"/>
    <n v="10"/>
    <x v="7"/>
    <n v="170.54"/>
    <x v="1746"/>
    <n v="1534.86"/>
    <x v="5"/>
    <n v="2025"/>
  </r>
  <r>
    <s v="TXN01748"/>
    <x v="12"/>
    <x v="2"/>
    <x v="11"/>
    <x v="2"/>
    <d v="2025-07-13T00:00:00"/>
    <x v="1"/>
    <n v="4853.2"/>
    <n v="5"/>
    <x v="2"/>
    <n v="970.64"/>
    <x v="1747"/>
    <n v="18442.16"/>
    <x v="11"/>
    <n v="2025"/>
  </r>
  <r>
    <s v="TXN01749"/>
    <x v="5"/>
    <x v="4"/>
    <x v="18"/>
    <x v="2"/>
    <d v="2025-02-17T00:00:00"/>
    <x v="4"/>
    <n v="11931.2"/>
    <n v="15"/>
    <x v="2"/>
    <n v="12527.76"/>
    <x v="1748"/>
    <n v="70990.64"/>
    <x v="2"/>
    <n v="2025"/>
  </r>
  <r>
    <s v="TXN01750"/>
    <x v="6"/>
    <x v="0"/>
    <x v="24"/>
    <x v="0"/>
    <d v="2025-09-16T00:00:00"/>
    <x v="4"/>
    <n v="6835.32"/>
    <n v="10"/>
    <x v="6"/>
    <n v="4784.72"/>
    <x v="1749"/>
    <n v="43062.52"/>
    <x v="7"/>
    <n v="2025"/>
  </r>
  <r>
    <s v="TXN01751"/>
    <x v="4"/>
    <x v="0"/>
    <x v="1"/>
    <x v="1"/>
    <d v="2024-04-01T00:00:00"/>
    <x v="7"/>
    <n v="3369.07"/>
    <n v="20"/>
    <x v="0"/>
    <n v="3369.07"/>
    <x v="1750"/>
    <n v="13476.28"/>
    <x v="1"/>
    <n v="2024"/>
  </r>
  <r>
    <s v="TXN01752"/>
    <x v="8"/>
    <x v="2"/>
    <x v="5"/>
    <x v="0"/>
    <d v="2025-07-01T00:00:00"/>
    <x v="8"/>
    <n v="1094.1600000000001"/>
    <n v="10"/>
    <x v="1"/>
    <n v="109.42"/>
    <x v="1751"/>
    <n v="984.74"/>
    <x v="11"/>
    <n v="2025"/>
  </r>
  <r>
    <s v="TXN01753"/>
    <x v="3"/>
    <x v="4"/>
    <x v="18"/>
    <x v="6"/>
    <d v="2025-12-01T00:00:00"/>
    <x v="4"/>
    <n v="14317.18"/>
    <n v="20"/>
    <x v="1"/>
    <n v="20044.05"/>
    <x v="1752"/>
    <n v="80176.210000000006"/>
    <x v="3"/>
    <n v="2025"/>
  </r>
  <r>
    <s v="TXN01754"/>
    <x v="3"/>
    <x v="1"/>
    <x v="8"/>
    <x v="2"/>
    <d v="2024-08-07T00:00:00"/>
    <x v="5"/>
    <n v="40572.339999999997"/>
    <n v="5"/>
    <x v="1"/>
    <n v="4057.23"/>
    <x v="1753"/>
    <n v="77087.45"/>
    <x v="0"/>
    <n v="2024"/>
  </r>
  <r>
    <s v="TXN01755"/>
    <x v="6"/>
    <x v="1"/>
    <x v="4"/>
    <x v="2"/>
    <d v="2025-05-22T00:00:00"/>
    <x v="1"/>
    <n v="8342.2900000000009"/>
    <n v="20"/>
    <x v="0"/>
    <n v="6673.83"/>
    <x v="1754"/>
    <n v="26695.33"/>
    <x v="9"/>
    <n v="2025"/>
  </r>
  <r>
    <s v="TXN01756"/>
    <x v="14"/>
    <x v="0"/>
    <x v="0"/>
    <x v="5"/>
    <d v="2025-12-06T00:00:00"/>
    <x v="5"/>
    <n v="80872.08"/>
    <n v="0"/>
    <x v="0"/>
    <n v="0"/>
    <x v="1755"/>
    <n v="161744.16"/>
    <x v="3"/>
    <n v="2025"/>
  </r>
  <r>
    <s v="TXN01757"/>
    <x v="7"/>
    <x v="1"/>
    <x v="4"/>
    <x v="5"/>
    <d v="2025-01-15T00:00:00"/>
    <x v="4"/>
    <n v="7289.51"/>
    <n v="5"/>
    <x v="0"/>
    <n v="2551.33"/>
    <x v="1756"/>
    <n v="48475.24"/>
    <x v="10"/>
    <n v="2025"/>
  </r>
  <r>
    <s v="TXN01758"/>
    <x v="12"/>
    <x v="2"/>
    <x v="5"/>
    <x v="2"/>
    <d v="2025-03-08T00:00:00"/>
    <x v="9"/>
    <n v="1293.05"/>
    <n v="10"/>
    <x v="4"/>
    <n v="1293.05"/>
    <x v="1757"/>
    <n v="11637.45"/>
    <x v="6"/>
    <n v="2025"/>
  </r>
  <r>
    <s v="TXN01759"/>
    <x v="1"/>
    <x v="1"/>
    <x v="4"/>
    <x v="2"/>
    <d v="2025-03-01T00:00:00"/>
    <x v="4"/>
    <n v="7954.26"/>
    <n v="5"/>
    <x v="1"/>
    <n v="2783.99"/>
    <x v="1758"/>
    <n v="52895.83"/>
    <x v="6"/>
    <n v="2025"/>
  </r>
  <r>
    <s v="TXN01760"/>
    <x v="12"/>
    <x v="4"/>
    <x v="19"/>
    <x v="1"/>
    <d v="2024-02-12T00:00:00"/>
    <x v="2"/>
    <n v="7457.78"/>
    <n v="5"/>
    <x v="2"/>
    <n v="2983.11"/>
    <x v="1759"/>
    <n v="56679.13"/>
    <x v="2"/>
    <n v="2024"/>
  </r>
  <r>
    <s v="TXN01761"/>
    <x v="6"/>
    <x v="0"/>
    <x v="0"/>
    <x v="4"/>
    <d v="2024-03-09T00:00:00"/>
    <x v="0"/>
    <n v="67225.27"/>
    <n v="5"/>
    <x v="6"/>
    <n v="10083.790000000001"/>
    <x v="1760"/>
    <n v="191592.02"/>
    <x v="6"/>
    <n v="2024"/>
  </r>
  <r>
    <s v="TXN01762"/>
    <x v="5"/>
    <x v="3"/>
    <x v="16"/>
    <x v="6"/>
    <d v="2024-10-18T00:00:00"/>
    <x v="9"/>
    <n v="1592.87"/>
    <n v="0"/>
    <x v="4"/>
    <n v="0"/>
    <x v="1761"/>
    <n v="15928.7"/>
    <x v="4"/>
    <n v="2024"/>
  </r>
  <r>
    <s v="TXN01763"/>
    <x v="6"/>
    <x v="4"/>
    <x v="18"/>
    <x v="6"/>
    <d v="2024-07-24T00:00:00"/>
    <x v="0"/>
    <n v="12354.68"/>
    <n v="0"/>
    <x v="6"/>
    <n v="0"/>
    <x v="1762"/>
    <n v="37064.04"/>
    <x v="11"/>
    <n v="2024"/>
  </r>
  <r>
    <s v="TXN01764"/>
    <x v="6"/>
    <x v="4"/>
    <x v="23"/>
    <x v="1"/>
    <d v="2024-02-08T00:00:00"/>
    <x v="4"/>
    <n v="9461.2000000000007"/>
    <n v="0"/>
    <x v="0"/>
    <n v="0"/>
    <x v="1763"/>
    <n v="66228.399999999994"/>
    <x v="2"/>
    <n v="2024"/>
  </r>
  <r>
    <s v="TXN01765"/>
    <x v="12"/>
    <x v="1"/>
    <x v="2"/>
    <x v="0"/>
    <d v="2024-05-26T00:00:00"/>
    <x v="2"/>
    <n v="26231.26"/>
    <n v="0"/>
    <x v="6"/>
    <n v="0"/>
    <x v="1764"/>
    <n v="209850.08"/>
    <x v="9"/>
    <n v="2024"/>
  </r>
  <r>
    <s v="TXN01766"/>
    <x v="10"/>
    <x v="2"/>
    <x v="5"/>
    <x v="4"/>
    <d v="2024-02-14T00:00:00"/>
    <x v="9"/>
    <n v="1084.26"/>
    <n v="5"/>
    <x v="5"/>
    <n v="542.13"/>
    <x v="1765"/>
    <n v="10300.469999999999"/>
    <x v="2"/>
    <n v="2024"/>
  </r>
  <r>
    <s v="TXN01767"/>
    <x v="14"/>
    <x v="3"/>
    <x v="20"/>
    <x v="4"/>
    <d v="2025-04-18T00:00:00"/>
    <x v="1"/>
    <n v="3938.87"/>
    <n v="0"/>
    <x v="5"/>
    <n v="0"/>
    <x v="1766"/>
    <n v="15755.48"/>
    <x v="1"/>
    <n v="2025"/>
  </r>
  <r>
    <s v="TXN01768"/>
    <x v="7"/>
    <x v="4"/>
    <x v="23"/>
    <x v="0"/>
    <d v="2024-08-18T00:00:00"/>
    <x v="0"/>
    <n v="10568.03"/>
    <n v="10"/>
    <x v="7"/>
    <n v="3170.41"/>
    <x v="1767"/>
    <n v="28533.68"/>
    <x v="0"/>
    <n v="2024"/>
  </r>
  <r>
    <s v="TXN01769"/>
    <x v="4"/>
    <x v="4"/>
    <x v="17"/>
    <x v="5"/>
    <d v="2024-09-08T00:00:00"/>
    <x v="9"/>
    <n v="3612.49"/>
    <n v="20"/>
    <x v="7"/>
    <n v="7224.98"/>
    <x v="1768"/>
    <n v="28899.919999999998"/>
    <x v="7"/>
    <n v="2024"/>
  </r>
  <r>
    <s v="TXN01770"/>
    <x v="9"/>
    <x v="1"/>
    <x v="13"/>
    <x v="0"/>
    <d v="2024-04-24T00:00:00"/>
    <x v="5"/>
    <n v="12029.77"/>
    <n v="20"/>
    <x v="1"/>
    <n v="4811.91"/>
    <x v="1769"/>
    <n v="19247.63"/>
    <x v="1"/>
    <n v="2024"/>
  </r>
  <r>
    <s v="TXN01771"/>
    <x v="0"/>
    <x v="0"/>
    <x v="1"/>
    <x v="4"/>
    <d v="2025-01-14T00:00:00"/>
    <x v="8"/>
    <n v="2807.61"/>
    <n v="0"/>
    <x v="5"/>
    <n v="0"/>
    <x v="1770"/>
    <n v="2807.61"/>
    <x v="10"/>
    <n v="2025"/>
  </r>
  <r>
    <s v="TXN01772"/>
    <x v="1"/>
    <x v="1"/>
    <x v="12"/>
    <x v="1"/>
    <d v="2025-01-31T00:00:00"/>
    <x v="9"/>
    <n v="5579.46"/>
    <n v="5"/>
    <x v="1"/>
    <n v="2789.73"/>
    <x v="1771"/>
    <n v="53004.87"/>
    <x v="10"/>
    <n v="2025"/>
  </r>
  <r>
    <s v="TXN01773"/>
    <x v="9"/>
    <x v="0"/>
    <x v="1"/>
    <x v="1"/>
    <d v="2025-10-26T00:00:00"/>
    <x v="2"/>
    <n v="3743.2"/>
    <n v="15"/>
    <x v="1"/>
    <n v="4491.84"/>
    <x v="1772"/>
    <n v="25453.759999999998"/>
    <x v="4"/>
    <n v="2025"/>
  </r>
  <r>
    <s v="TXN01774"/>
    <x v="1"/>
    <x v="3"/>
    <x v="21"/>
    <x v="5"/>
    <d v="2025-11-30T00:00:00"/>
    <x v="2"/>
    <n v="2896.17"/>
    <n v="10"/>
    <x v="0"/>
    <n v="2316.94"/>
    <x v="1773"/>
    <n v="20852.419999999998"/>
    <x v="8"/>
    <n v="2025"/>
  </r>
  <r>
    <s v="TXN01775"/>
    <x v="14"/>
    <x v="4"/>
    <x v="23"/>
    <x v="4"/>
    <d v="2025-07-03T00:00:00"/>
    <x v="3"/>
    <n v="9559.6"/>
    <n v="10"/>
    <x v="6"/>
    <n v="5735.76"/>
    <x v="1774"/>
    <n v="51621.84"/>
    <x v="11"/>
    <n v="2025"/>
  </r>
  <r>
    <s v="TXN01776"/>
    <x v="5"/>
    <x v="1"/>
    <x v="2"/>
    <x v="4"/>
    <d v="2024-01-22T00:00:00"/>
    <x v="4"/>
    <n v="27534.07"/>
    <n v="5"/>
    <x v="5"/>
    <n v="9636.92"/>
    <x v="1775"/>
    <n v="183101.57"/>
    <x v="10"/>
    <n v="2024"/>
  </r>
  <r>
    <s v="TXN01777"/>
    <x v="1"/>
    <x v="0"/>
    <x v="24"/>
    <x v="2"/>
    <d v="2025-02-15T00:00:00"/>
    <x v="0"/>
    <n v="7770.24"/>
    <n v="10"/>
    <x v="0"/>
    <n v="2331.0700000000002"/>
    <x v="1776"/>
    <n v="20979.65"/>
    <x v="2"/>
    <n v="2025"/>
  </r>
  <r>
    <s v="TXN01778"/>
    <x v="1"/>
    <x v="1"/>
    <x v="2"/>
    <x v="5"/>
    <d v="2025-04-08T00:00:00"/>
    <x v="2"/>
    <n v="28452.34"/>
    <n v="15"/>
    <x v="6"/>
    <n v="34142.81"/>
    <x v="1777"/>
    <n v="193475.91"/>
    <x v="1"/>
    <n v="2025"/>
  </r>
  <r>
    <s v="TXN01779"/>
    <x v="3"/>
    <x v="3"/>
    <x v="20"/>
    <x v="2"/>
    <d v="2024-05-16T00:00:00"/>
    <x v="6"/>
    <n v="3330.18"/>
    <n v="5"/>
    <x v="2"/>
    <n v="1498.58"/>
    <x v="1778"/>
    <n v="28473.040000000001"/>
    <x v="9"/>
    <n v="2024"/>
  </r>
  <r>
    <s v="TXN01780"/>
    <x v="2"/>
    <x v="1"/>
    <x v="8"/>
    <x v="3"/>
    <d v="2025-04-19T00:00:00"/>
    <x v="6"/>
    <n v="44624.39"/>
    <n v="15"/>
    <x v="5"/>
    <n v="60242.93"/>
    <x v="1779"/>
    <n v="341376.58"/>
    <x v="1"/>
    <n v="2025"/>
  </r>
  <r>
    <s v="TXN01781"/>
    <x v="2"/>
    <x v="3"/>
    <x v="20"/>
    <x v="5"/>
    <d v="2025-04-26T00:00:00"/>
    <x v="5"/>
    <n v="3624.98"/>
    <n v="15"/>
    <x v="3"/>
    <n v="1087.49"/>
    <x v="1780"/>
    <n v="6162.47"/>
    <x v="1"/>
    <n v="2025"/>
  </r>
  <r>
    <s v="TXN01782"/>
    <x v="1"/>
    <x v="3"/>
    <x v="21"/>
    <x v="1"/>
    <d v="2024-08-10T00:00:00"/>
    <x v="3"/>
    <n v="2594.81"/>
    <n v="5"/>
    <x v="0"/>
    <n v="778.44"/>
    <x v="1781"/>
    <n v="14790.42"/>
    <x v="0"/>
    <n v="2024"/>
  </r>
  <r>
    <s v="TXN01783"/>
    <x v="1"/>
    <x v="4"/>
    <x v="14"/>
    <x v="4"/>
    <d v="2024-01-25T00:00:00"/>
    <x v="1"/>
    <n v="1494.74"/>
    <n v="5"/>
    <x v="6"/>
    <n v="298.95"/>
    <x v="1782"/>
    <n v="5680.01"/>
    <x v="10"/>
    <n v="2024"/>
  </r>
  <r>
    <s v="TXN01784"/>
    <x v="10"/>
    <x v="3"/>
    <x v="21"/>
    <x v="4"/>
    <d v="2025-08-11T00:00:00"/>
    <x v="1"/>
    <n v="2344.1799999999998"/>
    <n v="10"/>
    <x v="2"/>
    <n v="937.67"/>
    <x v="1783"/>
    <n v="8439.0499999999993"/>
    <x v="0"/>
    <n v="2025"/>
  </r>
  <r>
    <s v="TXN01785"/>
    <x v="4"/>
    <x v="4"/>
    <x v="18"/>
    <x v="2"/>
    <d v="2025-05-13T00:00:00"/>
    <x v="3"/>
    <n v="12631.07"/>
    <n v="20"/>
    <x v="3"/>
    <n v="15157.28"/>
    <x v="1784"/>
    <n v="60629.14"/>
    <x v="9"/>
    <n v="2025"/>
  </r>
  <r>
    <s v="TXN01786"/>
    <x v="8"/>
    <x v="2"/>
    <x v="10"/>
    <x v="1"/>
    <d v="2024-03-28T00:00:00"/>
    <x v="8"/>
    <n v="2255.42"/>
    <n v="0"/>
    <x v="7"/>
    <n v="0"/>
    <x v="1785"/>
    <n v="2255.42"/>
    <x v="6"/>
    <n v="2024"/>
  </r>
  <r>
    <s v="TXN01787"/>
    <x v="3"/>
    <x v="3"/>
    <x v="15"/>
    <x v="0"/>
    <d v="2024-06-03T00:00:00"/>
    <x v="1"/>
    <n v="781.51"/>
    <n v="0"/>
    <x v="0"/>
    <n v="0"/>
    <x v="1786"/>
    <n v="3126.04"/>
    <x v="5"/>
    <n v="2024"/>
  </r>
  <r>
    <s v="TXN01788"/>
    <x v="14"/>
    <x v="3"/>
    <x v="21"/>
    <x v="0"/>
    <d v="2025-05-01T00:00:00"/>
    <x v="3"/>
    <n v="2689.75"/>
    <n v="10"/>
    <x v="6"/>
    <n v="1613.85"/>
    <x v="1787"/>
    <n v="14524.65"/>
    <x v="9"/>
    <n v="2025"/>
  </r>
  <r>
    <s v="TXN01789"/>
    <x v="10"/>
    <x v="3"/>
    <x v="15"/>
    <x v="6"/>
    <d v="2024-06-04T00:00:00"/>
    <x v="0"/>
    <n v="803.04"/>
    <n v="20"/>
    <x v="3"/>
    <n v="481.82"/>
    <x v="1788"/>
    <n v="1927.3"/>
    <x v="5"/>
    <n v="2024"/>
  </r>
  <r>
    <s v="TXN01790"/>
    <x v="7"/>
    <x v="2"/>
    <x v="9"/>
    <x v="6"/>
    <d v="2025-12-17T00:00:00"/>
    <x v="7"/>
    <n v="5308.83"/>
    <n v="5"/>
    <x v="6"/>
    <n v="1327.21"/>
    <x v="1789"/>
    <n v="25216.94"/>
    <x v="3"/>
    <n v="2025"/>
  </r>
  <r>
    <s v="TXN01791"/>
    <x v="14"/>
    <x v="0"/>
    <x v="6"/>
    <x v="5"/>
    <d v="2024-02-10T00:00:00"/>
    <x v="0"/>
    <n v="28001.45"/>
    <n v="15"/>
    <x v="7"/>
    <n v="12600.65"/>
    <x v="1790"/>
    <n v="71403.7"/>
    <x v="2"/>
    <n v="2024"/>
  </r>
  <r>
    <s v="TXN01792"/>
    <x v="7"/>
    <x v="4"/>
    <x v="23"/>
    <x v="3"/>
    <d v="2025-08-23T00:00:00"/>
    <x v="3"/>
    <n v="11327.36"/>
    <n v="20"/>
    <x v="1"/>
    <n v="13592.83"/>
    <x v="1791"/>
    <n v="54371.33"/>
    <x v="0"/>
    <n v="2025"/>
  </r>
  <r>
    <s v="TXN01793"/>
    <x v="11"/>
    <x v="2"/>
    <x v="5"/>
    <x v="1"/>
    <d v="2025-11-18T00:00:00"/>
    <x v="9"/>
    <n v="1301.46"/>
    <n v="10"/>
    <x v="6"/>
    <n v="1301.46"/>
    <x v="1792"/>
    <n v="11713.14"/>
    <x v="8"/>
    <n v="2025"/>
  </r>
  <r>
    <s v="TXN01794"/>
    <x v="6"/>
    <x v="0"/>
    <x v="3"/>
    <x v="4"/>
    <d v="2025-10-01T00:00:00"/>
    <x v="7"/>
    <n v="21173"/>
    <n v="5"/>
    <x v="3"/>
    <n v="5293.25"/>
    <x v="1793"/>
    <n v="100571.75"/>
    <x v="4"/>
    <n v="2025"/>
  </r>
  <r>
    <s v="TXN01795"/>
    <x v="8"/>
    <x v="0"/>
    <x v="6"/>
    <x v="0"/>
    <d v="2025-12-29T00:00:00"/>
    <x v="5"/>
    <n v="27188.639999999999"/>
    <n v="15"/>
    <x v="4"/>
    <n v="8156.59"/>
    <x v="1794"/>
    <n v="46220.69"/>
    <x v="3"/>
    <n v="2025"/>
  </r>
  <r>
    <s v="TXN01796"/>
    <x v="14"/>
    <x v="0"/>
    <x v="1"/>
    <x v="6"/>
    <d v="2024-06-22T00:00:00"/>
    <x v="3"/>
    <n v="3338.44"/>
    <n v="5"/>
    <x v="2"/>
    <n v="1001.53"/>
    <x v="1795"/>
    <n v="19029.11"/>
    <x v="5"/>
    <n v="2024"/>
  </r>
  <r>
    <s v="TXN01797"/>
    <x v="9"/>
    <x v="2"/>
    <x v="22"/>
    <x v="1"/>
    <d v="2024-11-22T00:00:00"/>
    <x v="0"/>
    <n v="903.87"/>
    <n v="5"/>
    <x v="6"/>
    <n v="135.58000000000001"/>
    <x v="1796"/>
    <n v="2576.0300000000002"/>
    <x v="8"/>
    <n v="2024"/>
  </r>
  <r>
    <s v="TXN01798"/>
    <x v="11"/>
    <x v="3"/>
    <x v="20"/>
    <x v="5"/>
    <d v="2024-02-11T00:00:00"/>
    <x v="7"/>
    <n v="3806.25"/>
    <n v="15"/>
    <x v="5"/>
    <n v="2854.69"/>
    <x v="1797"/>
    <n v="16176.56"/>
    <x v="2"/>
    <n v="2024"/>
  </r>
  <r>
    <s v="TXN01799"/>
    <x v="9"/>
    <x v="0"/>
    <x v="3"/>
    <x v="1"/>
    <d v="2025-10-01T00:00:00"/>
    <x v="8"/>
    <n v="21456.47"/>
    <n v="0"/>
    <x v="3"/>
    <n v="0"/>
    <x v="1798"/>
    <n v="21456.47"/>
    <x v="4"/>
    <n v="2025"/>
  </r>
  <r>
    <s v="TXN01800"/>
    <x v="2"/>
    <x v="3"/>
    <x v="16"/>
    <x v="5"/>
    <d v="2025-02-01T00:00:00"/>
    <x v="8"/>
    <n v="1610.73"/>
    <n v="10"/>
    <x v="2"/>
    <n v="161.07"/>
    <x v="1799"/>
    <n v="1449.66"/>
    <x v="2"/>
    <n v="2025"/>
  </r>
  <r>
    <s v="TXN01801"/>
    <x v="3"/>
    <x v="4"/>
    <x v="19"/>
    <x v="3"/>
    <d v="2025-02-20T00:00:00"/>
    <x v="3"/>
    <n v="7464.68"/>
    <n v="10"/>
    <x v="2"/>
    <n v="4478.8100000000004"/>
    <x v="1800"/>
    <n v="40309.269999999997"/>
    <x v="2"/>
    <n v="2025"/>
  </r>
  <r>
    <s v="TXN01802"/>
    <x v="2"/>
    <x v="3"/>
    <x v="21"/>
    <x v="5"/>
    <d v="2024-09-30T00:00:00"/>
    <x v="5"/>
    <n v="2820.85"/>
    <n v="0"/>
    <x v="4"/>
    <n v="0"/>
    <x v="1801"/>
    <n v="5641.7"/>
    <x v="7"/>
    <n v="2024"/>
  </r>
  <r>
    <s v="TXN01803"/>
    <x v="14"/>
    <x v="3"/>
    <x v="21"/>
    <x v="1"/>
    <d v="2024-05-11T00:00:00"/>
    <x v="5"/>
    <n v="2401.85"/>
    <n v="5"/>
    <x v="1"/>
    <n v="240.19"/>
    <x v="1802"/>
    <n v="4563.51"/>
    <x v="9"/>
    <n v="2024"/>
  </r>
  <r>
    <s v="TXN01804"/>
    <x v="7"/>
    <x v="3"/>
    <x v="15"/>
    <x v="6"/>
    <d v="2024-03-30T00:00:00"/>
    <x v="5"/>
    <n v="721.93"/>
    <n v="0"/>
    <x v="0"/>
    <n v="0"/>
    <x v="1803"/>
    <n v="1443.86"/>
    <x v="6"/>
    <n v="2024"/>
  </r>
  <r>
    <s v="TXN01805"/>
    <x v="6"/>
    <x v="3"/>
    <x v="21"/>
    <x v="4"/>
    <d v="2025-10-08T00:00:00"/>
    <x v="3"/>
    <n v="3015.47"/>
    <n v="0"/>
    <x v="6"/>
    <n v="0"/>
    <x v="1804"/>
    <n v="18092.82"/>
    <x v="4"/>
    <n v="2025"/>
  </r>
  <r>
    <s v="TXN01806"/>
    <x v="13"/>
    <x v="2"/>
    <x v="10"/>
    <x v="2"/>
    <d v="2024-07-23T00:00:00"/>
    <x v="5"/>
    <n v="2365.98"/>
    <n v="0"/>
    <x v="3"/>
    <n v="0"/>
    <x v="1805"/>
    <n v="4731.96"/>
    <x v="11"/>
    <n v="2024"/>
  </r>
  <r>
    <s v="TXN01807"/>
    <x v="10"/>
    <x v="0"/>
    <x v="24"/>
    <x v="2"/>
    <d v="2024-08-03T00:00:00"/>
    <x v="8"/>
    <n v="7554.71"/>
    <n v="15"/>
    <x v="0"/>
    <n v="1133.21"/>
    <x v="1806"/>
    <n v="6421.5"/>
    <x v="0"/>
    <n v="2024"/>
  </r>
  <r>
    <s v="TXN01808"/>
    <x v="2"/>
    <x v="3"/>
    <x v="21"/>
    <x v="5"/>
    <d v="2025-12-26T00:00:00"/>
    <x v="2"/>
    <n v="2891.25"/>
    <n v="5"/>
    <x v="0"/>
    <n v="1156.5"/>
    <x v="1807"/>
    <n v="21973.5"/>
    <x v="3"/>
    <n v="2025"/>
  </r>
  <r>
    <s v="TXN01809"/>
    <x v="0"/>
    <x v="4"/>
    <x v="19"/>
    <x v="2"/>
    <d v="2025-03-29T00:00:00"/>
    <x v="0"/>
    <n v="8215.17"/>
    <n v="0"/>
    <x v="1"/>
    <n v="0"/>
    <x v="1808"/>
    <n v="24645.51"/>
    <x v="6"/>
    <n v="2025"/>
  </r>
  <r>
    <s v="TXN01810"/>
    <x v="5"/>
    <x v="1"/>
    <x v="13"/>
    <x v="4"/>
    <d v="2025-12-17T00:00:00"/>
    <x v="5"/>
    <n v="14199.46"/>
    <n v="0"/>
    <x v="0"/>
    <n v="0"/>
    <x v="1809"/>
    <n v="28398.92"/>
    <x v="3"/>
    <n v="2025"/>
  </r>
  <r>
    <s v="TXN01811"/>
    <x v="4"/>
    <x v="1"/>
    <x v="13"/>
    <x v="0"/>
    <d v="2024-06-15T00:00:00"/>
    <x v="4"/>
    <n v="12705.89"/>
    <n v="20"/>
    <x v="0"/>
    <n v="17788.25"/>
    <x v="1810"/>
    <n v="71152.98"/>
    <x v="5"/>
    <n v="2024"/>
  </r>
  <r>
    <s v="TXN01812"/>
    <x v="1"/>
    <x v="3"/>
    <x v="21"/>
    <x v="6"/>
    <d v="2024-08-11T00:00:00"/>
    <x v="4"/>
    <n v="2406.84"/>
    <n v="10"/>
    <x v="4"/>
    <n v="1684.79"/>
    <x v="1811"/>
    <n v="15163.09"/>
    <x v="0"/>
    <n v="2024"/>
  </r>
  <r>
    <s v="TXN01813"/>
    <x v="13"/>
    <x v="1"/>
    <x v="8"/>
    <x v="2"/>
    <d v="2024-10-15T00:00:00"/>
    <x v="0"/>
    <n v="40311.19"/>
    <n v="0"/>
    <x v="4"/>
    <n v="0"/>
    <x v="1812"/>
    <n v="120933.57"/>
    <x v="4"/>
    <n v="2024"/>
  </r>
  <r>
    <s v="TXN01814"/>
    <x v="14"/>
    <x v="4"/>
    <x v="19"/>
    <x v="2"/>
    <d v="2025-09-26T00:00:00"/>
    <x v="4"/>
    <n v="7359.9"/>
    <n v="15"/>
    <x v="1"/>
    <n v="7727.9"/>
    <x v="1813"/>
    <n v="43791.4"/>
    <x v="7"/>
    <n v="2025"/>
  </r>
  <r>
    <s v="TXN01815"/>
    <x v="3"/>
    <x v="0"/>
    <x v="0"/>
    <x v="6"/>
    <d v="2025-12-15T00:00:00"/>
    <x v="9"/>
    <n v="76472.75"/>
    <n v="0"/>
    <x v="5"/>
    <n v="0"/>
    <x v="1814"/>
    <n v="764727.5"/>
    <x v="3"/>
    <n v="2025"/>
  </r>
  <r>
    <s v="TXN01816"/>
    <x v="0"/>
    <x v="2"/>
    <x v="22"/>
    <x v="3"/>
    <d v="2025-04-06T00:00:00"/>
    <x v="3"/>
    <n v="976.99"/>
    <n v="15"/>
    <x v="5"/>
    <n v="879.29"/>
    <x v="1815"/>
    <n v="4982.6499999999996"/>
    <x v="1"/>
    <n v="2025"/>
  </r>
  <r>
    <s v="TXN01817"/>
    <x v="5"/>
    <x v="3"/>
    <x v="16"/>
    <x v="3"/>
    <d v="2024-11-16T00:00:00"/>
    <x v="6"/>
    <n v="1897.13"/>
    <n v="5"/>
    <x v="6"/>
    <n v="853.71"/>
    <x v="1816"/>
    <n v="16220.46"/>
    <x v="8"/>
    <n v="2024"/>
  </r>
  <r>
    <s v="TXN01818"/>
    <x v="7"/>
    <x v="1"/>
    <x v="8"/>
    <x v="1"/>
    <d v="2025-02-23T00:00:00"/>
    <x v="2"/>
    <n v="44799.75"/>
    <n v="10"/>
    <x v="5"/>
    <n v="35839.800000000003"/>
    <x v="1817"/>
    <n v="322558.2"/>
    <x v="2"/>
    <n v="2025"/>
  </r>
  <r>
    <s v="TXN01819"/>
    <x v="4"/>
    <x v="4"/>
    <x v="23"/>
    <x v="5"/>
    <d v="2024-06-05T00:00:00"/>
    <x v="0"/>
    <n v="10844.65"/>
    <n v="15"/>
    <x v="6"/>
    <n v="4880.09"/>
    <x v="1818"/>
    <n v="27653.86"/>
    <x v="5"/>
    <n v="2024"/>
  </r>
  <r>
    <s v="TXN01820"/>
    <x v="4"/>
    <x v="4"/>
    <x v="17"/>
    <x v="4"/>
    <d v="2025-01-25T00:00:00"/>
    <x v="0"/>
    <n v="3499.49"/>
    <n v="0"/>
    <x v="5"/>
    <n v="0"/>
    <x v="1819"/>
    <n v="10498.47"/>
    <x v="10"/>
    <n v="2025"/>
  </r>
  <r>
    <s v="TXN01821"/>
    <x v="7"/>
    <x v="4"/>
    <x v="18"/>
    <x v="6"/>
    <d v="2024-08-10T00:00:00"/>
    <x v="5"/>
    <n v="10849.17"/>
    <n v="15"/>
    <x v="3"/>
    <n v="3254.75"/>
    <x v="1820"/>
    <n v="18443.59"/>
    <x v="0"/>
    <n v="2024"/>
  </r>
  <r>
    <s v="TXN01822"/>
    <x v="3"/>
    <x v="1"/>
    <x v="4"/>
    <x v="4"/>
    <d v="2025-05-24T00:00:00"/>
    <x v="4"/>
    <n v="7516.63"/>
    <n v="20"/>
    <x v="1"/>
    <n v="10523.28"/>
    <x v="1821"/>
    <n v="42093.13"/>
    <x v="9"/>
    <n v="2025"/>
  </r>
  <r>
    <s v="TXN01823"/>
    <x v="2"/>
    <x v="3"/>
    <x v="7"/>
    <x v="5"/>
    <d v="2025-03-19T00:00:00"/>
    <x v="4"/>
    <n v="2046.3"/>
    <n v="5"/>
    <x v="6"/>
    <n v="716.21"/>
    <x v="1822"/>
    <n v="13607.89"/>
    <x v="6"/>
    <n v="2025"/>
  </r>
  <r>
    <s v="TXN01824"/>
    <x v="3"/>
    <x v="4"/>
    <x v="17"/>
    <x v="1"/>
    <d v="2024-11-27T00:00:00"/>
    <x v="2"/>
    <n v="4050.02"/>
    <n v="5"/>
    <x v="7"/>
    <n v="1620.01"/>
    <x v="1823"/>
    <n v="30780.15"/>
    <x v="8"/>
    <n v="2024"/>
  </r>
  <r>
    <s v="TXN01825"/>
    <x v="11"/>
    <x v="1"/>
    <x v="8"/>
    <x v="3"/>
    <d v="2025-03-02T00:00:00"/>
    <x v="2"/>
    <n v="36129.68"/>
    <n v="10"/>
    <x v="0"/>
    <n v="28903.74"/>
    <x v="1824"/>
    <n v="260133.7"/>
    <x v="6"/>
    <n v="2025"/>
  </r>
  <r>
    <s v="TXN01826"/>
    <x v="8"/>
    <x v="1"/>
    <x v="4"/>
    <x v="0"/>
    <d v="2025-09-18T00:00:00"/>
    <x v="5"/>
    <n v="8398.23"/>
    <n v="20"/>
    <x v="2"/>
    <n v="3359.29"/>
    <x v="1825"/>
    <n v="13437.17"/>
    <x v="7"/>
    <n v="2025"/>
  </r>
  <r>
    <s v="TXN01827"/>
    <x v="0"/>
    <x v="3"/>
    <x v="20"/>
    <x v="0"/>
    <d v="2025-01-13T00:00:00"/>
    <x v="9"/>
    <n v="3999.13"/>
    <n v="0"/>
    <x v="3"/>
    <n v="0"/>
    <x v="1826"/>
    <n v="39991.300000000003"/>
    <x v="10"/>
    <n v="2025"/>
  </r>
  <r>
    <s v="TXN01828"/>
    <x v="3"/>
    <x v="0"/>
    <x v="24"/>
    <x v="5"/>
    <d v="2024-08-02T00:00:00"/>
    <x v="3"/>
    <n v="7504.49"/>
    <n v="10"/>
    <x v="0"/>
    <n v="4502.6899999999996"/>
    <x v="1827"/>
    <n v="40524.25"/>
    <x v="0"/>
    <n v="2024"/>
  </r>
  <r>
    <s v="TXN01829"/>
    <x v="9"/>
    <x v="4"/>
    <x v="19"/>
    <x v="0"/>
    <d v="2025-12-16T00:00:00"/>
    <x v="1"/>
    <n v="9904.08"/>
    <n v="10"/>
    <x v="5"/>
    <n v="3961.63"/>
    <x v="1828"/>
    <n v="35654.69"/>
    <x v="3"/>
    <n v="2025"/>
  </r>
  <r>
    <s v="TXN01830"/>
    <x v="0"/>
    <x v="2"/>
    <x v="5"/>
    <x v="6"/>
    <d v="2024-09-12T00:00:00"/>
    <x v="2"/>
    <n v="1248.99"/>
    <n v="0"/>
    <x v="0"/>
    <n v="0"/>
    <x v="1829"/>
    <n v="9991.92"/>
    <x v="7"/>
    <n v="2024"/>
  </r>
  <r>
    <s v="TXN01831"/>
    <x v="14"/>
    <x v="3"/>
    <x v="21"/>
    <x v="1"/>
    <d v="2024-05-31T00:00:00"/>
    <x v="9"/>
    <n v="2451.0300000000002"/>
    <n v="20"/>
    <x v="2"/>
    <n v="4902.0600000000004"/>
    <x v="1830"/>
    <n v="19608.240000000002"/>
    <x v="9"/>
    <n v="2024"/>
  </r>
  <r>
    <s v="TXN01832"/>
    <x v="12"/>
    <x v="4"/>
    <x v="23"/>
    <x v="2"/>
    <d v="2024-03-09T00:00:00"/>
    <x v="2"/>
    <n v="9973.94"/>
    <n v="5"/>
    <x v="4"/>
    <n v="3989.58"/>
    <x v="1831"/>
    <n v="75801.94"/>
    <x v="6"/>
    <n v="2024"/>
  </r>
  <r>
    <s v="TXN01833"/>
    <x v="3"/>
    <x v="3"/>
    <x v="7"/>
    <x v="3"/>
    <d v="2025-04-30T00:00:00"/>
    <x v="1"/>
    <n v="1720.5"/>
    <n v="0"/>
    <x v="1"/>
    <n v="0"/>
    <x v="1832"/>
    <n v="6882"/>
    <x v="1"/>
    <n v="2025"/>
  </r>
  <r>
    <s v="TXN01834"/>
    <x v="4"/>
    <x v="3"/>
    <x v="20"/>
    <x v="6"/>
    <d v="2025-07-29T00:00:00"/>
    <x v="0"/>
    <n v="3835.72"/>
    <n v="10"/>
    <x v="6"/>
    <n v="1150.72"/>
    <x v="1833"/>
    <n v="10356.44"/>
    <x v="11"/>
    <n v="2025"/>
  </r>
  <r>
    <s v="TXN01835"/>
    <x v="12"/>
    <x v="4"/>
    <x v="19"/>
    <x v="6"/>
    <d v="2025-10-23T00:00:00"/>
    <x v="1"/>
    <n v="10027"/>
    <n v="20"/>
    <x v="0"/>
    <n v="8021.6"/>
    <x v="1834"/>
    <n v="32086.400000000001"/>
    <x v="4"/>
    <n v="2025"/>
  </r>
  <r>
    <s v="TXN01836"/>
    <x v="5"/>
    <x v="2"/>
    <x v="10"/>
    <x v="2"/>
    <d v="2024-07-18T00:00:00"/>
    <x v="6"/>
    <n v="2749.28"/>
    <n v="10"/>
    <x v="1"/>
    <n v="2474.35"/>
    <x v="1835"/>
    <n v="22269.17"/>
    <x v="11"/>
    <n v="2024"/>
  </r>
  <r>
    <s v="TXN01837"/>
    <x v="1"/>
    <x v="1"/>
    <x v="2"/>
    <x v="2"/>
    <d v="2024-11-01T00:00:00"/>
    <x v="7"/>
    <n v="26154.15"/>
    <n v="10"/>
    <x v="1"/>
    <n v="13077.08"/>
    <x v="1836"/>
    <n v="117693.67"/>
    <x v="8"/>
    <n v="2024"/>
  </r>
  <r>
    <s v="TXN01838"/>
    <x v="8"/>
    <x v="0"/>
    <x v="0"/>
    <x v="2"/>
    <d v="2024-03-21T00:00:00"/>
    <x v="3"/>
    <n v="66055.27"/>
    <n v="5"/>
    <x v="2"/>
    <n v="19816.580000000002"/>
    <x v="1837"/>
    <n v="376515.04"/>
    <x v="6"/>
    <n v="2024"/>
  </r>
  <r>
    <s v="TXN01839"/>
    <x v="9"/>
    <x v="4"/>
    <x v="23"/>
    <x v="4"/>
    <d v="2024-11-17T00:00:00"/>
    <x v="5"/>
    <n v="12476.48"/>
    <n v="15"/>
    <x v="6"/>
    <n v="3742.94"/>
    <x v="1838"/>
    <n v="21210.02"/>
    <x v="8"/>
    <n v="2024"/>
  </r>
  <r>
    <s v="TXN01840"/>
    <x v="0"/>
    <x v="3"/>
    <x v="7"/>
    <x v="6"/>
    <d v="2024-10-18T00:00:00"/>
    <x v="0"/>
    <n v="2072.31"/>
    <n v="10"/>
    <x v="6"/>
    <n v="621.69000000000005"/>
    <x v="1839"/>
    <n v="5595.24"/>
    <x v="4"/>
    <n v="2024"/>
  </r>
  <r>
    <s v="TXN01841"/>
    <x v="13"/>
    <x v="0"/>
    <x v="0"/>
    <x v="3"/>
    <d v="2025-07-19T00:00:00"/>
    <x v="2"/>
    <n v="64493.36"/>
    <n v="10"/>
    <x v="5"/>
    <n v="51594.69"/>
    <x v="1840"/>
    <n v="464352.19"/>
    <x v="11"/>
    <n v="2025"/>
  </r>
  <r>
    <s v="TXN01842"/>
    <x v="13"/>
    <x v="4"/>
    <x v="14"/>
    <x v="2"/>
    <d v="2025-10-23T00:00:00"/>
    <x v="3"/>
    <n v="1648.16"/>
    <n v="10"/>
    <x v="2"/>
    <n v="988.9"/>
    <x v="1841"/>
    <n v="8900.06"/>
    <x v="4"/>
    <n v="2025"/>
  </r>
  <r>
    <s v="TXN01843"/>
    <x v="8"/>
    <x v="2"/>
    <x v="10"/>
    <x v="0"/>
    <d v="2025-08-02T00:00:00"/>
    <x v="9"/>
    <n v="2274.61"/>
    <n v="20"/>
    <x v="5"/>
    <n v="4549.22"/>
    <x v="1842"/>
    <n v="18196.88"/>
    <x v="0"/>
    <n v="2025"/>
  </r>
  <r>
    <s v="TXN01844"/>
    <x v="11"/>
    <x v="0"/>
    <x v="6"/>
    <x v="1"/>
    <d v="2024-05-23T00:00:00"/>
    <x v="0"/>
    <n v="23139.08"/>
    <n v="5"/>
    <x v="7"/>
    <n v="3470.86"/>
    <x v="1843"/>
    <n v="65946.38"/>
    <x v="9"/>
    <n v="2024"/>
  </r>
  <r>
    <s v="TXN01845"/>
    <x v="10"/>
    <x v="1"/>
    <x v="12"/>
    <x v="0"/>
    <d v="2024-12-12T00:00:00"/>
    <x v="5"/>
    <n v="6620.86"/>
    <n v="0"/>
    <x v="5"/>
    <n v="0"/>
    <x v="1844"/>
    <n v="13241.72"/>
    <x v="3"/>
    <n v="2024"/>
  </r>
  <r>
    <s v="TXN01846"/>
    <x v="9"/>
    <x v="4"/>
    <x v="23"/>
    <x v="1"/>
    <d v="2025-10-19T00:00:00"/>
    <x v="4"/>
    <n v="11810.11"/>
    <n v="20"/>
    <x v="2"/>
    <n v="16534.150000000001"/>
    <x v="1845"/>
    <n v="66136.62"/>
    <x v="4"/>
    <n v="2025"/>
  </r>
  <r>
    <s v="TXN01847"/>
    <x v="11"/>
    <x v="0"/>
    <x v="6"/>
    <x v="4"/>
    <d v="2024-09-24T00:00:00"/>
    <x v="1"/>
    <n v="23995.41"/>
    <n v="20"/>
    <x v="7"/>
    <n v="19196.330000000002"/>
    <x v="1846"/>
    <n v="76785.31"/>
    <x v="7"/>
    <n v="2024"/>
  </r>
  <r>
    <s v="TXN01848"/>
    <x v="8"/>
    <x v="0"/>
    <x v="0"/>
    <x v="3"/>
    <d v="2025-05-05T00:00:00"/>
    <x v="8"/>
    <n v="59185.36"/>
    <n v="5"/>
    <x v="0"/>
    <n v="2959.27"/>
    <x v="1847"/>
    <n v="56226.09"/>
    <x v="9"/>
    <n v="2025"/>
  </r>
  <r>
    <s v="TXN01849"/>
    <x v="9"/>
    <x v="1"/>
    <x v="13"/>
    <x v="0"/>
    <d v="2025-01-31T00:00:00"/>
    <x v="4"/>
    <n v="10857.77"/>
    <n v="10"/>
    <x v="5"/>
    <n v="7600.44"/>
    <x v="1848"/>
    <n v="68403.95"/>
    <x v="10"/>
    <n v="2025"/>
  </r>
  <r>
    <s v="TXN01850"/>
    <x v="8"/>
    <x v="4"/>
    <x v="17"/>
    <x v="2"/>
    <d v="2025-07-17T00:00:00"/>
    <x v="5"/>
    <n v="3185.11"/>
    <n v="20"/>
    <x v="2"/>
    <n v="1274.04"/>
    <x v="1849"/>
    <n v="5096.18"/>
    <x v="11"/>
    <n v="2025"/>
  </r>
  <r>
    <s v="TXN01851"/>
    <x v="2"/>
    <x v="0"/>
    <x v="6"/>
    <x v="6"/>
    <d v="2024-01-08T00:00:00"/>
    <x v="3"/>
    <n v="26886.400000000001"/>
    <n v="20"/>
    <x v="6"/>
    <n v="32263.68"/>
    <x v="1850"/>
    <n v="129054.72"/>
    <x v="10"/>
    <n v="2024"/>
  </r>
  <r>
    <s v="TXN01852"/>
    <x v="14"/>
    <x v="3"/>
    <x v="21"/>
    <x v="3"/>
    <d v="2025-02-10T00:00:00"/>
    <x v="1"/>
    <n v="2345.16"/>
    <n v="0"/>
    <x v="3"/>
    <n v="0"/>
    <x v="1851"/>
    <n v="9380.64"/>
    <x v="2"/>
    <n v="2025"/>
  </r>
  <r>
    <s v="TXN01853"/>
    <x v="5"/>
    <x v="2"/>
    <x v="22"/>
    <x v="6"/>
    <d v="2025-06-07T00:00:00"/>
    <x v="4"/>
    <n v="845.97"/>
    <n v="5"/>
    <x v="5"/>
    <n v="296.08999999999997"/>
    <x v="1852"/>
    <n v="5625.7"/>
    <x v="5"/>
    <n v="2025"/>
  </r>
  <r>
    <s v="TXN01854"/>
    <x v="3"/>
    <x v="2"/>
    <x v="22"/>
    <x v="4"/>
    <d v="2024-09-23T00:00:00"/>
    <x v="4"/>
    <n v="836.81"/>
    <n v="10"/>
    <x v="5"/>
    <n v="585.77"/>
    <x v="1853"/>
    <n v="5271.9"/>
    <x v="7"/>
    <n v="2024"/>
  </r>
  <r>
    <s v="TXN01855"/>
    <x v="11"/>
    <x v="4"/>
    <x v="17"/>
    <x v="6"/>
    <d v="2024-07-28T00:00:00"/>
    <x v="0"/>
    <n v="3248.61"/>
    <n v="15"/>
    <x v="2"/>
    <n v="1461.87"/>
    <x v="1854"/>
    <n v="8283.9599999999991"/>
    <x v="11"/>
    <n v="2024"/>
  </r>
  <r>
    <s v="TXN01856"/>
    <x v="2"/>
    <x v="0"/>
    <x v="6"/>
    <x v="3"/>
    <d v="2025-12-07T00:00:00"/>
    <x v="1"/>
    <n v="30845.73"/>
    <n v="10"/>
    <x v="4"/>
    <n v="12338.29"/>
    <x v="1855"/>
    <n v="111044.63"/>
    <x v="3"/>
    <n v="2025"/>
  </r>
  <r>
    <s v="TXN01857"/>
    <x v="13"/>
    <x v="3"/>
    <x v="16"/>
    <x v="2"/>
    <d v="2025-08-03T00:00:00"/>
    <x v="7"/>
    <n v="1431.3"/>
    <n v="0"/>
    <x v="0"/>
    <n v="0"/>
    <x v="1856"/>
    <n v="7156.5"/>
    <x v="0"/>
    <n v="2025"/>
  </r>
  <r>
    <s v="TXN01858"/>
    <x v="2"/>
    <x v="3"/>
    <x v="15"/>
    <x v="3"/>
    <d v="2024-12-07T00:00:00"/>
    <x v="1"/>
    <n v="901.91"/>
    <n v="15"/>
    <x v="3"/>
    <n v="541.15"/>
    <x v="1857"/>
    <n v="3066.49"/>
    <x v="3"/>
    <n v="2024"/>
  </r>
  <r>
    <s v="TXN01859"/>
    <x v="1"/>
    <x v="3"/>
    <x v="16"/>
    <x v="6"/>
    <d v="2025-05-18T00:00:00"/>
    <x v="2"/>
    <n v="1560.31"/>
    <n v="10"/>
    <x v="3"/>
    <n v="1248.25"/>
    <x v="1858"/>
    <n v="11234.23"/>
    <x v="9"/>
    <n v="2025"/>
  </r>
  <r>
    <s v="TXN01860"/>
    <x v="12"/>
    <x v="1"/>
    <x v="12"/>
    <x v="1"/>
    <d v="2024-02-01T00:00:00"/>
    <x v="9"/>
    <n v="5475.04"/>
    <n v="0"/>
    <x v="1"/>
    <n v="0"/>
    <x v="1859"/>
    <n v="54750.400000000001"/>
    <x v="2"/>
    <n v="2024"/>
  </r>
  <r>
    <s v="TXN01861"/>
    <x v="5"/>
    <x v="3"/>
    <x v="15"/>
    <x v="5"/>
    <d v="2025-08-04T00:00:00"/>
    <x v="0"/>
    <n v="739.45"/>
    <n v="10"/>
    <x v="2"/>
    <n v="221.84"/>
    <x v="1860"/>
    <n v="1996.51"/>
    <x v="0"/>
    <n v="2025"/>
  </r>
  <r>
    <s v="TXN01862"/>
    <x v="1"/>
    <x v="1"/>
    <x v="13"/>
    <x v="2"/>
    <d v="2024-03-18T00:00:00"/>
    <x v="7"/>
    <n v="12052.46"/>
    <n v="0"/>
    <x v="5"/>
    <n v="0"/>
    <x v="1861"/>
    <n v="60262.3"/>
    <x v="6"/>
    <n v="2024"/>
  </r>
  <r>
    <s v="TXN01863"/>
    <x v="14"/>
    <x v="3"/>
    <x v="15"/>
    <x v="1"/>
    <d v="2024-05-25T00:00:00"/>
    <x v="7"/>
    <n v="811.39"/>
    <n v="5"/>
    <x v="4"/>
    <n v="202.85"/>
    <x v="1862"/>
    <n v="3854.1"/>
    <x v="9"/>
    <n v="2024"/>
  </r>
  <r>
    <s v="TXN01864"/>
    <x v="14"/>
    <x v="0"/>
    <x v="0"/>
    <x v="5"/>
    <d v="2024-01-15T00:00:00"/>
    <x v="5"/>
    <n v="59899.05"/>
    <n v="5"/>
    <x v="3"/>
    <n v="5989.91"/>
    <x v="1863"/>
    <n v="113808.19"/>
    <x v="10"/>
    <n v="2024"/>
  </r>
  <r>
    <s v="TXN01865"/>
    <x v="0"/>
    <x v="4"/>
    <x v="14"/>
    <x v="6"/>
    <d v="2024-10-03T00:00:00"/>
    <x v="8"/>
    <n v="1774.94"/>
    <n v="15"/>
    <x v="4"/>
    <n v="266.24"/>
    <x v="1864"/>
    <n v="1508.7"/>
    <x v="4"/>
    <n v="2024"/>
  </r>
  <r>
    <s v="TXN01866"/>
    <x v="2"/>
    <x v="0"/>
    <x v="6"/>
    <x v="1"/>
    <d v="2025-11-25T00:00:00"/>
    <x v="4"/>
    <n v="24955.55"/>
    <n v="15"/>
    <x v="2"/>
    <n v="26203.33"/>
    <x v="1865"/>
    <n v="148485.51999999999"/>
    <x v="8"/>
    <n v="2025"/>
  </r>
  <r>
    <s v="TXN01867"/>
    <x v="1"/>
    <x v="4"/>
    <x v="23"/>
    <x v="4"/>
    <d v="2025-08-13T00:00:00"/>
    <x v="8"/>
    <n v="10641.53"/>
    <n v="10"/>
    <x v="1"/>
    <n v="1064.1500000000001"/>
    <x v="1866"/>
    <n v="9577.3799999999992"/>
    <x v="0"/>
    <n v="2025"/>
  </r>
  <r>
    <s v="TXN01868"/>
    <x v="2"/>
    <x v="3"/>
    <x v="16"/>
    <x v="3"/>
    <d v="2024-01-25T00:00:00"/>
    <x v="7"/>
    <n v="1711.2"/>
    <n v="5"/>
    <x v="4"/>
    <n v="427.8"/>
    <x v="1867"/>
    <n v="8128.2"/>
    <x v="10"/>
    <n v="2024"/>
  </r>
  <r>
    <s v="TXN01869"/>
    <x v="10"/>
    <x v="1"/>
    <x v="2"/>
    <x v="1"/>
    <d v="2025-07-30T00:00:00"/>
    <x v="4"/>
    <n v="25993.4"/>
    <n v="15"/>
    <x v="1"/>
    <n v="27293.07"/>
    <x v="1868"/>
    <n v="154660.73000000001"/>
    <x v="11"/>
    <n v="2025"/>
  </r>
  <r>
    <s v="TXN01870"/>
    <x v="5"/>
    <x v="1"/>
    <x v="12"/>
    <x v="0"/>
    <d v="2025-09-04T00:00:00"/>
    <x v="3"/>
    <n v="6084.39"/>
    <n v="15"/>
    <x v="7"/>
    <n v="5475.95"/>
    <x v="1869"/>
    <n v="31030.39"/>
    <x v="7"/>
    <n v="2025"/>
  </r>
  <r>
    <s v="TXN01871"/>
    <x v="3"/>
    <x v="2"/>
    <x v="5"/>
    <x v="2"/>
    <d v="2025-07-18T00:00:00"/>
    <x v="6"/>
    <n v="1123.71"/>
    <n v="10"/>
    <x v="5"/>
    <n v="1011.34"/>
    <x v="1870"/>
    <n v="9102.0499999999993"/>
    <x v="11"/>
    <n v="2025"/>
  </r>
  <r>
    <s v="TXN01872"/>
    <x v="12"/>
    <x v="4"/>
    <x v="18"/>
    <x v="5"/>
    <d v="2025-04-23T00:00:00"/>
    <x v="3"/>
    <n v="13101.94"/>
    <n v="5"/>
    <x v="5"/>
    <n v="3930.58"/>
    <x v="1871"/>
    <n v="74681.06"/>
    <x v="1"/>
    <n v="2025"/>
  </r>
  <r>
    <s v="TXN01873"/>
    <x v="1"/>
    <x v="4"/>
    <x v="14"/>
    <x v="0"/>
    <d v="2024-03-29T00:00:00"/>
    <x v="9"/>
    <n v="1444.95"/>
    <n v="5"/>
    <x v="2"/>
    <n v="722.48"/>
    <x v="1872"/>
    <n v="13727.02"/>
    <x v="6"/>
    <n v="2024"/>
  </r>
  <r>
    <s v="TXN01874"/>
    <x v="8"/>
    <x v="3"/>
    <x v="20"/>
    <x v="5"/>
    <d v="2025-07-06T00:00:00"/>
    <x v="0"/>
    <n v="3928.52"/>
    <n v="10"/>
    <x v="6"/>
    <n v="1178.56"/>
    <x v="1873"/>
    <n v="10607"/>
    <x v="11"/>
    <n v="2025"/>
  </r>
  <r>
    <s v="TXN01875"/>
    <x v="12"/>
    <x v="2"/>
    <x v="5"/>
    <x v="0"/>
    <d v="2025-08-10T00:00:00"/>
    <x v="0"/>
    <n v="1373.17"/>
    <n v="5"/>
    <x v="3"/>
    <n v="205.98"/>
    <x v="1874"/>
    <n v="3913.53"/>
    <x v="0"/>
    <n v="2025"/>
  </r>
  <r>
    <s v="TXN01876"/>
    <x v="4"/>
    <x v="4"/>
    <x v="17"/>
    <x v="5"/>
    <d v="2025-05-28T00:00:00"/>
    <x v="6"/>
    <n v="3186.73"/>
    <n v="0"/>
    <x v="7"/>
    <n v="0"/>
    <x v="1875"/>
    <n v="28680.57"/>
    <x v="9"/>
    <n v="2025"/>
  </r>
  <r>
    <s v="TXN01877"/>
    <x v="5"/>
    <x v="2"/>
    <x v="10"/>
    <x v="6"/>
    <d v="2024-08-20T00:00:00"/>
    <x v="3"/>
    <n v="2555.7399999999998"/>
    <n v="10"/>
    <x v="3"/>
    <n v="1533.44"/>
    <x v="1876"/>
    <n v="13801"/>
    <x v="0"/>
    <n v="2024"/>
  </r>
  <r>
    <s v="TXN01878"/>
    <x v="14"/>
    <x v="3"/>
    <x v="21"/>
    <x v="5"/>
    <d v="2024-08-12T00:00:00"/>
    <x v="9"/>
    <n v="2469.46"/>
    <n v="15"/>
    <x v="2"/>
    <n v="3704.19"/>
    <x v="1877"/>
    <n v="20990.41"/>
    <x v="0"/>
    <n v="2024"/>
  </r>
  <r>
    <s v="TXN01879"/>
    <x v="8"/>
    <x v="0"/>
    <x v="6"/>
    <x v="2"/>
    <d v="2024-06-08T00:00:00"/>
    <x v="1"/>
    <n v="26976.26"/>
    <n v="20"/>
    <x v="6"/>
    <n v="21581.01"/>
    <x v="1878"/>
    <n v="86324.03"/>
    <x v="5"/>
    <n v="2024"/>
  </r>
  <r>
    <s v="TXN01880"/>
    <x v="7"/>
    <x v="0"/>
    <x v="24"/>
    <x v="1"/>
    <d v="2024-09-04T00:00:00"/>
    <x v="4"/>
    <n v="6830"/>
    <n v="5"/>
    <x v="4"/>
    <n v="2390.5"/>
    <x v="1879"/>
    <n v="45419.5"/>
    <x v="7"/>
    <n v="2024"/>
  </r>
  <r>
    <s v="TXN01881"/>
    <x v="4"/>
    <x v="2"/>
    <x v="10"/>
    <x v="4"/>
    <d v="2024-01-17T00:00:00"/>
    <x v="8"/>
    <n v="2434.87"/>
    <n v="5"/>
    <x v="1"/>
    <n v="121.74"/>
    <x v="1880"/>
    <n v="2313.13"/>
    <x v="10"/>
    <n v="2024"/>
  </r>
  <r>
    <s v="TXN01882"/>
    <x v="6"/>
    <x v="1"/>
    <x v="12"/>
    <x v="0"/>
    <d v="2024-05-01T00:00:00"/>
    <x v="4"/>
    <n v="6817.31"/>
    <n v="15"/>
    <x v="6"/>
    <n v="7158.18"/>
    <x v="1881"/>
    <n v="40562.99"/>
    <x v="9"/>
    <n v="2024"/>
  </r>
  <r>
    <s v="TXN01883"/>
    <x v="5"/>
    <x v="0"/>
    <x v="1"/>
    <x v="0"/>
    <d v="2025-01-18T00:00:00"/>
    <x v="1"/>
    <n v="2927.84"/>
    <n v="20"/>
    <x v="2"/>
    <n v="2342.27"/>
    <x v="1882"/>
    <n v="9369.09"/>
    <x v="10"/>
    <n v="2025"/>
  </r>
  <r>
    <s v="TXN01884"/>
    <x v="8"/>
    <x v="2"/>
    <x v="9"/>
    <x v="6"/>
    <d v="2025-11-26T00:00:00"/>
    <x v="2"/>
    <n v="5664.05"/>
    <n v="15"/>
    <x v="1"/>
    <n v="6796.86"/>
    <x v="1883"/>
    <n v="38515.54"/>
    <x v="8"/>
    <n v="2025"/>
  </r>
  <r>
    <s v="TXN01885"/>
    <x v="13"/>
    <x v="3"/>
    <x v="20"/>
    <x v="0"/>
    <d v="2025-01-27T00:00:00"/>
    <x v="6"/>
    <n v="3823.56"/>
    <n v="15"/>
    <x v="6"/>
    <n v="5161.8100000000004"/>
    <x v="1884"/>
    <n v="29250.23"/>
    <x v="10"/>
    <n v="2025"/>
  </r>
  <r>
    <s v="TXN01886"/>
    <x v="14"/>
    <x v="2"/>
    <x v="11"/>
    <x v="0"/>
    <d v="2024-01-28T00:00:00"/>
    <x v="4"/>
    <n v="4548.34"/>
    <n v="15"/>
    <x v="6"/>
    <n v="4775.76"/>
    <x v="1885"/>
    <n v="27062.62"/>
    <x v="10"/>
    <n v="2024"/>
  </r>
  <r>
    <s v="TXN01887"/>
    <x v="5"/>
    <x v="0"/>
    <x v="24"/>
    <x v="6"/>
    <d v="2024-03-25T00:00:00"/>
    <x v="1"/>
    <n v="7567.49"/>
    <n v="0"/>
    <x v="7"/>
    <n v="0"/>
    <x v="1886"/>
    <n v="30269.96"/>
    <x v="6"/>
    <n v="2024"/>
  </r>
  <r>
    <s v="TXN01888"/>
    <x v="0"/>
    <x v="4"/>
    <x v="23"/>
    <x v="0"/>
    <d v="2025-09-10T00:00:00"/>
    <x v="2"/>
    <n v="9085.86"/>
    <n v="10"/>
    <x v="0"/>
    <n v="7268.69"/>
    <x v="1887"/>
    <n v="65418.19"/>
    <x v="7"/>
    <n v="2025"/>
  </r>
  <r>
    <s v="TXN01889"/>
    <x v="2"/>
    <x v="2"/>
    <x v="9"/>
    <x v="6"/>
    <d v="2024-04-07T00:00:00"/>
    <x v="8"/>
    <n v="4819.3"/>
    <n v="20"/>
    <x v="2"/>
    <n v="963.86"/>
    <x v="1888"/>
    <n v="3855.44"/>
    <x v="1"/>
    <n v="2024"/>
  </r>
  <r>
    <s v="TXN01890"/>
    <x v="11"/>
    <x v="0"/>
    <x v="1"/>
    <x v="1"/>
    <d v="2025-04-19T00:00:00"/>
    <x v="7"/>
    <n v="3222.85"/>
    <n v="15"/>
    <x v="3"/>
    <n v="2417.14"/>
    <x v="1889"/>
    <n v="13697.11"/>
    <x v="1"/>
    <n v="2025"/>
  </r>
  <r>
    <s v="TXN01891"/>
    <x v="5"/>
    <x v="2"/>
    <x v="10"/>
    <x v="6"/>
    <d v="2025-12-15T00:00:00"/>
    <x v="6"/>
    <n v="2812.63"/>
    <n v="15"/>
    <x v="7"/>
    <n v="3797.05"/>
    <x v="1890"/>
    <n v="21516.62"/>
    <x v="3"/>
    <n v="2025"/>
  </r>
  <r>
    <s v="TXN01892"/>
    <x v="13"/>
    <x v="3"/>
    <x v="7"/>
    <x v="0"/>
    <d v="2025-03-12T00:00:00"/>
    <x v="5"/>
    <n v="1929.06"/>
    <n v="0"/>
    <x v="5"/>
    <n v="0"/>
    <x v="1891"/>
    <n v="3858.12"/>
    <x v="6"/>
    <n v="2025"/>
  </r>
  <r>
    <s v="TXN01893"/>
    <x v="11"/>
    <x v="1"/>
    <x v="2"/>
    <x v="4"/>
    <d v="2025-01-31T00:00:00"/>
    <x v="0"/>
    <n v="27327.89"/>
    <n v="0"/>
    <x v="1"/>
    <n v="0"/>
    <x v="1892"/>
    <n v="81983.67"/>
    <x v="10"/>
    <n v="2025"/>
  </r>
  <r>
    <s v="TXN01894"/>
    <x v="2"/>
    <x v="3"/>
    <x v="7"/>
    <x v="0"/>
    <d v="2024-08-22T00:00:00"/>
    <x v="2"/>
    <n v="1983.79"/>
    <n v="0"/>
    <x v="6"/>
    <n v="0"/>
    <x v="1893"/>
    <n v="15870.32"/>
    <x v="0"/>
    <n v="2024"/>
  </r>
  <r>
    <s v="TXN01895"/>
    <x v="7"/>
    <x v="0"/>
    <x v="6"/>
    <x v="4"/>
    <d v="2025-03-24T00:00:00"/>
    <x v="2"/>
    <n v="24791.72"/>
    <n v="15"/>
    <x v="1"/>
    <n v="29750.06"/>
    <x v="1894"/>
    <n v="168583.7"/>
    <x v="6"/>
    <n v="2025"/>
  </r>
  <r>
    <s v="TXN01896"/>
    <x v="14"/>
    <x v="0"/>
    <x v="1"/>
    <x v="2"/>
    <d v="2025-10-12T00:00:00"/>
    <x v="6"/>
    <n v="3057.72"/>
    <n v="15"/>
    <x v="5"/>
    <n v="4127.92"/>
    <x v="1895"/>
    <n v="23391.56"/>
    <x v="4"/>
    <n v="2025"/>
  </r>
  <r>
    <s v="TXN01897"/>
    <x v="1"/>
    <x v="0"/>
    <x v="3"/>
    <x v="6"/>
    <d v="2024-03-09T00:00:00"/>
    <x v="5"/>
    <n v="16592.59"/>
    <n v="10"/>
    <x v="2"/>
    <n v="3318.52"/>
    <x v="1896"/>
    <n v="29866.66"/>
    <x v="6"/>
    <n v="2024"/>
  </r>
  <r>
    <s v="TXN01898"/>
    <x v="9"/>
    <x v="4"/>
    <x v="23"/>
    <x v="4"/>
    <d v="2024-05-03T00:00:00"/>
    <x v="8"/>
    <n v="9404.99"/>
    <n v="20"/>
    <x v="3"/>
    <n v="1881"/>
    <x v="1897"/>
    <n v="7523.99"/>
    <x v="9"/>
    <n v="2024"/>
  </r>
  <r>
    <s v="TXN01899"/>
    <x v="11"/>
    <x v="1"/>
    <x v="13"/>
    <x v="2"/>
    <d v="2025-07-24T00:00:00"/>
    <x v="7"/>
    <n v="12233.64"/>
    <n v="5"/>
    <x v="5"/>
    <n v="3058.41"/>
    <x v="1898"/>
    <n v="58109.79"/>
    <x v="11"/>
    <n v="2025"/>
  </r>
  <r>
    <s v="TXN01900"/>
    <x v="6"/>
    <x v="2"/>
    <x v="9"/>
    <x v="6"/>
    <d v="2024-08-25T00:00:00"/>
    <x v="1"/>
    <n v="4215.8100000000004"/>
    <n v="5"/>
    <x v="1"/>
    <n v="843.16"/>
    <x v="1899"/>
    <n v="16020.08"/>
    <x v="0"/>
    <n v="2024"/>
  </r>
  <r>
    <s v="TXN01901"/>
    <x v="3"/>
    <x v="4"/>
    <x v="17"/>
    <x v="1"/>
    <d v="2024-04-25T00:00:00"/>
    <x v="6"/>
    <n v="3732.67"/>
    <n v="20"/>
    <x v="1"/>
    <n v="6718.81"/>
    <x v="1900"/>
    <n v="26875.22"/>
    <x v="1"/>
    <n v="2024"/>
  </r>
  <r>
    <s v="TXN01902"/>
    <x v="5"/>
    <x v="2"/>
    <x v="10"/>
    <x v="3"/>
    <d v="2024-11-23T00:00:00"/>
    <x v="1"/>
    <n v="3066.65"/>
    <n v="5"/>
    <x v="3"/>
    <n v="613.33000000000004"/>
    <x v="1901"/>
    <n v="11653.27"/>
    <x v="8"/>
    <n v="2024"/>
  </r>
  <r>
    <s v="TXN01903"/>
    <x v="11"/>
    <x v="1"/>
    <x v="2"/>
    <x v="5"/>
    <d v="2024-04-11T00:00:00"/>
    <x v="0"/>
    <n v="24924.11"/>
    <n v="20"/>
    <x v="0"/>
    <n v="14954.47"/>
    <x v="1902"/>
    <n v="59817.86"/>
    <x v="1"/>
    <n v="2024"/>
  </r>
  <r>
    <s v="TXN01904"/>
    <x v="8"/>
    <x v="0"/>
    <x v="6"/>
    <x v="4"/>
    <d v="2024-03-10T00:00:00"/>
    <x v="2"/>
    <n v="25708.65"/>
    <n v="0"/>
    <x v="3"/>
    <n v="0"/>
    <x v="1903"/>
    <n v="205669.2"/>
    <x v="6"/>
    <n v="2024"/>
  </r>
  <r>
    <s v="TXN01905"/>
    <x v="2"/>
    <x v="2"/>
    <x v="5"/>
    <x v="2"/>
    <d v="2025-10-02T00:00:00"/>
    <x v="3"/>
    <n v="1497.41"/>
    <n v="10"/>
    <x v="2"/>
    <n v="898.45"/>
    <x v="1904"/>
    <n v="8086.01"/>
    <x v="4"/>
    <n v="2025"/>
  </r>
  <r>
    <s v="TXN01906"/>
    <x v="10"/>
    <x v="4"/>
    <x v="17"/>
    <x v="5"/>
    <d v="2024-11-24T00:00:00"/>
    <x v="4"/>
    <n v="3491.63"/>
    <n v="10"/>
    <x v="1"/>
    <n v="2444.14"/>
    <x v="1905"/>
    <n v="21997.27"/>
    <x v="8"/>
    <n v="2024"/>
  </r>
  <r>
    <s v="TXN01907"/>
    <x v="12"/>
    <x v="4"/>
    <x v="23"/>
    <x v="3"/>
    <d v="2024-05-10T00:00:00"/>
    <x v="2"/>
    <n v="10537.24"/>
    <n v="20"/>
    <x v="0"/>
    <n v="16859.580000000002"/>
    <x v="1906"/>
    <n v="67438.34"/>
    <x v="9"/>
    <n v="2024"/>
  </r>
  <r>
    <s v="TXN01908"/>
    <x v="2"/>
    <x v="4"/>
    <x v="18"/>
    <x v="6"/>
    <d v="2025-05-24T00:00:00"/>
    <x v="5"/>
    <n v="12098.22"/>
    <n v="0"/>
    <x v="4"/>
    <n v="0"/>
    <x v="1907"/>
    <n v="24196.44"/>
    <x v="9"/>
    <n v="2025"/>
  </r>
  <r>
    <s v="TXN01909"/>
    <x v="9"/>
    <x v="4"/>
    <x v="17"/>
    <x v="1"/>
    <d v="2025-10-18T00:00:00"/>
    <x v="8"/>
    <n v="3820.66"/>
    <n v="15"/>
    <x v="3"/>
    <n v="573.1"/>
    <x v="1908"/>
    <n v="3247.56"/>
    <x v="4"/>
    <n v="2025"/>
  </r>
  <r>
    <s v="TXN01910"/>
    <x v="8"/>
    <x v="3"/>
    <x v="16"/>
    <x v="3"/>
    <d v="2024-11-06T00:00:00"/>
    <x v="6"/>
    <n v="1734.68"/>
    <n v="10"/>
    <x v="5"/>
    <n v="1561.21"/>
    <x v="1909"/>
    <n v="14050.91"/>
    <x v="8"/>
    <n v="2024"/>
  </r>
  <r>
    <s v="TXN01911"/>
    <x v="11"/>
    <x v="4"/>
    <x v="14"/>
    <x v="5"/>
    <d v="2025-04-25T00:00:00"/>
    <x v="3"/>
    <n v="1384.12"/>
    <n v="15"/>
    <x v="3"/>
    <n v="1245.71"/>
    <x v="1910"/>
    <n v="7059.01"/>
    <x v="1"/>
    <n v="2025"/>
  </r>
  <r>
    <s v="TXN01912"/>
    <x v="9"/>
    <x v="3"/>
    <x v="21"/>
    <x v="6"/>
    <d v="2024-09-14T00:00:00"/>
    <x v="7"/>
    <n v="2833.85"/>
    <n v="10"/>
    <x v="7"/>
    <n v="1416.93"/>
    <x v="1911"/>
    <n v="12752.32"/>
    <x v="7"/>
    <n v="2024"/>
  </r>
  <r>
    <s v="TXN01913"/>
    <x v="2"/>
    <x v="2"/>
    <x v="11"/>
    <x v="0"/>
    <d v="2024-09-02T00:00:00"/>
    <x v="9"/>
    <n v="4739.08"/>
    <n v="10"/>
    <x v="5"/>
    <n v="4739.08"/>
    <x v="1912"/>
    <n v="42651.72"/>
    <x v="7"/>
    <n v="2024"/>
  </r>
  <r>
    <s v="TXN01914"/>
    <x v="9"/>
    <x v="1"/>
    <x v="4"/>
    <x v="2"/>
    <d v="2024-10-12T00:00:00"/>
    <x v="7"/>
    <n v="9235.07"/>
    <n v="5"/>
    <x v="2"/>
    <n v="2308.77"/>
    <x v="1913"/>
    <n v="43866.58"/>
    <x v="4"/>
    <n v="2024"/>
  </r>
  <r>
    <s v="TXN01915"/>
    <x v="10"/>
    <x v="2"/>
    <x v="5"/>
    <x v="3"/>
    <d v="2024-07-13T00:00:00"/>
    <x v="3"/>
    <n v="1293.79"/>
    <n v="20"/>
    <x v="4"/>
    <n v="1552.55"/>
    <x v="1914"/>
    <n v="6210.19"/>
    <x v="11"/>
    <n v="2024"/>
  </r>
  <r>
    <s v="TXN01916"/>
    <x v="10"/>
    <x v="3"/>
    <x v="7"/>
    <x v="5"/>
    <d v="2024-04-30T00:00:00"/>
    <x v="7"/>
    <n v="1907.37"/>
    <n v="5"/>
    <x v="3"/>
    <n v="476.84"/>
    <x v="1915"/>
    <n v="9060.01"/>
    <x v="1"/>
    <n v="2024"/>
  </r>
  <r>
    <s v="TXN01917"/>
    <x v="7"/>
    <x v="2"/>
    <x v="22"/>
    <x v="2"/>
    <d v="2025-01-18T00:00:00"/>
    <x v="1"/>
    <n v="898.12"/>
    <n v="10"/>
    <x v="6"/>
    <n v="359.25"/>
    <x v="1916"/>
    <n v="3233.23"/>
    <x v="10"/>
    <n v="2025"/>
  </r>
  <r>
    <s v="TXN01918"/>
    <x v="9"/>
    <x v="2"/>
    <x v="9"/>
    <x v="0"/>
    <d v="2024-09-17T00:00:00"/>
    <x v="9"/>
    <n v="4131.0600000000004"/>
    <n v="0"/>
    <x v="3"/>
    <n v="0"/>
    <x v="1917"/>
    <n v="41310.6"/>
    <x v="7"/>
    <n v="2024"/>
  </r>
  <r>
    <s v="TXN01919"/>
    <x v="1"/>
    <x v="4"/>
    <x v="14"/>
    <x v="1"/>
    <d v="2024-07-12T00:00:00"/>
    <x v="7"/>
    <n v="1697.93"/>
    <n v="15"/>
    <x v="7"/>
    <n v="1273.45"/>
    <x v="1918"/>
    <n v="7216.2"/>
    <x v="11"/>
    <n v="2024"/>
  </r>
  <r>
    <s v="TXN01920"/>
    <x v="4"/>
    <x v="2"/>
    <x v="11"/>
    <x v="0"/>
    <d v="2024-07-22T00:00:00"/>
    <x v="7"/>
    <n v="4563.74"/>
    <n v="15"/>
    <x v="2"/>
    <n v="3422.8"/>
    <x v="1919"/>
    <n v="19395.900000000001"/>
    <x v="11"/>
    <n v="2024"/>
  </r>
  <r>
    <s v="TXN01921"/>
    <x v="6"/>
    <x v="4"/>
    <x v="14"/>
    <x v="5"/>
    <d v="2025-01-31T00:00:00"/>
    <x v="3"/>
    <n v="1394.79"/>
    <n v="5"/>
    <x v="2"/>
    <n v="418.44"/>
    <x v="1920"/>
    <n v="7950.3"/>
    <x v="10"/>
    <n v="2025"/>
  </r>
  <r>
    <s v="TXN01922"/>
    <x v="10"/>
    <x v="0"/>
    <x v="3"/>
    <x v="3"/>
    <d v="2024-02-12T00:00:00"/>
    <x v="5"/>
    <n v="17448.099999999999"/>
    <n v="20"/>
    <x v="1"/>
    <n v="6979.24"/>
    <x v="1921"/>
    <n v="27916.959999999999"/>
    <x v="2"/>
    <n v="2024"/>
  </r>
  <r>
    <s v="TXN01923"/>
    <x v="7"/>
    <x v="2"/>
    <x v="22"/>
    <x v="3"/>
    <d v="2025-12-04T00:00:00"/>
    <x v="4"/>
    <n v="941.71"/>
    <n v="20"/>
    <x v="7"/>
    <n v="1318.39"/>
    <x v="1922"/>
    <n v="5273.58"/>
    <x v="3"/>
    <n v="2025"/>
  </r>
  <r>
    <s v="TXN01924"/>
    <x v="6"/>
    <x v="0"/>
    <x v="0"/>
    <x v="0"/>
    <d v="2024-10-18T00:00:00"/>
    <x v="4"/>
    <n v="68652.160000000003"/>
    <n v="5"/>
    <x v="4"/>
    <n v="24028.26"/>
    <x v="1923"/>
    <n v="456536.86"/>
    <x v="4"/>
    <n v="2024"/>
  </r>
  <r>
    <s v="TXN01925"/>
    <x v="12"/>
    <x v="2"/>
    <x v="11"/>
    <x v="3"/>
    <d v="2025-07-19T00:00:00"/>
    <x v="3"/>
    <n v="5550.96"/>
    <n v="5"/>
    <x v="4"/>
    <n v="1665.29"/>
    <x v="1924"/>
    <n v="31640.47"/>
    <x v="11"/>
    <n v="2025"/>
  </r>
  <r>
    <s v="TXN01926"/>
    <x v="12"/>
    <x v="0"/>
    <x v="1"/>
    <x v="0"/>
    <d v="2024-06-24T00:00:00"/>
    <x v="4"/>
    <n v="2852.36"/>
    <n v="20"/>
    <x v="0"/>
    <n v="3993.3"/>
    <x v="1925"/>
    <n v="15973.22"/>
    <x v="5"/>
    <n v="2024"/>
  </r>
  <r>
    <s v="TXN01927"/>
    <x v="6"/>
    <x v="0"/>
    <x v="6"/>
    <x v="6"/>
    <d v="2025-05-12T00:00:00"/>
    <x v="5"/>
    <n v="23098.02"/>
    <n v="15"/>
    <x v="4"/>
    <n v="6929.41"/>
    <x v="1926"/>
    <n v="39266.629999999997"/>
    <x v="9"/>
    <n v="2025"/>
  </r>
  <r>
    <s v="TXN01928"/>
    <x v="11"/>
    <x v="1"/>
    <x v="13"/>
    <x v="6"/>
    <d v="2024-06-26T00:00:00"/>
    <x v="1"/>
    <n v="11638.41"/>
    <n v="0"/>
    <x v="3"/>
    <n v="0"/>
    <x v="1927"/>
    <n v="46553.64"/>
    <x v="5"/>
    <n v="2024"/>
  </r>
  <r>
    <s v="TXN01929"/>
    <x v="1"/>
    <x v="1"/>
    <x v="4"/>
    <x v="6"/>
    <d v="2025-04-01T00:00:00"/>
    <x v="1"/>
    <n v="7664.36"/>
    <n v="0"/>
    <x v="2"/>
    <n v="0"/>
    <x v="1928"/>
    <n v="30657.439999999999"/>
    <x v="1"/>
    <n v="2025"/>
  </r>
  <r>
    <s v="TXN01930"/>
    <x v="11"/>
    <x v="4"/>
    <x v="23"/>
    <x v="4"/>
    <d v="2025-09-21T00:00:00"/>
    <x v="4"/>
    <n v="9057.57"/>
    <n v="10"/>
    <x v="2"/>
    <n v="6340.3"/>
    <x v="1929"/>
    <n v="57062.69"/>
    <x v="7"/>
    <n v="2025"/>
  </r>
  <r>
    <s v="TXN01931"/>
    <x v="1"/>
    <x v="1"/>
    <x v="2"/>
    <x v="3"/>
    <d v="2024-11-25T00:00:00"/>
    <x v="8"/>
    <n v="28180.85"/>
    <n v="20"/>
    <x v="5"/>
    <n v="5636.17"/>
    <x v="1930"/>
    <n v="22544.68"/>
    <x v="8"/>
    <n v="2024"/>
  </r>
  <r>
    <s v="TXN01932"/>
    <x v="12"/>
    <x v="4"/>
    <x v="23"/>
    <x v="4"/>
    <d v="2024-05-27T00:00:00"/>
    <x v="5"/>
    <n v="10502.38"/>
    <n v="15"/>
    <x v="5"/>
    <n v="3150.71"/>
    <x v="1931"/>
    <n v="17854.05"/>
    <x v="9"/>
    <n v="2024"/>
  </r>
  <r>
    <s v="TXN01933"/>
    <x v="2"/>
    <x v="1"/>
    <x v="2"/>
    <x v="4"/>
    <d v="2024-12-27T00:00:00"/>
    <x v="4"/>
    <n v="26634.720000000001"/>
    <n v="10"/>
    <x v="5"/>
    <n v="18644.3"/>
    <x v="1932"/>
    <n v="167798.74"/>
    <x v="3"/>
    <n v="2024"/>
  </r>
  <r>
    <s v="TXN01934"/>
    <x v="12"/>
    <x v="1"/>
    <x v="2"/>
    <x v="5"/>
    <d v="2025-12-03T00:00:00"/>
    <x v="9"/>
    <n v="26428"/>
    <n v="0"/>
    <x v="1"/>
    <n v="0"/>
    <x v="1933"/>
    <n v="264280"/>
    <x v="3"/>
    <n v="2025"/>
  </r>
  <r>
    <s v="TXN01935"/>
    <x v="1"/>
    <x v="4"/>
    <x v="17"/>
    <x v="6"/>
    <d v="2025-01-03T00:00:00"/>
    <x v="4"/>
    <n v="3167.93"/>
    <n v="15"/>
    <x v="5"/>
    <n v="3326.33"/>
    <x v="1934"/>
    <n v="18849.18"/>
    <x v="10"/>
    <n v="2025"/>
  </r>
  <r>
    <s v="TXN01936"/>
    <x v="6"/>
    <x v="4"/>
    <x v="23"/>
    <x v="5"/>
    <d v="2024-12-22T00:00:00"/>
    <x v="1"/>
    <n v="10640.08"/>
    <n v="10"/>
    <x v="4"/>
    <n v="4256.03"/>
    <x v="1935"/>
    <n v="38304.29"/>
    <x v="3"/>
    <n v="2024"/>
  </r>
  <r>
    <s v="TXN01937"/>
    <x v="7"/>
    <x v="4"/>
    <x v="18"/>
    <x v="4"/>
    <d v="2024-02-07T00:00:00"/>
    <x v="4"/>
    <n v="11893.72"/>
    <n v="5"/>
    <x v="0"/>
    <n v="4162.8"/>
    <x v="1936"/>
    <n v="79093.240000000005"/>
    <x v="2"/>
    <n v="2024"/>
  </r>
  <r>
    <s v="TXN01938"/>
    <x v="6"/>
    <x v="0"/>
    <x v="6"/>
    <x v="6"/>
    <d v="2024-09-13T00:00:00"/>
    <x v="5"/>
    <n v="25782.84"/>
    <n v="10"/>
    <x v="1"/>
    <n v="5156.57"/>
    <x v="1937"/>
    <n v="46409.11"/>
    <x v="7"/>
    <n v="2024"/>
  </r>
  <r>
    <s v="TXN01939"/>
    <x v="5"/>
    <x v="4"/>
    <x v="18"/>
    <x v="4"/>
    <d v="2024-10-12T00:00:00"/>
    <x v="0"/>
    <n v="12635.99"/>
    <n v="10"/>
    <x v="2"/>
    <n v="3790.8"/>
    <x v="1938"/>
    <n v="34117.17"/>
    <x v="4"/>
    <n v="2024"/>
  </r>
  <r>
    <s v="TXN01940"/>
    <x v="6"/>
    <x v="1"/>
    <x v="8"/>
    <x v="4"/>
    <d v="2025-09-27T00:00:00"/>
    <x v="8"/>
    <n v="41726.089999999997"/>
    <n v="5"/>
    <x v="7"/>
    <n v="2086.3000000000002"/>
    <x v="1939"/>
    <n v="39639.79"/>
    <x v="7"/>
    <n v="2025"/>
  </r>
  <r>
    <s v="TXN01941"/>
    <x v="11"/>
    <x v="3"/>
    <x v="21"/>
    <x v="5"/>
    <d v="2024-08-29T00:00:00"/>
    <x v="8"/>
    <n v="2754.83"/>
    <n v="5"/>
    <x v="3"/>
    <n v="137.74"/>
    <x v="1940"/>
    <n v="2617.09"/>
    <x v="0"/>
    <n v="2024"/>
  </r>
  <r>
    <s v="TXN01942"/>
    <x v="6"/>
    <x v="2"/>
    <x v="10"/>
    <x v="3"/>
    <d v="2024-10-02T00:00:00"/>
    <x v="0"/>
    <n v="2842.09"/>
    <n v="15"/>
    <x v="7"/>
    <n v="1278.94"/>
    <x v="1941"/>
    <n v="7247.33"/>
    <x v="4"/>
    <n v="2024"/>
  </r>
  <r>
    <s v="TXN01943"/>
    <x v="0"/>
    <x v="2"/>
    <x v="22"/>
    <x v="4"/>
    <d v="2025-06-30T00:00:00"/>
    <x v="0"/>
    <n v="865.27"/>
    <n v="0"/>
    <x v="3"/>
    <n v="0"/>
    <x v="1942"/>
    <n v="2595.81"/>
    <x v="5"/>
    <n v="2025"/>
  </r>
  <r>
    <s v="TXN01944"/>
    <x v="10"/>
    <x v="3"/>
    <x v="7"/>
    <x v="0"/>
    <d v="2025-05-27T00:00:00"/>
    <x v="6"/>
    <n v="2022.68"/>
    <n v="15"/>
    <x v="1"/>
    <n v="2730.62"/>
    <x v="1943"/>
    <n v="15473.5"/>
    <x v="9"/>
    <n v="2025"/>
  </r>
  <r>
    <s v="TXN01945"/>
    <x v="13"/>
    <x v="1"/>
    <x v="13"/>
    <x v="5"/>
    <d v="2024-05-15T00:00:00"/>
    <x v="1"/>
    <n v="13385.06"/>
    <n v="10"/>
    <x v="3"/>
    <n v="5354.02"/>
    <x v="1944"/>
    <n v="48186.22"/>
    <x v="9"/>
    <n v="2024"/>
  </r>
  <r>
    <s v="TXN01946"/>
    <x v="11"/>
    <x v="2"/>
    <x v="22"/>
    <x v="4"/>
    <d v="2024-06-28T00:00:00"/>
    <x v="5"/>
    <n v="970.52"/>
    <n v="5"/>
    <x v="6"/>
    <n v="97.05"/>
    <x v="1945"/>
    <n v="1843.99"/>
    <x v="5"/>
    <n v="2024"/>
  </r>
  <r>
    <s v="TXN01947"/>
    <x v="6"/>
    <x v="2"/>
    <x v="10"/>
    <x v="5"/>
    <d v="2024-01-01T00:00:00"/>
    <x v="7"/>
    <n v="2537.98"/>
    <n v="15"/>
    <x v="3"/>
    <n v="1903.48"/>
    <x v="1946"/>
    <n v="10786.42"/>
    <x v="10"/>
    <n v="2024"/>
  </r>
  <r>
    <s v="TXN01948"/>
    <x v="9"/>
    <x v="4"/>
    <x v="14"/>
    <x v="2"/>
    <d v="2025-06-21T00:00:00"/>
    <x v="2"/>
    <n v="1710.79"/>
    <n v="20"/>
    <x v="2"/>
    <n v="2737.26"/>
    <x v="1947"/>
    <n v="10949.06"/>
    <x v="5"/>
    <n v="2025"/>
  </r>
  <r>
    <s v="TXN01949"/>
    <x v="12"/>
    <x v="3"/>
    <x v="21"/>
    <x v="2"/>
    <d v="2024-09-14T00:00:00"/>
    <x v="6"/>
    <n v="2835.54"/>
    <n v="5"/>
    <x v="2"/>
    <n v="1275.99"/>
    <x v="1948"/>
    <n v="24243.87"/>
    <x v="7"/>
    <n v="2024"/>
  </r>
  <r>
    <s v="TXN01950"/>
    <x v="7"/>
    <x v="2"/>
    <x v="9"/>
    <x v="3"/>
    <d v="2024-07-30T00:00:00"/>
    <x v="5"/>
    <n v="4724.7700000000004"/>
    <n v="10"/>
    <x v="1"/>
    <n v="944.95"/>
    <x v="1949"/>
    <n v="8504.59"/>
    <x v="11"/>
    <n v="2024"/>
  </r>
  <r>
    <s v="TXN01951"/>
    <x v="12"/>
    <x v="3"/>
    <x v="15"/>
    <x v="5"/>
    <d v="2025-01-19T00:00:00"/>
    <x v="7"/>
    <n v="794.72"/>
    <n v="10"/>
    <x v="2"/>
    <n v="397.36"/>
    <x v="1950"/>
    <n v="3576.24"/>
    <x v="10"/>
    <n v="2025"/>
  </r>
  <r>
    <s v="TXN01952"/>
    <x v="10"/>
    <x v="4"/>
    <x v="18"/>
    <x v="1"/>
    <d v="2025-03-21T00:00:00"/>
    <x v="0"/>
    <n v="12149.82"/>
    <n v="20"/>
    <x v="0"/>
    <n v="7289.89"/>
    <x v="1951"/>
    <n v="29159.57"/>
    <x v="6"/>
    <n v="2025"/>
  </r>
  <r>
    <s v="TXN01953"/>
    <x v="1"/>
    <x v="1"/>
    <x v="4"/>
    <x v="4"/>
    <d v="2024-01-17T00:00:00"/>
    <x v="1"/>
    <n v="9007.33"/>
    <n v="10"/>
    <x v="3"/>
    <n v="3602.93"/>
    <x v="1952"/>
    <n v="32426.39"/>
    <x v="10"/>
    <n v="2024"/>
  </r>
  <r>
    <s v="TXN01954"/>
    <x v="11"/>
    <x v="4"/>
    <x v="23"/>
    <x v="2"/>
    <d v="2025-01-15T00:00:00"/>
    <x v="1"/>
    <n v="10158.25"/>
    <n v="15"/>
    <x v="6"/>
    <n v="6094.95"/>
    <x v="1953"/>
    <n v="34538.050000000003"/>
    <x v="10"/>
    <n v="2025"/>
  </r>
  <r>
    <s v="TXN01955"/>
    <x v="7"/>
    <x v="0"/>
    <x v="6"/>
    <x v="2"/>
    <d v="2024-10-29T00:00:00"/>
    <x v="3"/>
    <n v="25115.200000000001"/>
    <n v="15"/>
    <x v="7"/>
    <n v="22603.68"/>
    <x v="1954"/>
    <n v="128087.52"/>
    <x v="4"/>
    <n v="2024"/>
  </r>
  <r>
    <s v="TXN01956"/>
    <x v="6"/>
    <x v="4"/>
    <x v="23"/>
    <x v="6"/>
    <d v="2024-12-29T00:00:00"/>
    <x v="6"/>
    <n v="11416.92"/>
    <n v="0"/>
    <x v="4"/>
    <n v="0"/>
    <x v="1955"/>
    <n v="102752.28"/>
    <x v="3"/>
    <n v="2024"/>
  </r>
  <r>
    <s v="TXN01957"/>
    <x v="3"/>
    <x v="4"/>
    <x v="17"/>
    <x v="0"/>
    <d v="2024-11-13T00:00:00"/>
    <x v="6"/>
    <n v="3624.72"/>
    <n v="0"/>
    <x v="0"/>
    <n v="0"/>
    <x v="1956"/>
    <n v="32622.48"/>
    <x v="8"/>
    <n v="2024"/>
  </r>
  <r>
    <s v="TXN01958"/>
    <x v="5"/>
    <x v="1"/>
    <x v="8"/>
    <x v="1"/>
    <d v="2025-06-05T00:00:00"/>
    <x v="1"/>
    <n v="42306.75"/>
    <n v="10"/>
    <x v="1"/>
    <n v="16922.7"/>
    <x v="1957"/>
    <n v="152304.29999999999"/>
    <x v="5"/>
    <n v="2025"/>
  </r>
  <r>
    <s v="TXN01959"/>
    <x v="1"/>
    <x v="0"/>
    <x v="24"/>
    <x v="0"/>
    <d v="2024-12-21T00:00:00"/>
    <x v="9"/>
    <n v="7558.6"/>
    <n v="10"/>
    <x v="6"/>
    <n v="7558.6"/>
    <x v="1958"/>
    <n v="68027.399999999994"/>
    <x v="3"/>
    <n v="2024"/>
  </r>
  <r>
    <s v="TXN01960"/>
    <x v="12"/>
    <x v="0"/>
    <x v="1"/>
    <x v="1"/>
    <d v="2025-05-14T00:00:00"/>
    <x v="4"/>
    <n v="3272.73"/>
    <n v="0"/>
    <x v="6"/>
    <n v="0"/>
    <x v="1959"/>
    <n v="22909.11"/>
    <x v="9"/>
    <n v="2025"/>
  </r>
  <r>
    <s v="TXN01961"/>
    <x v="9"/>
    <x v="2"/>
    <x v="11"/>
    <x v="1"/>
    <d v="2025-01-21T00:00:00"/>
    <x v="3"/>
    <n v="5325.77"/>
    <n v="15"/>
    <x v="3"/>
    <n v="4793.1899999999996"/>
    <x v="1960"/>
    <n v="27161.43"/>
    <x v="10"/>
    <n v="2025"/>
  </r>
  <r>
    <s v="TXN01962"/>
    <x v="7"/>
    <x v="3"/>
    <x v="7"/>
    <x v="3"/>
    <d v="2024-04-05T00:00:00"/>
    <x v="9"/>
    <n v="1792.75"/>
    <n v="15"/>
    <x v="0"/>
    <n v="2689.12"/>
    <x v="1961"/>
    <n v="15238.38"/>
    <x v="1"/>
    <n v="2024"/>
  </r>
  <r>
    <s v="TXN01963"/>
    <x v="13"/>
    <x v="1"/>
    <x v="12"/>
    <x v="0"/>
    <d v="2024-05-16T00:00:00"/>
    <x v="1"/>
    <n v="6027.56"/>
    <n v="5"/>
    <x v="1"/>
    <n v="1205.51"/>
    <x v="1962"/>
    <n v="22904.73"/>
    <x v="9"/>
    <n v="2024"/>
  </r>
  <r>
    <s v="TXN01964"/>
    <x v="1"/>
    <x v="4"/>
    <x v="18"/>
    <x v="6"/>
    <d v="2024-08-03T00:00:00"/>
    <x v="8"/>
    <n v="13773.08"/>
    <n v="5"/>
    <x v="4"/>
    <n v="688.65"/>
    <x v="1963"/>
    <n v="13084.43"/>
    <x v="0"/>
    <n v="2024"/>
  </r>
  <r>
    <s v="TXN01965"/>
    <x v="0"/>
    <x v="0"/>
    <x v="3"/>
    <x v="5"/>
    <d v="2024-08-12T00:00:00"/>
    <x v="2"/>
    <n v="20318.099999999999"/>
    <n v="5"/>
    <x v="7"/>
    <n v="8127.24"/>
    <x v="1964"/>
    <n v="154417.56"/>
    <x v="0"/>
    <n v="2024"/>
  </r>
  <r>
    <s v="TXN01966"/>
    <x v="6"/>
    <x v="4"/>
    <x v="17"/>
    <x v="2"/>
    <d v="2024-12-16T00:00:00"/>
    <x v="9"/>
    <n v="4165.62"/>
    <n v="10"/>
    <x v="6"/>
    <n v="4165.62"/>
    <x v="1965"/>
    <n v="37490.58"/>
    <x v="3"/>
    <n v="2024"/>
  </r>
  <r>
    <s v="TXN01967"/>
    <x v="12"/>
    <x v="4"/>
    <x v="19"/>
    <x v="6"/>
    <d v="2025-10-08T00:00:00"/>
    <x v="3"/>
    <n v="9078.76"/>
    <n v="20"/>
    <x v="5"/>
    <n v="10894.51"/>
    <x v="1966"/>
    <n v="43578.05"/>
    <x v="4"/>
    <n v="2025"/>
  </r>
  <r>
    <s v="TXN01968"/>
    <x v="10"/>
    <x v="2"/>
    <x v="22"/>
    <x v="6"/>
    <d v="2024-08-19T00:00:00"/>
    <x v="8"/>
    <n v="907.62"/>
    <n v="10"/>
    <x v="0"/>
    <n v="90.76"/>
    <x v="1967"/>
    <n v="816.86"/>
    <x v="0"/>
    <n v="2024"/>
  </r>
  <r>
    <s v="TXN01969"/>
    <x v="5"/>
    <x v="3"/>
    <x v="21"/>
    <x v="5"/>
    <d v="2024-02-22T00:00:00"/>
    <x v="9"/>
    <n v="2437.71"/>
    <n v="10"/>
    <x v="2"/>
    <n v="2437.71"/>
    <x v="1968"/>
    <n v="21939.39"/>
    <x v="2"/>
    <n v="2024"/>
  </r>
  <r>
    <s v="TXN01970"/>
    <x v="9"/>
    <x v="0"/>
    <x v="6"/>
    <x v="4"/>
    <d v="2024-09-11T00:00:00"/>
    <x v="2"/>
    <n v="28157.34"/>
    <n v="0"/>
    <x v="0"/>
    <n v="0"/>
    <x v="1969"/>
    <n v="225258.72"/>
    <x v="7"/>
    <n v="2024"/>
  </r>
  <r>
    <s v="TXN01971"/>
    <x v="3"/>
    <x v="2"/>
    <x v="11"/>
    <x v="5"/>
    <d v="2025-03-05T00:00:00"/>
    <x v="9"/>
    <n v="4914.0200000000004"/>
    <n v="0"/>
    <x v="2"/>
    <n v="0"/>
    <x v="1970"/>
    <n v="49140.2"/>
    <x v="6"/>
    <n v="2025"/>
  </r>
  <r>
    <s v="TXN01972"/>
    <x v="12"/>
    <x v="1"/>
    <x v="13"/>
    <x v="5"/>
    <d v="2024-11-17T00:00:00"/>
    <x v="8"/>
    <n v="13317.56"/>
    <n v="15"/>
    <x v="7"/>
    <n v="1997.63"/>
    <x v="1971"/>
    <n v="11319.93"/>
    <x v="8"/>
    <n v="2024"/>
  </r>
  <r>
    <s v="TXN01973"/>
    <x v="11"/>
    <x v="1"/>
    <x v="2"/>
    <x v="1"/>
    <d v="2025-01-14T00:00:00"/>
    <x v="5"/>
    <n v="24425.05"/>
    <n v="15"/>
    <x v="5"/>
    <n v="7327.51"/>
    <x v="1972"/>
    <n v="41522.589999999997"/>
    <x v="10"/>
    <n v="2025"/>
  </r>
  <r>
    <s v="TXN01974"/>
    <x v="12"/>
    <x v="4"/>
    <x v="23"/>
    <x v="4"/>
    <d v="2025-03-16T00:00:00"/>
    <x v="1"/>
    <n v="9716.17"/>
    <n v="20"/>
    <x v="2"/>
    <n v="7772.94"/>
    <x v="1973"/>
    <n v="31091.74"/>
    <x v="6"/>
    <n v="2025"/>
  </r>
  <r>
    <s v="TXN01975"/>
    <x v="7"/>
    <x v="1"/>
    <x v="4"/>
    <x v="6"/>
    <d v="2025-08-30T00:00:00"/>
    <x v="4"/>
    <n v="8906.4"/>
    <n v="0"/>
    <x v="5"/>
    <n v="0"/>
    <x v="1974"/>
    <n v="62344.800000000003"/>
    <x v="0"/>
    <n v="2025"/>
  </r>
  <r>
    <s v="TXN01976"/>
    <x v="10"/>
    <x v="0"/>
    <x v="0"/>
    <x v="2"/>
    <d v="2024-06-02T00:00:00"/>
    <x v="6"/>
    <n v="65463.82"/>
    <n v="0"/>
    <x v="1"/>
    <n v="0"/>
    <x v="1975"/>
    <n v="589174.38"/>
    <x v="5"/>
    <n v="2024"/>
  </r>
  <r>
    <s v="TXN01977"/>
    <x v="13"/>
    <x v="1"/>
    <x v="12"/>
    <x v="5"/>
    <d v="2024-02-03T00:00:00"/>
    <x v="0"/>
    <n v="5837.13"/>
    <n v="10"/>
    <x v="3"/>
    <n v="1751.14"/>
    <x v="1976"/>
    <n v="15760.25"/>
    <x v="2"/>
    <n v="2024"/>
  </r>
  <r>
    <s v="TXN01978"/>
    <x v="6"/>
    <x v="3"/>
    <x v="21"/>
    <x v="1"/>
    <d v="2024-11-13T00:00:00"/>
    <x v="3"/>
    <n v="2543.73"/>
    <n v="20"/>
    <x v="3"/>
    <n v="3052.48"/>
    <x v="1977"/>
    <n v="12209.9"/>
    <x v="8"/>
    <n v="2024"/>
  </r>
  <r>
    <s v="TXN01979"/>
    <x v="12"/>
    <x v="0"/>
    <x v="0"/>
    <x v="1"/>
    <d v="2024-06-23T00:00:00"/>
    <x v="4"/>
    <n v="71893.100000000006"/>
    <n v="15"/>
    <x v="0"/>
    <n v="75487.759999999995"/>
    <x v="1978"/>
    <n v="427763.94"/>
    <x v="5"/>
    <n v="2024"/>
  </r>
  <r>
    <s v="TXN01980"/>
    <x v="12"/>
    <x v="0"/>
    <x v="3"/>
    <x v="0"/>
    <d v="2025-09-19T00:00:00"/>
    <x v="7"/>
    <n v="16823.77"/>
    <n v="15"/>
    <x v="7"/>
    <n v="12617.83"/>
    <x v="1979"/>
    <n v="71501.02"/>
    <x v="7"/>
    <n v="2025"/>
  </r>
  <r>
    <s v="TXN01981"/>
    <x v="7"/>
    <x v="2"/>
    <x v="22"/>
    <x v="2"/>
    <d v="2025-05-23T00:00:00"/>
    <x v="9"/>
    <n v="860.35"/>
    <n v="10"/>
    <x v="7"/>
    <n v="860.35"/>
    <x v="1980"/>
    <n v="7743.15"/>
    <x v="9"/>
    <n v="2025"/>
  </r>
  <r>
    <s v="TXN01982"/>
    <x v="4"/>
    <x v="0"/>
    <x v="24"/>
    <x v="0"/>
    <d v="2025-12-12T00:00:00"/>
    <x v="2"/>
    <n v="8489.77"/>
    <n v="10"/>
    <x v="3"/>
    <n v="6791.82"/>
    <x v="1981"/>
    <n v="61126.34"/>
    <x v="3"/>
    <n v="2025"/>
  </r>
  <r>
    <s v="TXN01983"/>
    <x v="5"/>
    <x v="2"/>
    <x v="22"/>
    <x v="2"/>
    <d v="2025-03-04T00:00:00"/>
    <x v="1"/>
    <n v="988.71"/>
    <n v="10"/>
    <x v="2"/>
    <n v="395.48"/>
    <x v="1982"/>
    <n v="3559.36"/>
    <x v="6"/>
    <n v="2025"/>
  </r>
  <r>
    <s v="TXN01984"/>
    <x v="2"/>
    <x v="3"/>
    <x v="7"/>
    <x v="5"/>
    <d v="2025-12-21T00:00:00"/>
    <x v="0"/>
    <n v="1800.21"/>
    <n v="0"/>
    <x v="3"/>
    <n v="0"/>
    <x v="1983"/>
    <n v="5400.63"/>
    <x v="3"/>
    <n v="2025"/>
  </r>
  <r>
    <s v="TXN01985"/>
    <x v="7"/>
    <x v="2"/>
    <x v="10"/>
    <x v="1"/>
    <d v="2024-05-09T00:00:00"/>
    <x v="0"/>
    <n v="2701.73"/>
    <n v="10"/>
    <x v="6"/>
    <n v="810.52"/>
    <x v="1984"/>
    <n v="7294.67"/>
    <x v="9"/>
    <n v="2024"/>
  </r>
  <r>
    <s v="TXN01986"/>
    <x v="12"/>
    <x v="3"/>
    <x v="20"/>
    <x v="4"/>
    <d v="2025-03-21T00:00:00"/>
    <x v="4"/>
    <n v="3257.29"/>
    <n v="20"/>
    <x v="6"/>
    <n v="4560.21"/>
    <x v="1985"/>
    <n v="18240.82"/>
    <x v="6"/>
    <n v="2025"/>
  </r>
  <r>
    <s v="TXN01987"/>
    <x v="14"/>
    <x v="2"/>
    <x v="22"/>
    <x v="2"/>
    <d v="2025-04-29T00:00:00"/>
    <x v="8"/>
    <n v="891.95"/>
    <n v="15"/>
    <x v="0"/>
    <n v="133.79"/>
    <x v="1986"/>
    <n v="758.16"/>
    <x v="1"/>
    <n v="2025"/>
  </r>
  <r>
    <s v="TXN01988"/>
    <x v="6"/>
    <x v="1"/>
    <x v="4"/>
    <x v="1"/>
    <d v="2024-09-15T00:00:00"/>
    <x v="4"/>
    <n v="7573.12"/>
    <n v="15"/>
    <x v="1"/>
    <n v="7951.78"/>
    <x v="1987"/>
    <n v="45060.06"/>
    <x v="7"/>
    <n v="2024"/>
  </r>
  <r>
    <s v="TXN01989"/>
    <x v="10"/>
    <x v="4"/>
    <x v="23"/>
    <x v="2"/>
    <d v="2025-04-05T00:00:00"/>
    <x v="0"/>
    <n v="11039.45"/>
    <n v="15"/>
    <x v="5"/>
    <n v="4967.75"/>
    <x v="1988"/>
    <n v="28150.6"/>
    <x v="1"/>
    <n v="2025"/>
  </r>
  <r>
    <s v="TXN01990"/>
    <x v="4"/>
    <x v="3"/>
    <x v="21"/>
    <x v="2"/>
    <d v="2024-01-08T00:00:00"/>
    <x v="0"/>
    <n v="2846.43"/>
    <n v="15"/>
    <x v="3"/>
    <n v="1280.8900000000001"/>
    <x v="1989"/>
    <n v="7258.4"/>
    <x v="10"/>
    <n v="2024"/>
  </r>
  <r>
    <s v="TXN01991"/>
    <x v="14"/>
    <x v="0"/>
    <x v="24"/>
    <x v="0"/>
    <d v="2024-02-13T00:00:00"/>
    <x v="0"/>
    <n v="6720.04"/>
    <n v="20"/>
    <x v="3"/>
    <n v="4032.02"/>
    <x v="1990"/>
    <n v="16128.1"/>
    <x v="2"/>
    <n v="2024"/>
  </r>
  <r>
    <s v="TXN01992"/>
    <x v="14"/>
    <x v="4"/>
    <x v="19"/>
    <x v="4"/>
    <d v="2025-03-03T00:00:00"/>
    <x v="8"/>
    <n v="8741.7199999999993"/>
    <n v="10"/>
    <x v="3"/>
    <n v="874.17"/>
    <x v="1991"/>
    <n v="7867.55"/>
    <x v="6"/>
    <n v="2025"/>
  </r>
  <r>
    <s v="TXN01993"/>
    <x v="3"/>
    <x v="3"/>
    <x v="21"/>
    <x v="0"/>
    <d v="2024-04-17T00:00:00"/>
    <x v="2"/>
    <n v="2732.23"/>
    <n v="20"/>
    <x v="1"/>
    <n v="4371.57"/>
    <x v="1992"/>
    <n v="17486.27"/>
    <x v="1"/>
    <n v="2024"/>
  </r>
  <r>
    <s v="TXN01994"/>
    <x v="7"/>
    <x v="1"/>
    <x v="13"/>
    <x v="0"/>
    <d v="2025-06-27T00:00:00"/>
    <x v="4"/>
    <n v="13468.76"/>
    <n v="20"/>
    <x v="4"/>
    <n v="18856.259999999998"/>
    <x v="1993"/>
    <n v="75425.06"/>
    <x v="5"/>
    <n v="2025"/>
  </r>
  <r>
    <s v="TXN01995"/>
    <x v="2"/>
    <x v="2"/>
    <x v="11"/>
    <x v="5"/>
    <d v="2025-04-10T00:00:00"/>
    <x v="9"/>
    <n v="5183.8999999999996"/>
    <n v="20"/>
    <x v="1"/>
    <n v="10367.799999999999"/>
    <x v="1994"/>
    <n v="41471.199999999997"/>
    <x v="1"/>
    <n v="2025"/>
  </r>
  <r>
    <s v="TXN01996"/>
    <x v="5"/>
    <x v="4"/>
    <x v="17"/>
    <x v="0"/>
    <d v="2025-02-21T00:00:00"/>
    <x v="9"/>
    <n v="3698.66"/>
    <n v="0"/>
    <x v="1"/>
    <n v="0"/>
    <x v="1995"/>
    <n v="36986.6"/>
    <x v="2"/>
    <n v="2025"/>
  </r>
  <r>
    <s v="TXN01997"/>
    <x v="14"/>
    <x v="4"/>
    <x v="23"/>
    <x v="5"/>
    <d v="2024-11-18T00:00:00"/>
    <x v="9"/>
    <n v="10512.97"/>
    <n v="10"/>
    <x v="0"/>
    <n v="10512.97"/>
    <x v="1996"/>
    <n v="94616.73"/>
    <x v="8"/>
    <n v="2024"/>
  </r>
  <r>
    <s v="TXN01998"/>
    <x v="4"/>
    <x v="3"/>
    <x v="15"/>
    <x v="4"/>
    <d v="2025-02-08T00:00:00"/>
    <x v="7"/>
    <n v="720.86"/>
    <n v="5"/>
    <x v="4"/>
    <n v="180.22"/>
    <x v="1997"/>
    <n v="3424.08"/>
    <x v="2"/>
    <n v="2025"/>
  </r>
  <r>
    <s v="TXN01999"/>
    <x v="4"/>
    <x v="0"/>
    <x v="6"/>
    <x v="5"/>
    <d v="2025-02-10T00:00:00"/>
    <x v="8"/>
    <n v="25187.57"/>
    <n v="0"/>
    <x v="0"/>
    <n v="0"/>
    <x v="1998"/>
    <n v="25187.57"/>
    <x v="2"/>
    <n v="2025"/>
  </r>
  <r>
    <s v="TXN02000"/>
    <x v="4"/>
    <x v="3"/>
    <x v="21"/>
    <x v="6"/>
    <d v="2024-01-17T00:00:00"/>
    <x v="6"/>
    <n v="2792.84"/>
    <n v="10"/>
    <x v="2"/>
    <n v="2513.56"/>
    <x v="1999"/>
    <n v="22622"/>
    <x v="10"/>
    <n v="2024"/>
  </r>
  <r>
    <s v="TXN02001"/>
    <x v="11"/>
    <x v="2"/>
    <x v="10"/>
    <x v="6"/>
    <d v="2025-06-30T00:00:00"/>
    <x v="6"/>
    <n v="2429.7199999999998"/>
    <n v="0"/>
    <x v="0"/>
    <n v="0"/>
    <x v="2000"/>
    <n v="21867.48"/>
    <x v="5"/>
    <n v="2025"/>
  </r>
  <r>
    <s v="TXN02002"/>
    <x v="9"/>
    <x v="1"/>
    <x v="2"/>
    <x v="2"/>
    <d v="2024-06-30T00:00:00"/>
    <x v="6"/>
    <n v="26600.639999999999"/>
    <n v="0"/>
    <x v="5"/>
    <n v="0"/>
    <x v="2001"/>
    <n v="239405.76"/>
    <x v="5"/>
    <n v="2024"/>
  </r>
  <r>
    <s v="TXN02003"/>
    <x v="3"/>
    <x v="4"/>
    <x v="17"/>
    <x v="2"/>
    <d v="2025-05-06T00:00:00"/>
    <x v="8"/>
    <n v="3237.03"/>
    <n v="10"/>
    <x v="0"/>
    <n v="323.7"/>
    <x v="2002"/>
    <n v="2913.33"/>
    <x v="9"/>
    <n v="2025"/>
  </r>
  <r>
    <s v="TXN02004"/>
    <x v="8"/>
    <x v="1"/>
    <x v="4"/>
    <x v="0"/>
    <d v="2024-06-14T00:00:00"/>
    <x v="4"/>
    <n v="7608.19"/>
    <n v="5"/>
    <x v="2"/>
    <n v="2662.87"/>
    <x v="2003"/>
    <n v="50594.46"/>
    <x v="5"/>
    <n v="2024"/>
  </r>
  <r>
    <s v="TXN02005"/>
    <x v="10"/>
    <x v="3"/>
    <x v="15"/>
    <x v="0"/>
    <d v="2025-07-09T00:00:00"/>
    <x v="6"/>
    <n v="847.8"/>
    <n v="0"/>
    <x v="4"/>
    <n v="0"/>
    <x v="2004"/>
    <n v="7630.2"/>
    <x v="11"/>
    <n v="2025"/>
  </r>
  <r>
    <s v="TXN02006"/>
    <x v="4"/>
    <x v="1"/>
    <x v="12"/>
    <x v="1"/>
    <d v="2024-03-08T00:00:00"/>
    <x v="7"/>
    <n v="6847.72"/>
    <n v="0"/>
    <x v="0"/>
    <n v="0"/>
    <x v="2005"/>
    <n v="34238.6"/>
    <x v="6"/>
    <n v="2024"/>
  </r>
  <r>
    <s v="TXN02007"/>
    <x v="6"/>
    <x v="4"/>
    <x v="19"/>
    <x v="6"/>
    <d v="2025-06-07T00:00:00"/>
    <x v="5"/>
    <n v="8162.48"/>
    <n v="20"/>
    <x v="6"/>
    <n v="3264.99"/>
    <x v="2006"/>
    <n v="13059.97"/>
    <x v="5"/>
    <n v="2025"/>
  </r>
  <r>
    <s v="TXN02008"/>
    <x v="3"/>
    <x v="3"/>
    <x v="15"/>
    <x v="3"/>
    <d v="2024-12-27T00:00:00"/>
    <x v="0"/>
    <n v="877.33"/>
    <n v="5"/>
    <x v="7"/>
    <n v="131.6"/>
    <x v="2007"/>
    <n v="2500.39"/>
    <x v="3"/>
    <n v="2024"/>
  </r>
  <r>
    <s v="TXN02009"/>
    <x v="0"/>
    <x v="2"/>
    <x v="22"/>
    <x v="1"/>
    <d v="2024-03-05T00:00:00"/>
    <x v="0"/>
    <n v="842.81"/>
    <n v="5"/>
    <x v="7"/>
    <n v="126.42"/>
    <x v="2008"/>
    <n v="2402.0100000000002"/>
    <x v="6"/>
    <n v="2024"/>
  </r>
  <r>
    <s v="TXN02010"/>
    <x v="2"/>
    <x v="2"/>
    <x v="11"/>
    <x v="5"/>
    <d v="2024-01-31T00:00:00"/>
    <x v="3"/>
    <n v="5566.88"/>
    <n v="15"/>
    <x v="5"/>
    <n v="5010.1899999999996"/>
    <x v="2009"/>
    <n v="28391.09"/>
    <x v="10"/>
    <n v="2024"/>
  </r>
  <r>
    <s v="TXN02011"/>
    <x v="10"/>
    <x v="0"/>
    <x v="1"/>
    <x v="3"/>
    <d v="2024-08-05T00:00:00"/>
    <x v="0"/>
    <n v="2842.61"/>
    <n v="15"/>
    <x v="2"/>
    <n v="1279.17"/>
    <x v="2010"/>
    <n v="7248.66"/>
    <x v="0"/>
    <n v="2024"/>
  </r>
  <r>
    <s v="TXN02012"/>
    <x v="0"/>
    <x v="2"/>
    <x v="10"/>
    <x v="4"/>
    <d v="2025-07-24T00:00:00"/>
    <x v="2"/>
    <n v="2492.0500000000002"/>
    <n v="10"/>
    <x v="6"/>
    <n v="1993.64"/>
    <x v="2011"/>
    <n v="17942.759999999998"/>
    <x v="11"/>
    <n v="2025"/>
  </r>
  <r>
    <s v="TXN02013"/>
    <x v="13"/>
    <x v="1"/>
    <x v="12"/>
    <x v="5"/>
    <d v="2024-01-04T00:00:00"/>
    <x v="9"/>
    <n v="5933.13"/>
    <n v="10"/>
    <x v="0"/>
    <n v="5933.13"/>
    <x v="2012"/>
    <n v="53398.17"/>
    <x v="10"/>
    <n v="2024"/>
  </r>
  <r>
    <s v="TXN02014"/>
    <x v="0"/>
    <x v="3"/>
    <x v="16"/>
    <x v="3"/>
    <d v="2024-11-18T00:00:00"/>
    <x v="2"/>
    <n v="1520.16"/>
    <n v="0"/>
    <x v="1"/>
    <n v="0"/>
    <x v="2013"/>
    <n v="12161.28"/>
    <x v="8"/>
    <n v="2024"/>
  </r>
  <r>
    <s v="TXN02015"/>
    <x v="9"/>
    <x v="2"/>
    <x v="11"/>
    <x v="3"/>
    <d v="2025-08-30T00:00:00"/>
    <x v="0"/>
    <n v="5091.79"/>
    <n v="20"/>
    <x v="7"/>
    <n v="3055.07"/>
    <x v="2014"/>
    <n v="12220.3"/>
    <x v="0"/>
    <n v="2025"/>
  </r>
  <r>
    <s v="TXN02016"/>
    <x v="6"/>
    <x v="2"/>
    <x v="22"/>
    <x v="6"/>
    <d v="2025-10-15T00:00:00"/>
    <x v="3"/>
    <n v="951.89"/>
    <n v="20"/>
    <x v="1"/>
    <n v="1142.27"/>
    <x v="2015"/>
    <n v="4569.07"/>
    <x v="4"/>
    <n v="2025"/>
  </r>
  <r>
    <s v="TXN02017"/>
    <x v="13"/>
    <x v="4"/>
    <x v="19"/>
    <x v="3"/>
    <d v="2024-02-26T00:00:00"/>
    <x v="7"/>
    <n v="8529.65"/>
    <n v="5"/>
    <x v="7"/>
    <n v="2132.41"/>
    <x v="2016"/>
    <n v="40515.839999999997"/>
    <x v="2"/>
    <n v="2024"/>
  </r>
  <r>
    <s v="TXN02018"/>
    <x v="7"/>
    <x v="3"/>
    <x v="16"/>
    <x v="0"/>
    <d v="2025-02-25T00:00:00"/>
    <x v="5"/>
    <n v="1715.67"/>
    <n v="10"/>
    <x v="5"/>
    <n v="343.13"/>
    <x v="2017"/>
    <n v="3088.21"/>
    <x v="2"/>
    <n v="2025"/>
  </r>
  <r>
    <s v="TXN02019"/>
    <x v="5"/>
    <x v="0"/>
    <x v="24"/>
    <x v="2"/>
    <d v="2025-02-20T00:00:00"/>
    <x v="8"/>
    <n v="6345.76"/>
    <n v="10"/>
    <x v="4"/>
    <n v="634.58000000000004"/>
    <x v="2018"/>
    <n v="5711.18"/>
    <x v="2"/>
    <n v="2025"/>
  </r>
  <r>
    <s v="TXN02020"/>
    <x v="0"/>
    <x v="3"/>
    <x v="7"/>
    <x v="1"/>
    <d v="2025-06-21T00:00:00"/>
    <x v="9"/>
    <n v="1889.8"/>
    <n v="0"/>
    <x v="3"/>
    <n v="0"/>
    <x v="2019"/>
    <n v="18898"/>
    <x v="5"/>
    <n v="2025"/>
  </r>
  <r>
    <s v="TXN02021"/>
    <x v="6"/>
    <x v="3"/>
    <x v="15"/>
    <x v="0"/>
    <d v="2024-11-21T00:00:00"/>
    <x v="5"/>
    <n v="832.18"/>
    <n v="5"/>
    <x v="5"/>
    <n v="83.22"/>
    <x v="2020"/>
    <n v="1581.14"/>
    <x v="8"/>
    <n v="2024"/>
  </r>
  <r>
    <s v="TXN02022"/>
    <x v="2"/>
    <x v="2"/>
    <x v="10"/>
    <x v="1"/>
    <d v="2024-11-14T00:00:00"/>
    <x v="6"/>
    <n v="2993.95"/>
    <n v="0"/>
    <x v="4"/>
    <n v="0"/>
    <x v="2021"/>
    <n v="26945.55"/>
    <x v="8"/>
    <n v="2024"/>
  </r>
  <r>
    <s v="TXN02023"/>
    <x v="4"/>
    <x v="2"/>
    <x v="11"/>
    <x v="2"/>
    <d v="2025-07-19T00:00:00"/>
    <x v="7"/>
    <n v="4625.54"/>
    <n v="15"/>
    <x v="4"/>
    <n v="3469.16"/>
    <x v="2022"/>
    <n v="19658.54"/>
    <x v="11"/>
    <n v="2025"/>
  </r>
  <r>
    <s v="TXN02024"/>
    <x v="14"/>
    <x v="0"/>
    <x v="3"/>
    <x v="5"/>
    <d v="2025-11-04T00:00:00"/>
    <x v="3"/>
    <n v="19151.79"/>
    <n v="0"/>
    <x v="7"/>
    <n v="0"/>
    <x v="2023"/>
    <n v="114910.74"/>
    <x v="8"/>
    <n v="2025"/>
  </r>
  <r>
    <s v="TXN02025"/>
    <x v="6"/>
    <x v="1"/>
    <x v="12"/>
    <x v="6"/>
    <d v="2024-04-19T00:00:00"/>
    <x v="2"/>
    <n v="5463.79"/>
    <n v="10"/>
    <x v="1"/>
    <n v="4371.03"/>
    <x v="2024"/>
    <n v="39339.29"/>
    <x v="1"/>
    <n v="2024"/>
  </r>
  <r>
    <s v="TXN02026"/>
    <x v="6"/>
    <x v="4"/>
    <x v="14"/>
    <x v="0"/>
    <d v="2025-08-28T00:00:00"/>
    <x v="6"/>
    <n v="1685.63"/>
    <n v="5"/>
    <x v="3"/>
    <n v="758.53"/>
    <x v="2025"/>
    <n v="14412.14"/>
    <x v="0"/>
    <n v="2025"/>
  </r>
  <r>
    <s v="TXN02027"/>
    <x v="7"/>
    <x v="0"/>
    <x v="3"/>
    <x v="4"/>
    <d v="2025-10-07T00:00:00"/>
    <x v="8"/>
    <n v="20148.060000000001"/>
    <n v="5"/>
    <x v="7"/>
    <n v="1007.4"/>
    <x v="2026"/>
    <n v="19140.66"/>
    <x v="4"/>
    <n v="2025"/>
  </r>
  <r>
    <s v="TXN02028"/>
    <x v="2"/>
    <x v="1"/>
    <x v="8"/>
    <x v="5"/>
    <d v="2025-11-28T00:00:00"/>
    <x v="6"/>
    <n v="49225.8"/>
    <n v="20"/>
    <x v="1"/>
    <n v="88606.44"/>
    <x v="2027"/>
    <n v="354425.76"/>
    <x v="8"/>
    <n v="2025"/>
  </r>
  <r>
    <s v="TXN02029"/>
    <x v="9"/>
    <x v="1"/>
    <x v="2"/>
    <x v="4"/>
    <d v="2025-03-16T00:00:00"/>
    <x v="1"/>
    <n v="26332.86"/>
    <n v="15"/>
    <x v="1"/>
    <n v="15799.72"/>
    <x v="2028"/>
    <n v="89531.72"/>
    <x v="6"/>
    <n v="2025"/>
  </r>
  <r>
    <s v="TXN02030"/>
    <x v="5"/>
    <x v="1"/>
    <x v="8"/>
    <x v="0"/>
    <d v="2025-02-18T00:00:00"/>
    <x v="9"/>
    <n v="40115.43"/>
    <n v="20"/>
    <x v="3"/>
    <n v="80230.86"/>
    <x v="2029"/>
    <n v="320923.44"/>
    <x v="2"/>
    <n v="2025"/>
  </r>
  <r>
    <s v="TXN02031"/>
    <x v="2"/>
    <x v="3"/>
    <x v="20"/>
    <x v="6"/>
    <d v="2025-12-24T00:00:00"/>
    <x v="4"/>
    <n v="3710.44"/>
    <n v="20"/>
    <x v="7"/>
    <n v="5194.62"/>
    <x v="2030"/>
    <n v="20778.46"/>
    <x v="3"/>
    <n v="2025"/>
  </r>
  <r>
    <s v="TXN02032"/>
    <x v="6"/>
    <x v="4"/>
    <x v="17"/>
    <x v="5"/>
    <d v="2024-09-16T00:00:00"/>
    <x v="0"/>
    <n v="3654.54"/>
    <n v="20"/>
    <x v="0"/>
    <n v="2192.7199999999998"/>
    <x v="2031"/>
    <n v="8770.9"/>
    <x v="7"/>
    <n v="2024"/>
  </r>
  <r>
    <s v="TXN02033"/>
    <x v="7"/>
    <x v="0"/>
    <x v="6"/>
    <x v="2"/>
    <d v="2024-08-24T00:00:00"/>
    <x v="1"/>
    <n v="27155.5"/>
    <n v="0"/>
    <x v="1"/>
    <n v="0"/>
    <x v="2032"/>
    <n v="108622"/>
    <x v="0"/>
    <n v="2024"/>
  </r>
  <r>
    <s v="TXN02034"/>
    <x v="2"/>
    <x v="4"/>
    <x v="18"/>
    <x v="0"/>
    <d v="2025-08-11T00:00:00"/>
    <x v="8"/>
    <n v="12755.56"/>
    <n v="0"/>
    <x v="7"/>
    <n v="0"/>
    <x v="2033"/>
    <n v="12755.56"/>
    <x v="0"/>
    <n v="2025"/>
  </r>
  <r>
    <s v="TXN02035"/>
    <x v="6"/>
    <x v="0"/>
    <x v="24"/>
    <x v="0"/>
    <d v="2025-04-02T00:00:00"/>
    <x v="0"/>
    <n v="6557.23"/>
    <n v="0"/>
    <x v="0"/>
    <n v="0"/>
    <x v="2034"/>
    <n v="19671.689999999999"/>
    <x v="1"/>
    <n v="2025"/>
  </r>
  <r>
    <s v="TXN02036"/>
    <x v="1"/>
    <x v="3"/>
    <x v="20"/>
    <x v="5"/>
    <d v="2025-03-30T00:00:00"/>
    <x v="1"/>
    <n v="3900.54"/>
    <n v="5"/>
    <x v="4"/>
    <n v="780.11"/>
    <x v="2035"/>
    <n v="14822.05"/>
    <x v="6"/>
    <n v="2025"/>
  </r>
  <r>
    <s v="TXN02037"/>
    <x v="3"/>
    <x v="1"/>
    <x v="2"/>
    <x v="4"/>
    <d v="2025-05-16T00:00:00"/>
    <x v="2"/>
    <n v="28432.14"/>
    <n v="15"/>
    <x v="0"/>
    <n v="34118.57"/>
    <x v="2036"/>
    <n v="193338.55"/>
    <x v="9"/>
    <n v="2025"/>
  </r>
  <r>
    <s v="TXN02038"/>
    <x v="13"/>
    <x v="0"/>
    <x v="3"/>
    <x v="5"/>
    <d v="2024-06-11T00:00:00"/>
    <x v="8"/>
    <n v="19716.27"/>
    <n v="0"/>
    <x v="6"/>
    <n v="0"/>
    <x v="2037"/>
    <n v="19716.27"/>
    <x v="5"/>
    <n v="2024"/>
  </r>
  <r>
    <s v="TXN02039"/>
    <x v="5"/>
    <x v="4"/>
    <x v="14"/>
    <x v="4"/>
    <d v="2024-04-23T00:00:00"/>
    <x v="7"/>
    <n v="1402.76"/>
    <n v="10"/>
    <x v="2"/>
    <n v="701.38"/>
    <x v="2038"/>
    <n v="6312.42"/>
    <x v="1"/>
    <n v="2024"/>
  </r>
  <r>
    <s v="TXN02040"/>
    <x v="10"/>
    <x v="1"/>
    <x v="2"/>
    <x v="1"/>
    <d v="2025-06-26T00:00:00"/>
    <x v="5"/>
    <n v="26165.53"/>
    <n v="10"/>
    <x v="6"/>
    <n v="5233.1099999999997"/>
    <x v="2039"/>
    <n v="47097.95"/>
    <x v="5"/>
    <n v="2025"/>
  </r>
  <r>
    <s v="TXN02041"/>
    <x v="11"/>
    <x v="3"/>
    <x v="7"/>
    <x v="4"/>
    <d v="2025-05-03T00:00:00"/>
    <x v="4"/>
    <n v="1741.34"/>
    <n v="15"/>
    <x v="4"/>
    <n v="1828.41"/>
    <x v="2040"/>
    <n v="10360.969999999999"/>
    <x v="9"/>
    <n v="2025"/>
  </r>
  <r>
    <s v="TXN02042"/>
    <x v="14"/>
    <x v="1"/>
    <x v="2"/>
    <x v="4"/>
    <d v="2024-08-28T00:00:00"/>
    <x v="2"/>
    <n v="24903.64"/>
    <n v="20"/>
    <x v="1"/>
    <n v="39845.82"/>
    <x v="2041"/>
    <n v="159383.29999999999"/>
    <x v="0"/>
    <n v="2024"/>
  </r>
  <r>
    <s v="TXN02043"/>
    <x v="6"/>
    <x v="2"/>
    <x v="5"/>
    <x v="0"/>
    <d v="2025-06-18T00:00:00"/>
    <x v="7"/>
    <n v="1286.97"/>
    <n v="10"/>
    <x v="5"/>
    <n v="643.49"/>
    <x v="2042"/>
    <n v="5791.36"/>
    <x v="5"/>
    <n v="2025"/>
  </r>
  <r>
    <s v="TXN02044"/>
    <x v="0"/>
    <x v="2"/>
    <x v="22"/>
    <x v="5"/>
    <d v="2024-03-05T00:00:00"/>
    <x v="9"/>
    <n v="1025.3599999999999"/>
    <n v="0"/>
    <x v="1"/>
    <n v="0"/>
    <x v="2043"/>
    <n v="10253.6"/>
    <x v="6"/>
    <n v="2024"/>
  </r>
  <r>
    <s v="TXN02045"/>
    <x v="5"/>
    <x v="1"/>
    <x v="4"/>
    <x v="3"/>
    <d v="2025-11-15T00:00:00"/>
    <x v="6"/>
    <n v="9802.8700000000008"/>
    <n v="20"/>
    <x v="0"/>
    <n v="17645.169999999998"/>
    <x v="2044"/>
    <n v="70580.66"/>
    <x v="8"/>
    <n v="2025"/>
  </r>
  <r>
    <s v="TXN02046"/>
    <x v="8"/>
    <x v="2"/>
    <x v="5"/>
    <x v="5"/>
    <d v="2024-06-01T00:00:00"/>
    <x v="8"/>
    <n v="1178.21"/>
    <n v="20"/>
    <x v="1"/>
    <n v="235.64"/>
    <x v="2045"/>
    <n v="942.57"/>
    <x v="5"/>
    <n v="2024"/>
  </r>
  <r>
    <s v="TXN02047"/>
    <x v="3"/>
    <x v="4"/>
    <x v="14"/>
    <x v="1"/>
    <d v="2024-07-17T00:00:00"/>
    <x v="0"/>
    <n v="1390.67"/>
    <n v="10"/>
    <x v="6"/>
    <n v="417.2"/>
    <x v="2046"/>
    <n v="3754.81"/>
    <x v="11"/>
    <n v="2024"/>
  </r>
  <r>
    <s v="TXN02048"/>
    <x v="0"/>
    <x v="4"/>
    <x v="19"/>
    <x v="3"/>
    <d v="2025-08-23T00:00:00"/>
    <x v="1"/>
    <n v="8457.69"/>
    <n v="20"/>
    <x v="4"/>
    <n v="6766.15"/>
    <x v="2047"/>
    <n v="27064.61"/>
    <x v="0"/>
    <n v="2025"/>
  </r>
  <r>
    <s v="TXN02049"/>
    <x v="3"/>
    <x v="2"/>
    <x v="11"/>
    <x v="1"/>
    <d v="2025-04-28T00:00:00"/>
    <x v="9"/>
    <n v="4745.34"/>
    <n v="5"/>
    <x v="2"/>
    <n v="2372.67"/>
    <x v="2048"/>
    <n v="45080.73"/>
    <x v="1"/>
    <n v="2025"/>
  </r>
  <r>
    <s v="TXN02050"/>
    <x v="4"/>
    <x v="3"/>
    <x v="15"/>
    <x v="0"/>
    <d v="2025-04-27T00:00:00"/>
    <x v="1"/>
    <n v="826.5"/>
    <n v="15"/>
    <x v="5"/>
    <n v="495.9"/>
    <x v="2049"/>
    <n v="2810.1"/>
    <x v="1"/>
    <n v="2025"/>
  </r>
  <r>
    <s v="TXN02051"/>
    <x v="9"/>
    <x v="1"/>
    <x v="2"/>
    <x v="1"/>
    <d v="2024-04-15T00:00:00"/>
    <x v="9"/>
    <n v="28099.53"/>
    <n v="5"/>
    <x v="7"/>
    <n v="14049.76"/>
    <x v="2050"/>
    <n v="266945.53999999998"/>
    <x v="1"/>
    <n v="2024"/>
  </r>
  <r>
    <s v="TXN02052"/>
    <x v="2"/>
    <x v="4"/>
    <x v="17"/>
    <x v="5"/>
    <d v="2025-07-01T00:00:00"/>
    <x v="5"/>
    <n v="3239.79"/>
    <n v="20"/>
    <x v="2"/>
    <n v="1295.92"/>
    <x v="2051"/>
    <n v="5183.66"/>
    <x v="11"/>
    <n v="2025"/>
  </r>
  <r>
    <s v="TXN02053"/>
    <x v="2"/>
    <x v="4"/>
    <x v="18"/>
    <x v="2"/>
    <d v="2024-08-11T00:00:00"/>
    <x v="3"/>
    <n v="11090.57"/>
    <n v="10"/>
    <x v="0"/>
    <n v="6654.34"/>
    <x v="2052"/>
    <n v="59889.08"/>
    <x v="0"/>
    <n v="2024"/>
  </r>
  <r>
    <s v="TXN02054"/>
    <x v="1"/>
    <x v="0"/>
    <x v="1"/>
    <x v="1"/>
    <d v="2025-10-20T00:00:00"/>
    <x v="9"/>
    <n v="3704.09"/>
    <n v="5"/>
    <x v="4"/>
    <n v="1852.05"/>
    <x v="2053"/>
    <n v="35188.85"/>
    <x v="4"/>
    <n v="2025"/>
  </r>
  <r>
    <s v="TXN02055"/>
    <x v="14"/>
    <x v="0"/>
    <x v="3"/>
    <x v="4"/>
    <d v="2024-04-05T00:00:00"/>
    <x v="7"/>
    <n v="19759.95"/>
    <n v="20"/>
    <x v="7"/>
    <n v="19759.95"/>
    <x v="2054"/>
    <n v="79039.8"/>
    <x v="1"/>
    <n v="2024"/>
  </r>
  <r>
    <s v="TXN02056"/>
    <x v="11"/>
    <x v="1"/>
    <x v="12"/>
    <x v="2"/>
    <d v="2025-07-08T00:00:00"/>
    <x v="0"/>
    <n v="6385.95"/>
    <n v="0"/>
    <x v="4"/>
    <n v="0"/>
    <x v="2055"/>
    <n v="19157.849999999999"/>
    <x v="11"/>
    <n v="2025"/>
  </r>
  <r>
    <s v="TXN02057"/>
    <x v="10"/>
    <x v="4"/>
    <x v="18"/>
    <x v="5"/>
    <d v="2024-04-12T00:00:00"/>
    <x v="5"/>
    <n v="12311.1"/>
    <n v="5"/>
    <x v="5"/>
    <n v="1231.1099999999999"/>
    <x v="2056"/>
    <n v="23391.09"/>
    <x v="1"/>
    <n v="2024"/>
  </r>
  <r>
    <s v="TXN02058"/>
    <x v="13"/>
    <x v="2"/>
    <x v="22"/>
    <x v="5"/>
    <d v="2024-12-31T00:00:00"/>
    <x v="2"/>
    <n v="1028.68"/>
    <n v="5"/>
    <x v="5"/>
    <n v="411.47"/>
    <x v="2057"/>
    <n v="7817.97"/>
    <x v="3"/>
    <n v="2024"/>
  </r>
  <r>
    <s v="TXN02059"/>
    <x v="8"/>
    <x v="0"/>
    <x v="0"/>
    <x v="6"/>
    <d v="2025-11-14T00:00:00"/>
    <x v="7"/>
    <n v="67791.740000000005"/>
    <n v="5"/>
    <x v="1"/>
    <n v="16947.939999999999"/>
    <x v="2058"/>
    <n v="322010.76"/>
    <x v="8"/>
    <n v="2025"/>
  </r>
  <r>
    <s v="TXN02060"/>
    <x v="0"/>
    <x v="1"/>
    <x v="12"/>
    <x v="4"/>
    <d v="2024-08-02T00:00:00"/>
    <x v="1"/>
    <n v="5598.94"/>
    <n v="15"/>
    <x v="0"/>
    <n v="3359.36"/>
    <x v="2059"/>
    <n v="19036.400000000001"/>
    <x v="0"/>
    <n v="2024"/>
  </r>
  <r>
    <s v="TXN02061"/>
    <x v="2"/>
    <x v="0"/>
    <x v="24"/>
    <x v="6"/>
    <d v="2024-02-02T00:00:00"/>
    <x v="5"/>
    <n v="7570.05"/>
    <n v="5"/>
    <x v="3"/>
    <n v="757.01"/>
    <x v="2060"/>
    <n v="14383.09"/>
    <x v="2"/>
    <n v="2024"/>
  </r>
  <r>
    <s v="TXN02062"/>
    <x v="4"/>
    <x v="3"/>
    <x v="20"/>
    <x v="2"/>
    <d v="2024-06-06T00:00:00"/>
    <x v="5"/>
    <n v="3879.42"/>
    <n v="5"/>
    <x v="2"/>
    <n v="387.94"/>
    <x v="2061"/>
    <n v="7370.9"/>
    <x v="5"/>
    <n v="2024"/>
  </r>
  <r>
    <s v="TXN02063"/>
    <x v="13"/>
    <x v="4"/>
    <x v="23"/>
    <x v="4"/>
    <d v="2024-02-05T00:00:00"/>
    <x v="6"/>
    <n v="9437.74"/>
    <n v="15"/>
    <x v="5"/>
    <n v="12740.95"/>
    <x v="2062"/>
    <n v="72198.710000000006"/>
    <x v="2"/>
    <n v="2024"/>
  </r>
  <r>
    <s v="TXN02064"/>
    <x v="10"/>
    <x v="0"/>
    <x v="0"/>
    <x v="4"/>
    <d v="2024-03-15T00:00:00"/>
    <x v="0"/>
    <n v="65244.61"/>
    <n v="15"/>
    <x v="0"/>
    <n v="29360.07"/>
    <x v="2063"/>
    <n v="166373.76000000001"/>
    <x v="6"/>
    <n v="2024"/>
  </r>
  <r>
    <s v="TXN02065"/>
    <x v="5"/>
    <x v="1"/>
    <x v="13"/>
    <x v="2"/>
    <d v="2025-04-08T00:00:00"/>
    <x v="0"/>
    <n v="13286.33"/>
    <n v="20"/>
    <x v="5"/>
    <n v="7971.8"/>
    <x v="2064"/>
    <n v="31887.19"/>
    <x v="1"/>
    <n v="2025"/>
  </r>
  <r>
    <s v="TXN02066"/>
    <x v="2"/>
    <x v="2"/>
    <x v="11"/>
    <x v="5"/>
    <d v="2024-06-25T00:00:00"/>
    <x v="9"/>
    <n v="5545.86"/>
    <n v="15"/>
    <x v="2"/>
    <n v="8318.7900000000009"/>
    <x v="197"/>
    <n v="47139.81"/>
    <x v="5"/>
    <n v="2024"/>
  </r>
  <r>
    <s v="TXN02067"/>
    <x v="5"/>
    <x v="3"/>
    <x v="20"/>
    <x v="6"/>
    <d v="2024-01-21T00:00:00"/>
    <x v="1"/>
    <n v="3505.09"/>
    <n v="15"/>
    <x v="0"/>
    <n v="2103.0500000000002"/>
    <x v="2065"/>
    <n v="11917.31"/>
    <x v="10"/>
    <n v="2024"/>
  </r>
  <r>
    <s v="TXN02068"/>
    <x v="14"/>
    <x v="2"/>
    <x v="9"/>
    <x v="1"/>
    <d v="2025-12-12T00:00:00"/>
    <x v="0"/>
    <n v="5569.78"/>
    <n v="5"/>
    <x v="7"/>
    <n v="835.47"/>
    <x v="2066"/>
    <n v="15873.87"/>
    <x v="3"/>
    <n v="2025"/>
  </r>
  <r>
    <s v="TXN02069"/>
    <x v="9"/>
    <x v="2"/>
    <x v="10"/>
    <x v="5"/>
    <d v="2025-10-27T00:00:00"/>
    <x v="9"/>
    <n v="2964.81"/>
    <n v="5"/>
    <x v="2"/>
    <n v="1482.4"/>
    <x v="2067"/>
    <n v="28165.7"/>
    <x v="4"/>
    <n v="2025"/>
  </r>
  <r>
    <s v="TXN02070"/>
    <x v="7"/>
    <x v="0"/>
    <x v="1"/>
    <x v="6"/>
    <d v="2024-05-09T00:00:00"/>
    <x v="1"/>
    <n v="3381"/>
    <n v="20"/>
    <x v="0"/>
    <n v="2704.8"/>
    <x v="2068"/>
    <n v="10819.2"/>
    <x v="9"/>
    <n v="2024"/>
  </r>
  <r>
    <s v="TXN02071"/>
    <x v="14"/>
    <x v="2"/>
    <x v="11"/>
    <x v="1"/>
    <d v="2025-07-05T00:00:00"/>
    <x v="6"/>
    <n v="4604.46"/>
    <n v="20"/>
    <x v="0"/>
    <n v="8288.0300000000007"/>
    <x v="2069"/>
    <n v="33152.11"/>
    <x v="11"/>
    <n v="2025"/>
  </r>
  <r>
    <s v="TXN02072"/>
    <x v="5"/>
    <x v="2"/>
    <x v="10"/>
    <x v="0"/>
    <d v="2025-07-16T00:00:00"/>
    <x v="0"/>
    <n v="2767.57"/>
    <n v="0"/>
    <x v="5"/>
    <n v="0"/>
    <x v="2070"/>
    <n v="8302.7099999999991"/>
    <x v="11"/>
    <n v="2025"/>
  </r>
  <r>
    <s v="TXN02073"/>
    <x v="4"/>
    <x v="4"/>
    <x v="23"/>
    <x v="3"/>
    <d v="2024-05-23T00:00:00"/>
    <x v="1"/>
    <n v="10746.94"/>
    <n v="0"/>
    <x v="0"/>
    <n v="0"/>
    <x v="2071"/>
    <n v="42987.76"/>
    <x v="9"/>
    <n v="2024"/>
  </r>
  <r>
    <s v="TXN02074"/>
    <x v="12"/>
    <x v="2"/>
    <x v="5"/>
    <x v="5"/>
    <d v="2025-03-08T00:00:00"/>
    <x v="6"/>
    <n v="1104.05"/>
    <n v="10"/>
    <x v="7"/>
    <n v="993.65"/>
    <x v="2072"/>
    <n v="8942.7999999999993"/>
    <x v="6"/>
    <n v="2025"/>
  </r>
  <r>
    <s v="TXN02075"/>
    <x v="8"/>
    <x v="4"/>
    <x v="18"/>
    <x v="0"/>
    <d v="2024-01-31T00:00:00"/>
    <x v="8"/>
    <n v="13096.44"/>
    <n v="0"/>
    <x v="5"/>
    <n v="0"/>
    <x v="2073"/>
    <n v="13096.44"/>
    <x v="10"/>
    <n v="2024"/>
  </r>
  <r>
    <s v="TXN02076"/>
    <x v="6"/>
    <x v="0"/>
    <x v="0"/>
    <x v="0"/>
    <d v="2025-10-14T00:00:00"/>
    <x v="9"/>
    <n v="65799"/>
    <n v="5"/>
    <x v="3"/>
    <n v="32899.5"/>
    <x v="2074"/>
    <n v="625090.5"/>
    <x v="4"/>
    <n v="2025"/>
  </r>
  <r>
    <s v="TXN02077"/>
    <x v="11"/>
    <x v="4"/>
    <x v="17"/>
    <x v="3"/>
    <d v="2024-02-28T00:00:00"/>
    <x v="9"/>
    <n v="3172.61"/>
    <n v="5"/>
    <x v="5"/>
    <n v="1586.31"/>
    <x v="2075"/>
    <n v="30139.79"/>
    <x v="2"/>
    <n v="2024"/>
  </r>
  <r>
    <s v="TXN02078"/>
    <x v="1"/>
    <x v="3"/>
    <x v="20"/>
    <x v="2"/>
    <d v="2025-05-31T00:00:00"/>
    <x v="7"/>
    <n v="3808.46"/>
    <n v="10"/>
    <x v="7"/>
    <n v="1904.23"/>
    <x v="2076"/>
    <n v="17138.07"/>
    <x v="9"/>
    <n v="2025"/>
  </r>
  <r>
    <s v="TXN02079"/>
    <x v="9"/>
    <x v="1"/>
    <x v="12"/>
    <x v="3"/>
    <d v="2025-09-06T00:00:00"/>
    <x v="9"/>
    <n v="6210.02"/>
    <n v="10"/>
    <x v="3"/>
    <n v="6210.02"/>
    <x v="2077"/>
    <n v="55890.18"/>
    <x v="7"/>
    <n v="2025"/>
  </r>
  <r>
    <s v="TXN02080"/>
    <x v="14"/>
    <x v="4"/>
    <x v="14"/>
    <x v="3"/>
    <d v="2024-06-03T00:00:00"/>
    <x v="0"/>
    <n v="1659.13"/>
    <n v="10"/>
    <x v="7"/>
    <n v="497.74"/>
    <x v="2078"/>
    <n v="4479.6499999999996"/>
    <x v="5"/>
    <n v="2024"/>
  </r>
  <r>
    <s v="TXN02081"/>
    <x v="10"/>
    <x v="2"/>
    <x v="11"/>
    <x v="1"/>
    <d v="2025-01-23T00:00:00"/>
    <x v="2"/>
    <n v="4550.4799999999996"/>
    <n v="15"/>
    <x v="5"/>
    <n v="5460.58"/>
    <x v="2079"/>
    <n v="30943.26"/>
    <x v="10"/>
    <n v="2025"/>
  </r>
  <r>
    <s v="TXN02082"/>
    <x v="13"/>
    <x v="4"/>
    <x v="17"/>
    <x v="6"/>
    <d v="2024-01-03T00:00:00"/>
    <x v="7"/>
    <n v="3925.07"/>
    <n v="15"/>
    <x v="1"/>
    <n v="2943.8"/>
    <x v="2080"/>
    <n v="16681.55"/>
    <x v="10"/>
    <n v="2024"/>
  </r>
  <r>
    <s v="TXN02083"/>
    <x v="6"/>
    <x v="3"/>
    <x v="20"/>
    <x v="0"/>
    <d v="2025-06-26T00:00:00"/>
    <x v="0"/>
    <n v="3504.54"/>
    <n v="20"/>
    <x v="4"/>
    <n v="2102.7199999999998"/>
    <x v="2081"/>
    <n v="8410.9"/>
    <x v="5"/>
    <n v="2025"/>
  </r>
  <r>
    <s v="TXN02084"/>
    <x v="1"/>
    <x v="0"/>
    <x v="6"/>
    <x v="4"/>
    <d v="2025-06-07T00:00:00"/>
    <x v="1"/>
    <n v="28691.67"/>
    <n v="10"/>
    <x v="4"/>
    <n v="11476.67"/>
    <x v="2082"/>
    <n v="103290.01"/>
    <x v="5"/>
    <n v="2025"/>
  </r>
  <r>
    <s v="TXN02085"/>
    <x v="5"/>
    <x v="0"/>
    <x v="3"/>
    <x v="3"/>
    <d v="2025-08-13T00:00:00"/>
    <x v="4"/>
    <n v="19483.2"/>
    <n v="20"/>
    <x v="3"/>
    <n v="27276.48"/>
    <x v="2083"/>
    <n v="109105.92"/>
    <x v="0"/>
    <n v="2025"/>
  </r>
  <r>
    <s v="TXN02086"/>
    <x v="13"/>
    <x v="0"/>
    <x v="24"/>
    <x v="5"/>
    <d v="2024-09-03T00:00:00"/>
    <x v="4"/>
    <n v="7353.68"/>
    <n v="20"/>
    <x v="0"/>
    <n v="10295.15"/>
    <x v="2084"/>
    <n v="41180.61"/>
    <x v="7"/>
    <n v="2024"/>
  </r>
  <r>
    <s v="TXN02087"/>
    <x v="12"/>
    <x v="2"/>
    <x v="9"/>
    <x v="0"/>
    <d v="2025-10-01T00:00:00"/>
    <x v="6"/>
    <n v="4683.6499999999996"/>
    <n v="0"/>
    <x v="1"/>
    <n v="0"/>
    <x v="2085"/>
    <n v="42152.85"/>
    <x v="4"/>
    <n v="2025"/>
  </r>
  <r>
    <s v="TXN02088"/>
    <x v="10"/>
    <x v="0"/>
    <x v="3"/>
    <x v="1"/>
    <d v="2025-02-05T00:00:00"/>
    <x v="7"/>
    <n v="19957.04"/>
    <n v="0"/>
    <x v="7"/>
    <n v="0"/>
    <x v="2086"/>
    <n v="99785.2"/>
    <x v="2"/>
    <n v="2025"/>
  </r>
  <r>
    <s v="TXN02089"/>
    <x v="0"/>
    <x v="2"/>
    <x v="11"/>
    <x v="1"/>
    <d v="2025-10-02T00:00:00"/>
    <x v="7"/>
    <n v="6272.96"/>
    <n v="5"/>
    <x v="4"/>
    <n v="1568.24"/>
    <x v="2087"/>
    <n v="29796.560000000001"/>
    <x v="4"/>
    <n v="2025"/>
  </r>
  <r>
    <s v="TXN02090"/>
    <x v="11"/>
    <x v="2"/>
    <x v="9"/>
    <x v="4"/>
    <d v="2025-01-22T00:00:00"/>
    <x v="1"/>
    <n v="4644.3599999999997"/>
    <n v="0"/>
    <x v="0"/>
    <n v="0"/>
    <x v="2088"/>
    <n v="18577.439999999999"/>
    <x v="10"/>
    <n v="2025"/>
  </r>
  <r>
    <s v="TXN02091"/>
    <x v="2"/>
    <x v="4"/>
    <x v="19"/>
    <x v="4"/>
    <d v="2024-05-24T00:00:00"/>
    <x v="4"/>
    <n v="8438.15"/>
    <n v="10"/>
    <x v="7"/>
    <n v="5906.71"/>
    <x v="2089"/>
    <n v="53160.34"/>
    <x v="9"/>
    <n v="2024"/>
  </r>
  <r>
    <s v="TXN02092"/>
    <x v="12"/>
    <x v="1"/>
    <x v="8"/>
    <x v="2"/>
    <d v="2025-02-21T00:00:00"/>
    <x v="7"/>
    <n v="37585.93"/>
    <n v="5"/>
    <x v="4"/>
    <n v="9396.48"/>
    <x v="2090"/>
    <n v="178533.17"/>
    <x v="2"/>
    <n v="2025"/>
  </r>
  <r>
    <s v="TXN02093"/>
    <x v="3"/>
    <x v="4"/>
    <x v="18"/>
    <x v="2"/>
    <d v="2024-08-07T00:00:00"/>
    <x v="5"/>
    <n v="11728.76"/>
    <n v="10"/>
    <x v="2"/>
    <n v="2345.75"/>
    <x v="2091"/>
    <n v="21111.77"/>
    <x v="0"/>
    <n v="2024"/>
  </r>
  <r>
    <s v="TXN02094"/>
    <x v="4"/>
    <x v="0"/>
    <x v="24"/>
    <x v="1"/>
    <d v="2024-10-25T00:00:00"/>
    <x v="4"/>
    <n v="7231.59"/>
    <n v="10"/>
    <x v="2"/>
    <n v="5062.1099999999997"/>
    <x v="2092"/>
    <n v="45559.02"/>
    <x v="4"/>
    <n v="2024"/>
  </r>
  <r>
    <s v="TXN02095"/>
    <x v="7"/>
    <x v="3"/>
    <x v="15"/>
    <x v="5"/>
    <d v="2025-11-22T00:00:00"/>
    <x v="3"/>
    <n v="866.78"/>
    <n v="5"/>
    <x v="0"/>
    <n v="260.02999999999997"/>
    <x v="2093"/>
    <n v="4940.6499999999996"/>
    <x v="8"/>
    <n v="2025"/>
  </r>
  <r>
    <s v="TXN02096"/>
    <x v="4"/>
    <x v="3"/>
    <x v="7"/>
    <x v="2"/>
    <d v="2025-11-15T00:00:00"/>
    <x v="5"/>
    <n v="2014.57"/>
    <n v="10"/>
    <x v="1"/>
    <n v="402.91"/>
    <x v="2094"/>
    <n v="3626.23"/>
    <x v="8"/>
    <n v="2025"/>
  </r>
  <r>
    <s v="TXN02097"/>
    <x v="4"/>
    <x v="4"/>
    <x v="19"/>
    <x v="0"/>
    <d v="2024-08-19T00:00:00"/>
    <x v="5"/>
    <n v="7936.74"/>
    <n v="20"/>
    <x v="1"/>
    <n v="3174.7"/>
    <x v="2095"/>
    <n v="12698.78"/>
    <x v="0"/>
    <n v="2024"/>
  </r>
  <r>
    <s v="TXN02098"/>
    <x v="7"/>
    <x v="2"/>
    <x v="11"/>
    <x v="3"/>
    <d v="2024-12-05T00:00:00"/>
    <x v="0"/>
    <n v="5590.31"/>
    <n v="0"/>
    <x v="4"/>
    <n v="0"/>
    <x v="2096"/>
    <n v="16770.93"/>
    <x v="3"/>
    <n v="2024"/>
  </r>
  <r>
    <s v="TXN02099"/>
    <x v="5"/>
    <x v="3"/>
    <x v="15"/>
    <x v="2"/>
    <d v="2024-10-25T00:00:00"/>
    <x v="1"/>
    <n v="837.02"/>
    <n v="5"/>
    <x v="1"/>
    <n v="167.4"/>
    <x v="2097"/>
    <n v="3180.68"/>
    <x v="4"/>
    <n v="2024"/>
  </r>
  <r>
    <s v="TXN02100"/>
    <x v="2"/>
    <x v="1"/>
    <x v="4"/>
    <x v="3"/>
    <d v="2025-08-24T00:00:00"/>
    <x v="3"/>
    <n v="8966.9599999999991"/>
    <n v="0"/>
    <x v="4"/>
    <n v="0"/>
    <x v="2098"/>
    <n v="53801.760000000002"/>
    <x v="0"/>
    <n v="2025"/>
  </r>
  <r>
    <s v="TXN02101"/>
    <x v="10"/>
    <x v="4"/>
    <x v="18"/>
    <x v="4"/>
    <d v="2024-04-02T00:00:00"/>
    <x v="5"/>
    <n v="12933.92"/>
    <n v="15"/>
    <x v="7"/>
    <n v="3880.18"/>
    <x v="2099"/>
    <n v="21987.66"/>
    <x v="1"/>
    <n v="2024"/>
  </r>
  <r>
    <s v="TXN02102"/>
    <x v="0"/>
    <x v="2"/>
    <x v="9"/>
    <x v="3"/>
    <d v="2025-07-11T00:00:00"/>
    <x v="8"/>
    <n v="4732.26"/>
    <n v="5"/>
    <x v="7"/>
    <n v="236.61"/>
    <x v="2100"/>
    <n v="4495.6499999999996"/>
    <x v="11"/>
    <n v="2025"/>
  </r>
  <r>
    <s v="TXN02103"/>
    <x v="6"/>
    <x v="1"/>
    <x v="8"/>
    <x v="2"/>
    <d v="2025-05-19T00:00:00"/>
    <x v="1"/>
    <n v="37347.07"/>
    <n v="10"/>
    <x v="0"/>
    <n v="14938.83"/>
    <x v="2101"/>
    <n v="134449.45000000001"/>
    <x v="9"/>
    <n v="2025"/>
  </r>
  <r>
    <s v="TXN02104"/>
    <x v="14"/>
    <x v="1"/>
    <x v="12"/>
    <x v="5"/>
    <d v="2024-03-19T00:00:00"/>
    <x v="5"/>
    <n v="6777.2"/>
    <n v="20"/>
    <x v="1"/>
    <n v="2710.88"/>
    <x v="2102"/>
    <n v="10843.52"/>
    <x v="6"/>
    <n v="2024"/>
  </r>
  <r>
    <s v="TXN02105"/>
    <x v="10"/>
    <x v="2"/>
    <x v="9"/>
    <x v="0"/>
    <d v="2024-04-07T00:00:00"/>
    <x v="2"/>
    <n v="5130.83"/>
    <n v="15"/>
    <x v="2"/>
    <n v="6157"/>
    <x v="2103"/>
    <n v="34889.64"/>
    <x v="1"/>
    <n v="2024"/>
  </r>
  <r>
    <s v="TXN02106"/>
    <x v="14"/>
    <x v="2"/>
    <x v="11"/>
    <x v="1"/>
    <d v="2024-07-08T00:00:00"/>
    <x v="1"/>
    <n v="5525.44"/>
    <n v="0"/>
    <x v="1"/>
    <n v="0"/>
    <x v="2104"/>
    <n v="22101.759999999998"/>
    <x v="11"/>
    <n v="2024"/>
  </r>
  <r>
    <s v="TXN02107"/>
    <x v="3"/>
    <x v="2"/>
    <x v="10"/>
    <x v="3"/>
    <d v="2024-04-24T00:00:00"/>
    <x v="6"/>
    <n v="2329.94"/>
    <n v="20"/>
    <x v="2"/>
    <n v="4193.8900000000003"/>
    <x v="2105"/>
    <n v="16775.57"/>
    <x v="1"/>
    <n v="2024"/>
  </r>
  <r>
    <s v="TXN02108"/>
    <x v="2"/>
    <x v="2"/>
    <x v="10"/>
    <x v="2"/>
    <d v="2024-12-07T00:00:00"/>
    <x v="2"/>
    <n v="2912.82"/>
    <n v="15"/>
    <x v="2"/>
    <n v="3495.38"/>
    <x v="2106"/>
    <n v="19807.18"/>
    <x v="3"/>
    <n v="2024"/>
  </r>
  <r>
    <s v="TXN02109"/>
    <x v="4"/>
    <x v="3"/>
    <x v="20"/>
    <x v="6"/>
    <d v="2025-03-01T00:00:00"/>
    <x v="8"/>
    <n v="3922"/>
    <n v="5"/>
    <x v="7"/>
    <n v="196.1"/>
    <x v="2107"/>
    <n v="3725.9"/>
    <x v="6"/>
    <n v="2025"/>
  </r>
  <r>
    <s v="TXN02110"/>
    <x v="12"/>
    <x v="4"/>
    <x v="19"/>
    <x v="3"/>
    <d v="2024-05-17T00:00:00"/>
    <x v="8"/>
    <n v="7352.5"/>
    <n v="20"/>
    <x v="5"/>
    <n v="1470.5"/>
    <x v="2108"/>
    <n v="5882"/>
    <x v="9"/>
    <n v="2024"/>
  </r>
  <r>
    <s v="TXN02111"/>
    <x v="4"/>
    <x v="0"/>
    <x v="0"/>
    <x v="6"/>
    <d v="2024-04-21T00:00:00"/>
    <x v="6"/>
    <n v="63248.959999999999"/>
    <n v="5"/>
    <x v="4"/>
    <n v="28462.03"/>
    <x v="2109"/>
    <n v="540778.61"/>
    <x v="1"/>
    <n v="2024"/>
  </r>
  <r>
    <s v="TXN02112"/>
    <x v="11"/>
    <x v="4"/>
    <x v="14"/>
    <x v="0"/>
    <d v="2025-08-23T00:00:00"/>
    <x v="0"/>
    <n v="1633.7"/>
    <n v="15"/>
    <x v="1"/>
    <n v="735.17"/>
    <x v="2110"/>
    <n v="4165.93"/>
    <x v="0"/>
    <n v="2025"/>
  </r>
  <r>
    <s v="TXN02113"/>
    <x v="4"/>
    <x v="1"/>
    <x v="13"/>
    <x v="2"/>
    <d v="2024-08-08T00:00:00"/>
    <x v="9"/>
    <n v="12605.89"/>
    <n v="5"/>
    <x v="3"/>
    <n v="6302.94"/>
    <x v="2111"/>
    <n v="119755.96"/>
    <x v="0"/>
    <n v="2024"/>
  </r>
  <r>
    <s v="TXN02114"/>
    <x v="11"/>
    <x v="0"/>
    <x v="6"/>
    <x v="0"/>
    <d v="2024-12-11T00:00:00"/>
    <x v="4"/>
    <n v="25277.62"/>
    <n v="10"/>
    <x v="5"/>
    <n v="17694.330000000002"/>
    <x v="2112"/>
    <n v="159249.01"/>
    <x v="3"/>
    <n v="2024"/>
  </r>
  <r>
    <s v="TXN02115"/>
    <x v="7"/>
    <x v="0"/>
    <x v="3"/>
    <x v="6"/>
    <d v="2024-02-13T00:00:00"/>
    <x v="3"/>
    <n v="19037.150000000001"/>
    <n v="10"/>
    <x v="2"/>
    <n v="11422.29"/>
    <x v="2113"/>
    <n v="102800.61"/>
    <x v="2"/>
    <n v="2024"/>
  </r>
  <r>
    <s v="TXN02116"/>
    <x v="14"/>
    <x v="1"/>
    <x v="2"/>
    <x v="5"/>
    <d v="2025-03-21T00:00:00"/>
    <x v="8"/>
    <n v="25745.87"/>
    <n v="0"/>
    <x v="2"/>
    <n v="0"/>
    <x v="2114"/>
    <n v="25745.87"/>
    <x v="6"/>
    <n v="2025"/>
  </r>
  <r>
    <s v="TXN02117"/>
    <x v="1"/>
    <x v="0"/>
    <x v="6"/>
    <x v="3"/>
    <d v="2024-02-13T00:00:00"/>
    <x v="1"/>
    <n v="27967.68"/>
    <n v="0"/>
    <x v="1"/>
    <n v="0"/>
    <x v="2115"/>
    <n v="111870.72"/>
    <x v="2"/>
    <n v="2024"/>
  </r>
  <r>
    <s v="TXN02118"/>
    <x v="3"/>
    <x v="2"/>
    <x v="5"/>
    <x v="5"/>
    <d v="2025-09-14T00:00:00"/>
    <x v="5"/>
    <n v="1325.45"/>
    <n v="0"/>
    <x v="2"/>
    <n v="0"/>
    <x v="2116"/>
    <n v="2650.9"/>
    <x v="7"/>
    <n v="2025"/>
  </r>
  <r>
    <s v="TXN02119"/>
    <x v="8"/>
    <x v="4"/>
    <x v="18"/>
    <x v="5"/>
    <d v="2024-11-24T00:00:00"/>
    <x v="1"/>
    <n v="12209.82"/>
    <n v="5"/>
    <x v="7"/>
    <n v="2441.96"/>
    <x v="2117"/>
    <n v="46397.32"/>
    <x v="8"/>
    <n v="2024"/>
  </r>
  <r>
    <s v="TXN02120"/>
    <x v="14"/>
    <x v="1"/>
    <x v="4"/>
    <x v="0"/>
    <d v="2024-02-23T00:00:00"/>
    <x v="4"/>
    <n v="8218.15"/>
    <n v="5"/>
    <x v="5"/>
    <n v="2876.35"/>
    <x v="2118"/>
    <n v="54650.7"/>
    <x v="2"/>
    <n v="2024"/>
  </r>
  <r>
    <s v="TXN02121"/>
    <x v="6"/>
    <x v="4"/>
    <x v="14"/>
    <x v="5"/>
    <d v="2025-03-10T00:00:00"/>
    <x v="6"/>
    <n v="1591.56"/>
    <n v="5"/>
    <x v="6"/>
    <n v="716.2"/>
    <x v="2119"/>
    <n v="13607.84"/>
    <x v="6"/>
    <n v="2025"/>
  </r>
  <r>
    <s v="TXN02122"/>
    <x v="9"/>
    <x v="2"/>
    <x v="5"/>
    <x v="3"/>
    <d v="2024-10-24T00:00:00"/>
    <x v="8"/>
    <n v="1226.22"/>
    <n v="10"/>
    <x v="4"/>
    <n v="122.62"/>
    <x v="2120"/>
    <n v="1103.5999999999999"/>
    <x v="4"/>
    <n v="2024"/>
  </r>
  <r>
    <s v="TXN02123"/>
    <x v="10"/>
    <x v="2"/>
    <x v="10"/>
    <x v="6"/>
    <d v="2024-07-17T00:00:00"/>
    <x v="3"/>
    <n v="2436.5300000000002"/>
    <n v="15"/>
    <x v="6"/>
    <n v="2192.88"/>
    <x v="2121"/>
    <n v="12426.3"/>
    <x v="11"/>
    <n v="2024"/>
  </r>
  <r>
    <s v="TXN02124"/>
    <x v="7"/>
    <x v="2"/>
    <x v="11"/>
    <x v="5"/>
    <d v="2024-08-05T00:00:00"/>
    <x v="1"/>
    <n v="5306.42"/>
    <n v="20"/>
    <x v="1"/>
    <n v="4245.1400000000003"/>
    <x v="2122"/>
    <n v="16980.54"/>
    <x v="0"/>
    <n v="2024"/>
  </r>
  <r>
    <s v="TXN02125"/>
    <x v="6"/>
    <x v="0"/>
    <x v="0"/>
    <x v="2"/>
    <d v="2025-04-07T00:00:00"/>
    <x v="8"/>
    <n v="68342.33"/>
    <n v="0"/>
    <x v="5"/>
    <n v="0"/>
    <x v="2123"/>
    <n v="68342.33"/>
    <x v="1"/>
    <n v="2025"/>
  </r>
  <r>
    <s v="TXN02126"/>
    <x v="12"/>
    <x v="2"/>
    <x v="22"/>
    <x v="6"/>
    <d v="2024-10-23T00:00:00"/>
    <x v="7"/>
    <n v="1033.0899999999999"/>
    <n v="0"/>
    <x v="7"/>
    <n v="0"/>
    <x v="2124"/>
    <n v="5165.45"/>
    <x v="4"/>
    <n v="2024"/>
  </r>
  <r>
    <s v="TXN02127"/>
    <x v="12"/>
    <x v="4"/>
    <x v="19"/>
    <x v="3"/>
    <d v="2025-02-16T00:00:00"/>
    <x v="9"/>
    <n v="8612.32"/>
    <n v="20"/>
    <x v="3"/>
    <n v="17224.64"/>
    <x v="2125"/>
    <n v="68898.559999999998"/>
    <x v="2"/>
    <n v="2025"/>
  </r>
  <r>
    <s v="TXN02128"/>
    <x v="12"/>
    <x v="4"/>
    <x v="14"/>
    <x v="3"/>
    <d v="2025-11-03T00:00:00"/>
    <x v="7"/>
    <n v="1827.49"/>
    <n v="20"/>
    <x v="2"/>
    <n v="1827.49"/>
    <x v="2126"/>
    <n v="7309.96"/>
    <x v="8"/>
    <n v="2025"/>
  </r>
  <r>
    <s v="TXN02129"/>
    <x v="6"/>
    <x v="2"/>
    <x v="9"/>
    <x v="6"/>
    <d v="2024-05-28T00:00:00"/>
    <x v="6"/>
    <n v="4931.47"/>
    <n v="20"/>
    <x v="4"/>
    <n v="8876.65"/>
    <x v="2127"/>
    <n v="35506.58"/>
    <x v="9"/>
    <n v="2024"/>
  </r>
  <r>
    <s v="TXN02130"/>
    <x v="2"/>
    <x v="4"/>
    <x v="14"/>
    <x v="4"/>
    <d v="2025-08-01T00:00:00"/>
    <x v="5"/>
    <n v="1460.4"/>
    <n v="20"/>
    <x v="5"/>
    <n v="584.16"/>
    <x v="2128"/>
    <n v="2336.64"/>
    <x v="0"/>
    <n v="2025"/>
  </r>
  <r>
    <s v="TXN02131"/>
    <x v="12"/>
    <x v="3"/>
    <x v="21"/>
    <x v="3"/>
    <d v="2024-06-28T00:00:00"/>
    <x v="1"/>
    <n v="2317.7199999999998"/>
    <n v="5"/>
    <x v="0"/>
    <n v="463.54"/>
    <x v="2129"/>
    <n v="8807.34"/>
    <x v="5"/>
    <n v="2024"/>
  </r>
  <r>
    <s v="TXN02132"/>
    <x v="10"/>
    <x v="3"/>
    <x v="7"/>
    <x v="5"/>
    <d v="2025-07-31T00:00:00"/>
    <x v="6"/>
    <n v="2052.2800000000002"/>
    <n v="0"/>
    <x v="2"/>
    <n v="0"/>
    <x v="2130"/>
    <n v="18470.52"/>
    <x v="11"/>
    <n v="2025"/>
  </r>
  <r>
    <s v="TXN02133"/>
    <x v="0"/>
    <x v="4"/>
    <x v="14"/>
    <x v="1"/>
    <d v="2024-06-07T00:00:00"/>
    <x v="4"/>
    <n v="1590.09"/>
    <n v="15"/>
    <x v="6"/>
    <n v="1669.59"/>
    <x v="2131"/>
    <n v="9461.0400000000009"/>
    <x v="5"/>
    <n v="2024"/>
  </r>
  <r>
    <s v="TXN02134"/>
    <x v="8"/>
    <x v="4"/>
    <x v="17"/>
    <x v="5"/>
    <d v="2024-08-09T00:00:00"/>
    <x v="7"/>
    <n v="3641.45"/>
    <n v="5"/>
    <x v="3"/>
    <n v="910.36"/>
    <x v="2132"/>
    <n v="17296.89"/>
    <x v="0"/>
    <n v="2024"/>
  </r>
  <r>
    <s v="TXN02135"/>
    <x v="2"/>
    <x v="2"/>
    <x v="11"/>
    <x v="0"/>
    <d v="2025-10-27T00:00:00"/>
    <x v="1"/>
    <n v="6185.47"/>
    <n v="20"/>
    <x v="5"/>
    <n v="4948.38"/>
    <x v="2133"/>
    <n v="19793.5"/>
    <x v="4"/>
    <n v="2025"/>
  </r>
  <r>
    <s v="TXN02136"/>
    <x v="10"/>
    <x v="1"/>
    <x v="8"/>
    <x v="1"/>
    <d v="2024-01-04T00:00:00"/>
    <x v="3"/>
    <n v="45600.21"/>
    <n v="0"/>
    <x v="4"/>
    <n v="0"/>
    <x v="2134"/>
    <n v="273601.26"/>
    <x v="10"/>
    <n v="2024"/>
  </r>
  <r>
    <s v="TXN02137"/>
    <x v="12"/>
    <x v="1"/>
    <x v="8"/>
    <x v="5"/>
    <d v="2024-01-31T00:00:00"/>
    <x v="6"/>
    <n v="44045.85"/>
    <n v="5"/>
    <x v="5"/>
    <n v="19820.63"/>
    <x v="2135"/>
    <n v="376592.02"/>
    <x v="10"/>
    <n v="2024"/>
  </r>
  <r>
    <s v="TXN02138"/>
    <x v="10"/>
    <x v="4"/>
    <x v="14"/>
    <x v="0"/>
    <d v="2025-03-20T00:00:00"/>
    <x v="7"/>
    <n v="1385.06"/>
    <n v="20"/>
    <x v="3"/>
    <n v="1385.06"/>
    <x v="2136"/>
    <n v="5540.24"/>
    <x v="6"/>
    <n v="2025"/>
  </r>
  <r>
    <s v="TXN02139"/>
    <x v="1"/>
    <x v="4"/>
    <x v="14"/>
    <x v="0"/>
    <d v="2025-10-07T00:00:00"/>
    <x v="5"/>
    <n v="1865.93"/>
    <n v="5"/>
    <x v="2"/>
    <n v="186.59"/>
    <x v="2137"/>
    <n v="3545.27"/>
    <x v="4"/>
    <n v="2025"/>
  </r>
  <r>
    <s v="TXN02140"/>
    <x v="11"/>
    <x v="0"/>
    <x v="1"/>
    <x v="3"/>
    <d v="2024-04-10T00:00:00"/>
    <x v="0"/>
    <n v="3274.87"/>
    <n v="20"/>
    <x v="2"/>
    <n v="1964.92"/>
    <x v="2138"/>
    <n v="7859.69"/>
    <x v="1"/>
    <n v="2024"/>
  </r>
  <r>
    <s v="TXN02141"/>
    <x v="3"/>
    <x v="3"/>
    <x v="21"/>
    <x v="3"/>
    <d v="2024-09-14T00:00:00"/>
    <x v="1"/>
    <n v="2735.76"/>
    <n v="15"/>
    <x v="7"/>
    <n v="1641.46"/>
    <x v="2139"/>
    <n v="9301.58"/>
    <x v="7"/>
    <n v="2024"/>
  </r>
  <r>
    <s v="TXN02142"/>
    <x v="2"/>
    <x v="2"/>
    <x v="5"/>
    <x v="6"/>
    <d v="2025-06-05T00:00:00"/>
    <x v="7"/>
    <n v="1267.81"/>
    <n v="0"/>
    <x v="4"/>
    <n v="0"/>
    <x v="2140"/>
    <n v="6339.05"/>
    <x v="5"/>
    <n v="2025"/>
  </r>
  <r>
    <s v="TXN02143"/>
    <x v="11"/>
    <x v="0"/>
    <x v="6"/>
    <x v="3"/>
    <d v="2024-01-02T00:00:00"/>
    <x v="8"/>
    <n v="26673.23"/>
    <n v="20"/>
    <x v="0"/>
    <n v="5334.65"/>
    <x v="2141"/>
    <n v="21338.58"/>
    <x v="10"/>
    <n v="2024"/>
  </r>
  <r>
    <s v="TXN02144"/>
    <x v="1"/>
    <x v="4"/>
    <x v="14"/>
    <x v="5"/>
    <d v="2024-02-26T00:00:00"/>
    <x v="5"/>
    <n v="1662.64"/>
    <n v="15"/>
    <x v="7"/>
    <n v="498.79"/>
    <x v="2142"/>
    <n v="2826.49"/>
    <x v="2"/>
    <n v="2024"/>
  </r>
  <r>
    <s v="TXN02145"/>
    <x v="6"/>
    <x v="2"/>
    <x v="5"/>
    <x v="1"/>
    <d v="2025-09-18T00:00:00"/>
    <x v="3"/>
    <n v="1327.07"/>
    <n v="0"/>
    <x v="0"/>
    <n v="0"/>
    <x v="2143"/>
    <n v="7962.42"/>
    <x v="7"/>
    <n v="2025"/>
  </r>
  <r>
    <s v="TXN02146"/>
    <x v="1"/>
    <x v="0"/>
    <x v="0"/>
    <x v="6"/>
    <d v="2025-09-18T00:00:00"/>
    <x v="7"/>
    <n v="59801.7"/>
    <n v="20"/>
    <x v="1"/>
    <n v="59801.7"/>
    <x v="2144"/>
    <n v="239206.8"/>
    <x v="7"/>
    <n v="2025"/>
  </r>
  <r>
    <s v="TXN02147"/>
    <x v="13"/>
    <x v="0"/>
    <x v="3"/>
    <x v="5"/>
    <d v="2024-06-30T00:00:00"/>
    <x v="6"/>
    <n v="17081.55"/>
    <n v="20"/>
    <x v="2"/>
    <n v="30746.79"/>
    <x v="2145"/>
    <n v="122987.16"/>
    <x v="5"/>
    <n v="2024"/>
  </r>
  <r>
    <s v="TXN02148"/>
    <x v="8"/>
    <x v="4"/>
    <x v="23"/>
    <x v="4"/>
    <d v="2025-01-12T00:00:00"/>
    <x v="1"/>
    <n v="10593.76"/>
    <n v="10"/>
    <x v="1"/>
    <n v="4237.5"/>
    <x v="2146"/>
    <n v="38137.54"/>
    <x v="10"/>
    <n v="2025"/>
  </r>
  <r>
    <s v="TXN02149"/>
    <x v="11"/>
    <x v="0"/>
    <x v="24"/>
    <x v="5"/>
    <d v="2025-02-04T00:00:00"/>
    <x v="0"/>
    <n v="6401.82"/>
    <n v="15"/>
    <x v="4"/>
    <n v="2880.82"/>
    <x v="2147"/>
    <n v="16324.64"/>
    <x v="2"/>
    <n v="2025"/>
  </r>
  <r>
    <s v="TXN02150"/>
    <x v="10"/>
    <x v="1"/>
    <x v="2"/>
    <x v="3"/>
    <d v="2025-11-18T00:00:00"/>
    <x v="0"/>
    <n v="28849.65"/>
    <n v="10"/>
    <x v="2"/>
    <n v="8654.9"/>
    <x v="2148"/>
    <n v="77894.05"/>
    <x v="8"/>
    <n v="2025"/>
  </r>
  <r>
    <s v="TXN02151"/>
    <x v="10"/>
    <x v="0"/>
    <x v="1"/>
    <x v="1"/>
    <d v="2025-10-02T00:00:00"/>
    <x v="2"/>
    <n v="3731.33"/>
    <n v="0"/>
    <x v="6"/>
    <n v="0"/>
    <x v="2149"/>
    <n v="29850.639999999999"/>
    <x v="4"/>
    <n v="2025"/>
  </r>
  <r>
    <s v="TXN02152"/>
    <x v="0"/>
    <x v="1"/>
    <x v="8"/>
    <x v="6"/>
    <d v="2024-09-26T00:00:00"/>
    <x v="8"/>
    <n v="39972.79"/>
    <n v="20"/>
    <x v="7"/>
    <n v="7994.56"/>
    <x v="2150"/>
    <n v="31978.23"/>
    <x v="7"/>
    <n v="2024"/>
  </r>
  <r>
    <s v="TXN02153"/>
    <x v="6"/>
    <x v="2"/>
    <x v="22"/>
    <x v="4"/>
    <d v="2024-07-26T00:00:00"/>
    <x v="2"/>
    <n v="862.23"/>
    <n v="5"/>
    <x v="0"/>
    <n v="344.89"/>
    <x v="2151"/>
    <n v="6552.95"/>
    <x v="11"/>
    <n v="2024"/>
  </r>
  <r>
    <s v="TXN02154"/>
    <x v="0"/>
    <x v="3"/>
    <x v="20"/>
    <x v="4"/>
    <d v="2024-12-19T00:00:00"/>
    <x v="4"/>
    <n v="3569.64"/>
    <n v="20"/>
    <x v="0"/>
    <n v="4997.5"/>
    <x v="2152"/>
    <n v="19989.98"/>
    <x v="3"/>
    <n v="2024"/>
  </r>
  <r>
    <s v="TXN02155"/>
    <x v="13"/>
    <x v="0"/>
    <x v="24"/>
    <x v="4"/>
    <d v="2025-11-25T00:00:00"/>
    <x v="5"/>
    <n v="7081.29"/>
    <n v="5"/>
    <x v="3"/>
    <n v="708.13"/>
    <x v="2153"/>
    <n v="13454.45"/>
    <x v="8"/>
    <n v="2025"/>
  </r>
  <r>
    <s v="TXN02156"/>
    <x v="6"/>
    <x v="0"/>
    <x v="24"/>
    <x v="4"/>
    <d v="2024-08-31T00:00:00"/>
    <x v="6"/>
    <n v="8014.2"/>
    <n v="10"/>
    <x v="2"/>
    <n v="7212.78"/>
    <x v="2154"/>
    <n v="64915.02"/>
    <x v="0"/>
    <n v="2024"/>
  </r>
  <r>
    <s v="TXN02157"/>
    <x v="11"/>
    <x v="1"/>
    <x v="2"/>
    <x v="6"/>
    <d v="2025-01-20T00:00:00"/>
    <x v="5"/>
    <n v="23689.919999999998"/>
    <n v="15"/>
    <x v="5"/>
    <n v="7106.98"/>
    <x v="2155"/>
    <n v="40272.86"/>
    <x v="10"/>
    <n v="2025"/>
  </r>
  <r>
    <s v="TXN02158"/>
    <x v="5"/>
    <x v="0"/>
    <x v="1"/>
    <x v="0"/>
    <d v="2025-08-29T00:00:00"/>
    <x v="8"/>
    <n v="3244.49"/>
    <n v="5"/>
    <x v="4"/>
    <n v="162.22"/>
    <x v="2156"/>
    <n v="3082.27"/>
    <x v="0"/>
    <n v="2025"/>
  </r>
  <r>
    <s v="TXN02159"/>
    <x v="13"/>
    <x v="2"/>
    <x v="22"/>
    <x v="4"/>
    <d v="2024-10-28T00:00:00"/>
    <x v="6"/>
    <n v="901.64"/>
    <n v="0"/>
    <x v="2"/>
    <n v="0"/>
    <x v="2157"/>
    <n v="8114.76"/>
    <x v="4"/>
    <n v="2024"/>
  </r>
  <r>
    <s v="TXN02160"/>
    <x v="5"/>
    <x v="4"/>
    <x v="19"/>
    <x v="1"/>
    <d v="2025-04-07T00:00:00"/>
    <x v="1"/>
    <n v="8564.1"/>
    <n v="0"/>
    <x v="0"/>
    <n v="0"/>
    <x v="2158"/>
    <n v="34256.400000000001"/>
    <x v="1"/>
    <n v="2025"/>
  </r>
  <r>
    <s v="TXN02161"/>
    <x v="9"/>
    <x v="4"/>
    <x v="23"/>
    <x v="1"/>
    <d v="2025-04-19T00:00:00"/>
    <x v="2"/>
    <n v="10668.19"/>
    <n v="5"/>
    <x v="3"/>
    <n v="4267.28"/>
    <x v="2159"/>
    <n v="81078.240000000005"/>
    <x v="1"/>
    <n v="2025"/>
  </r>
  <r>
    <s v="TXN02162"/>
    <x v="13"/>
    <x v="1"/>
    <x v="12"/>
    <x v="3"/>
    <d v="2025-10-16T00:00:00"/>
    <x v="5"/>
    <n v="7389"/>
    <n v="20"/>
    <x v="3"/>
    <n v="2955.6"/>
    <x v="2160"/>
    <n v="11822.4"/>
    <x v="4"/>
    <n v="2025"/>
  </r>
  <r>
    <s v="TXN02163"/>
    <x v="6"/>
    <x v="2"/>
    <x v="5"/>
    <x v="2"/>
    <d v="2024-09-24T00:00:00"/>
    <x v="6"/>
    <n v="1359.18"/>
    <n v="15"/>
    <x v="0"/>
    <n v="1834.89"/>
    <x v="2161"/>
    <n v="10397.73"/>
    <x v="7"/>
    <n v="2024"/>
  </r>
  <r>
    <s v="TXN02164"/>
    <x v="9"/>
    <x v="1"/>
    <x v="8"/>
    <x v="0"/>
    <d v="2025-12-04T00:00:00"/>
    <x v="9"/>
    <n v="44417.24"/>
    <n v="15"/>
    <x v="6"/>
    <n v="66625.86"/>
    <x v="2162"/>
    <n v="377546.54"/>
    <x v="3"/>
    <n v="2025"/>
  </r>
  <r>
    <s v="TXN02165"/>
    <x v="2"/>
    <x v="1"/>
    <x v="8"/>
    <x v="1"/>
    <d v="2025-07-10T00:00:00"/>
    <x v="3"/>
    <n v="40084.25"/>
    <n v="10"/>
    <x v="3"/>
    <n v="24050.55"/>
    <x v="2163"/>
    <n v="216454.95"/>
    <x v="11"/>
    <n v="2025"/>
  </r>
  <r>
    <s v="TXN02166"/>
    <x v="10"/>
    <x v="1"/>
    <x v="8"/>
    <x v="5"/>
    <d v="2025-05-19T00:00:00"/>
    <x v="9"/>
    <n v="41445.980000000003"/>
    <n v="15"/>
    <x v="1"/>
    <n v="62168.97"/>
    <x v="2164"/>
    <n v="352290.83"/>
    <x v="9"/>
    <n v="2025"/>
  </r>
  <r>
    <s v="TXN02167"/>
    <x v="11"/>
    <x v="4"/>
    <x v="17"/>
    <x v="5"/>
    <d v="2025-02-16T00:00:00"/>
    <x v="2"/>
    <n v="3356.46"/>
    <n v="15"/>
    <x v="1"/>
    <n v="4027.75"/>
    <x v="2165"/>
    <n v="22823.93"/>
    <x v="2"/>
    <n v="2025"/>
  </r>
  <r>
    <s v="TXN02168"/>
    <x v="4"/>
    <x v="2"/>
    <x v="5"/>
    <x v="3"/>
    <d v="2025-01-08T00:00:00"/>
    <x v="8"/>
    <n v="1192.8399999999999"/>
    <n v="5"/>
    <x v="1"/>
    <n v="59.64"/>
    <x v="2166"/>
    <n v="1133.2"/>
    <x v="10"/>
    <n v="2025"/>
  </r>
  <r>
    <s v="TXN02169"/>
    <x v="7"/>
    <x v="0"/>
    <x v="6"/>
    <x v="4"/>
    <d v="2024-12-01T00:00:00"/>
    <x v="0"/>
    <n v="25342.55"/>
    <n v="15"/>
    <x v="5"/>
    <n v="11404.15"/>
    <x v="2167"/>
    <n v="64623.5"/>
    <x v="3"/>
    <n v="2024"/>
  </r>
  <r>
    <s v="TXN02170"/>
    <x v="10"/>
    <x v="3"/>
    <x v="15"/>
    <x v="0"/>
    <d v="2024-04-17T00:00:00"/>
    <x v="7"/>
    <n v="800.99"/>
    <n v="5"/>
    <x v="6"/>
    <n v="200.25"/>
    <x v="2168"/>
    <n v="3804.7"/>
    <x v="1"/>
    <n v="2024"/>
  </r>
  <r>
    <s v="TXN02171"/>
    <x v="8"/>
    <x v="0"/>
    <x v="1"/>
    <x v="3"/>
    <d v="2024-03-15T00:00:00"/>
    <x v="9"/>
    <n v="2804.06"/>
    <n v="20"/>
    <x v="3"/>
    <n v="5608.12"/>
    <x v="2169"/>
    <n v="22432.48"/>
    <x v="6"/>
    <n v="2024"/>
  </r>
  <r>
    <s v="TXN02172"/>
    <x v="10"/>
    <x v="4"/>
    <x v="23"/>
    <x v="6"/>
    <d v="2025-07-24T00:00:00"/>
    <x v="9"/>
    <n v="10335.65"/>
    <n v="10"/>
    <x v="1"/>
    <n v="10335.65"/>
    <x v="2170"/>
    <n v="93020.85"/>
    <x v="11"/>
    <n v="2025"/>
  </r>
  <r>
    <s v="TXN02173"/>
    <x v="12"/>
    <x v="1"/>
    <x v="2"/>
    <x v="6"/>
    <d v="2025-07-13T00:00:00"/>
    <x v="8"/>
    <n v="28456.79"/>
    <n v="5"/>
    <x v="4"/>
    <n v="1422.84"/>
    <x v="2171"/>
    <n v="27033.95"/>
    <x v="11"/>
    <n v="2025"/>
  </r>
  <r>
    <s v="TXN02174"/>
    <x v="10"/>
    <x v="0"/>
    <x v="3"/>
    <x v="1"/>
    <d v="2025-11-09T00:00:00"/>
    <x v="6"/>
    <n v="19964.099999999999"/>
    <n v="20"/>
    <x v="0"/>
    <n v="35935.379999999997"/>
    <x v="2172"/>
    <n v="143741.51999999999"/>
    <x v="8"/>
    <n v="2025"/>
  </r>
  <r>
    <s v="TXN02175"/>
    <x v="5"/>
    <x v="3"/>
    <x v="21"/>
    <x v="2"/>
    <d v="2024-11-01T00:00:00"/>
    <x v="9"/>
    <n v="2707.18"/>
    <n v="20"/>
    <x v="3"/>
    <n v="5414.36"/>
    <x v="2173"/>
    <n v="21657.439999999999"/>
    <x v="8"/>
    <n v="2024"/>
  </r>
  <r>
    <s v="TXN02176"/>
    <x v="8"/>
    <x v="2"/>
    <x v="11"/>
    <x v="1"/>
    <d v="2024-10-17T00:00:00"/>
    <x v="3"/>
    <n v="5571.31"/>
    <n v="20"/>
    <x v="7"/>
    <n v="6685.57"/>
    <x v="2174"/>
    <n v="26742.29"/>
    <x v="4"/>
    <n v="2024"/>
  </r>
  <r>
    <s v="TXN02177"/>
    <x v="10"/>
    <x v="2"/>
    <x v="9"/>
    <x v="3"/>
    <d v="2025-12-12T00:00:00"/>
    <x v="2"/>
    <n v="4568.4399999999996"/>
    <n v="5"/>
    <x v="1"/>
    <n v="1827.38"/>
    <x v="2175"/>
    <n v="34720.14"/>
    <x v="3"/>
    <n v="2025"/>
  </r>
  <r>
    <s v="TXN02178"/>
    <x v="1"/>
    <x v="1"/>
    <x v="8"/>
    <x v="5"/>
    <d v="2025-05-04T00:00:00"/>
    <x v="1"/>
    <n v="41392.699999999997"/>
    <n v="5"/>
    <x v="2"/>
    <n v="8278.5400000000009"/>
    <x v="2176"/>
    <n v="157292.26"/>
    <x v="9"/>
    <n v="2025"/>
  </r>
  <r>
    <s v="TXN02179"/>
    <x v="11"/>
    <x v="0"/>
    <x v="1"/>
    <x v="0"/>
    <d v="2024-03-20T00:00:00"/>
    <x v="9"/>
    <n v="2747.61"/>
    <n v="15"/>
    <x v="2"/>
    <n v="4121.41"/>
    <x v="2177"/>
    <n v="23354.69"/>
    <x v="6"/>
    <n v="2024"/>
  </r>
  <r>
    <s v="TXN02180"/>
    <x v="9"/>
    <x v="4"/>
    <x v="14"/>
    <x v="5"/>
    <d v="2025-07-08T00:00:00"/>
    <x v="0"/>
    <n v="1671.38"/>
    <n v="20"/>
    <x v="2"/>
    <n v="1002.83"/>
    <x v="2178"/>
    <n v="4011.31"/>
    <x v="11"/>
    <n v="2025"/>
  </r>
  <r>
    <s v="TXN02181"/>
    <x v="11"/>
    <x v="4"/>
    <x v="14"/>
    <x v="2"/>
    <d v="2024-05-12T00:00:00"/>
    <x v="3"/>
    <n v="1543.54"/>
    <n v="5"/>
    <x v="3"/>
    <n v="463.06"/>
    <x v="2179"/>
    <n v="8798.18"/>
    <x v="9"/>
    <n v="2024"/>
  </r>
  <r>
    <s v="TXN02182"/>
    <x v="10"/>
    <x v="4"/>
    <x v="17"/>
    <x v="2"/>
    <d v="2025-11-28T00:00:00"/>
    <x v="6"/>
    <n v="3465.63"/>
    <n v="5"/>
    <x v="5"/>
    <n v="1559.53"/>
    <x v="2180"/>
    <n v="29631.14"/>
    <x v="8"/>
    <n v="2025"/>
  </r>
  <r>
    <s v="TXN02183"/>
    <x v="13"/>
    <x v="1"/>
    <x v="4"/>
    <x v="2"/>
    <d v="2024-01-31T00:00:00"/>
    <x v="3"/>
    <n v="8711.1299999999992"/>
    <n v="15"/>
    <x v="4"/>
    <n v="7840.02"/>
    <x v="2181"/>
    <n v="44426.76"/>
    <x v="10"/>
    <n v="2024"/>
  </r>
  <r>
    <s v="TXN02184"/>
    <x v="3"/>
    <x v="4"/>
    <x v="14"/>
    <x v="2"/>
    <d v="2025-08-05T00:00:00"/>
    <x v="8"/>
    <n v="1361.49"/>
    <n v="0"/>
    <x v="6"/>
    <n v="0"/>
    <x v="2182"/>
    <n v="1361.49"/>
    <x v="0"/>
    <n v="2025"/>
  </r>
  <r>
    <s v="TXN02185"/>
    <x v="14"/>
    <x v="1"/>
    <x v="4"/>
    <x v="6"/>
    <d v="2024-12-16T00:00:00"/>
    <x v="3"/>
    <n v="8510.31"/>
    <n v="5"/>
    <x v="3"/>
    <n v="2553.09"/>
    <x v="2183"/>
    <n v="48508.77"/>
    <x v="3"/>
    <n v="2024"/>
  </r>
  <r>
    <s v="TXN02186"/>
    <x v="11"/>
    <x v="2"/>
    <x v="9"/>
    <x v="6"/>
    <d v="2024-07-19T00:00:00"/>
    <x v="0"/>
    <n v="4447.1499999999996"/>
    <n v="20"/>
    <x v="2"/>
    <n v="2668.29"/>
    <x v="2184"/>
    <n v="10673.16"/>
    <x v="11"/>
    <n v="2024"/>
  </r>
  <r>
    <s v="TXN02187"/>
    <x v="8"/>
    <x v="3"/>
    <x v="7"/>
    <x v="4"/>
    <d v="2025-11-30T00:00:00"/>
    <x v="6"/>
    <n v="2147.98"/>
    <n v="10"/>
    <x v="3"/>
    <n v="1933.18"/>
    <x v="2185"/>
    <n v="17398.64"/>
    <x v="8"/>
    <n v="2025"/>
  </r>
  <r>
    <s v="TXN02188"/>
    <x v="4"/>
    <x v="4"/>
    <x v="18"/>
    <x v="4"/>
    <d v="2024-12-14T00:00:00"/>
    <x v="4"/>
    <n v="12422.59"/>
    <n v="0"/>
    <x v="7"/>
    <n v="0"/>
    <x v="2186"/>
    <n v="86958.13"/>
    <x v="3"/>
    <n v="2024"/>
  </r>
  <r>
    <s v="TXN02189"/>
    <x v="9"/>
    <x v="3"/>
    <x v="7"/>
    <x v="3"/>
    <d v="2025-05-09T00:00:00"/>
    <x v="0"/>
    <n v="2031.28"/>
    <n v="10"/>
    <x v="5"/>
    <n v="609.38"/>
    <x v="2187"/>
    <n v="5484.46"/>
    <x v="9"/>
    <n v="2025"/>
  </r>
  <r>
    <s v="TXN02190"/>
    <x v="12"/>
    <x v="4"/>
    <x v="18"/>
    <x v="4"/>
    <d v="2025-08-26T00:00:00"/>
    <x v="1"/>
    <n v="13405"/>
    <n v="5"/>
    <x v="2"/>
    <n v="2681"/>
    <x v="2188"/>
    <n v="50939"/>
    <x v="0"/>
    <n v="2025"/>
  </r>
  <r>
    <s v="TXN02191"/>
    <x v="12"/>
    <x v="3"/>
    <x v="21"/>
    <x v="3"/>
    <d v="2024-04-14T00:00:00"/>
    <x v="1"/>
    <n v="2787.78"/>
    <n v="20"/>
    <x v="5"/>
    <n v="2230.2199999999998"/>
    <x v="2189"/>
    <n v="8920.9"/>
    <x v="1"/>
    <n v="2024"/>
  </r>
  <r>
    <s v="TXN02192"/>
    <x v="0"/>
    <x v="0"/>
    <x v="1"/>
    <x v="5"/>
    <d v="2025-01-09T00:00:00"/>
    <x v="8"/>
    <n v="3413.72"/>
    <n v="15"/>
    <x v="5"/>
    <n v="512.05999999999995"/>
    <x v="2190"/>
    <n v="2901.66"/>
    <x v="10"/>
    <n v="2025"/>
  </r>
  <r>
    <s v="TXN02193"/>
    <x v="1"/>
    <x v="2"/>
    <x v="22"/>
    <x v="3"/>
    <d v="2024-01-17T00:00:00"/>
    <x v="9"/>
    <n v="882.1"/>
    <n v="15"/>
    <x v="5"/>
    <n v="1323.15"/>
    <x v="2191"/>
    <n v="7497.85"/>
    <x v="10"/>
    <n v="2024"/>
  </r>
  <r>
    <s v="TXN02194"/>
    <x v="2"/>
    <x v="3"/>
    <x v="20"/>
    <x v="1"/>
    <d v="2024-11-09T00:00:00"/>
    <x v="9"/>
    <n v="3580.48"/>
    <n v="20"/>
    <x v="0"/>
    <n v="7160.96"/>
    <x v="2192"/>
    <n v="28643.84"/>
    <x v="8"/>
    <n v="2024"/>
  </r>
  <r>
    <s v="TXN02195"/>
    <x v="14"/>
    <x v="2"/>
    <x v="10"/>
    <x v="3"/>
    <d v="2025-05-07T00:00:00"/>
    <x v="9"/>
    <n v="2552.66"/>
    <n v="0"/>
    <x v="7"/>
    <n v="0"/>
    <x v="2193"/>
    <n v="25526.6"/>
    <x v="9"/>
    <n v="2025"/>
  </r>
  <r>
    <s v="TXN02196"/>
    <x v="4"/>
    <x v="1"/>
    <x v="8"/>
    <x v="2"/>
    <d v="2025-08-18T00:00:00"/>
    <x v="1"/>
    <n v="38691.339999999997"/>
    <n v="0"/>
    <x v="5"/>
    <n v="0"/>
    <x v="2194"/>
    <n v="154765.35999999999"/>
    <x v="0"/>
    <n v="2025"/>
  </r>
  <r>
    <s v="TXN02197"/>
    <x v="2"/>
    <x v="0"/>
    <x v="3"/>
    <x v="5"/>
    <d v="2024-03-31T00:00:00"/>
    <x v="3"/>
    <n v="17521.419999999998"/>
    <n v="0"/>
    <x v="4"/>
    <n v="0"/>
    <x v="2195"/>
    <n v="105128.52"/>
    <x v="6"/>
    <n v="2024"/>
  </r>
  <r>
    <s v="TXN02198"/>
    <x v="2"/>
    <x v="3"/>
    <x v="20"/>
    <x v="1"/>
    <d v="2024-06-26T00:00:00"/>
    <x v="3"/>
    <n v="3691.96"/>
    <n v="5"/>
    <x v="0"/>
    <n v="1107.5899999999999"/>
    <x v="2196"/>
    <n v="21044.17"/>
    <x v="5"/>
    <n v="2024"/>
  </r>
  <r>
    <s v="TXN02199"/>
    <x v="0"/>
    <x v="4"/>
    <x v="23"/>
    <x v="3"/>
    <d v="2024-08-31T00:00:00"/>
    <x v="4"/>
    <n v="10118.32"/>
    <n v="10"/>
    <x v="7"/>
    <n v="7082.82"/>
    <x v="2197"/>
    <n v="63745.42"/>
    <x v="0"/>
    <n v="2024"/>
  </r>
  <r>
    <s v="TXN02200"/>
    <x v="12"/>
    <x v="0"/>
    <x v="0"/>
    <x v="0"/>
    <d v="2025-12-14T00:00:00"/>
    <x v="5"/>
    <n v="69417.179999999993"/>
    <n v="0"/>
    <x v="3"/>
    <n v="0"/>
    <x v="2198"/>
    <n v="138834.35999999999"/>
    <x v="3"/>
    <n v="2025"/>
  </r>
  <r>
    <s v="TXN02201"/>
    <x v="7"/>
    <x v="0"/>
    <x v="3"/>
    <x v="5"/>
    <d v="2025-09-22T00:00:00"/>
    <x v="6"/>
    <n v="20465.89"/>
    <n v="0"/>
    <x v="2"/>
    <n v="0"/>
    <x v="2199"/>
    <n v="184193.01"/>
    <x v="7"/>
    <n v="2025"/>
  </r>
  <r>
    <s v="TXN02202"/>
    <x v="11"/>
    <x v="2"/>
    <x v="11"/>
    <x v="6"/>
    <d v="2025-09-11T00:00:00"/>
    <x v="0"/>
    <n v="5447.21"/>
    <n v="0"/>
    <x v="1"/>
    <n v="0"/>
    <x v="2200"/>
    <n v="16341.63"/>
    <x v="7"/>
    <n v="2025"/>
  </r>
  <r>
    <s v="TXN02203"/>
    <x v="7"/>
    <x v="3"/>
    <x v="20"/>
    <x v="4"/>
    <d v="2025-02-15T00:00:00"/>
    <x v="0"/>
    <n v="3928.91"/>
    <n v="10"/>
    <x v="5"/>
    <n v="1178.67"/>
    <x v="2201"/>
    <n v="10608.06"/>
    <x v="2"/>
    <n v="2025"/>
  </r>
  <r>
    <s v="TXN02204"/>
    <x v="1"/>
    <x v="2"/>
    <x v="9"/>
    <x v="1"/>
    <d v="2025-08-20T00:00:00"/>
    <x v="6"/>
    <n v="4517.45"/>
    <n v="15"/>
    <x v="5"/>
    <n v="6098.56"/>
    <x v="2202"/>
    <n v="34558.49"/>
    <x v="0"/>
    <n v="2025"/>
  </r>
  <r>
    <s v="TXN02205"/>
    <x v="5"/>
    <x v="2"/>
    <x v="9"/>
    <x v="0"/>
    <d v="2024-05-21T00:00:00"/>
    <x v="2"/>
    <n v="4844.3599999999997"/>
    <n v="20"/>
    <x v="3"/>
    <n v="7750.98"/>
    <x v="2203"/>
    <n v="31003.9"/>
    <x v="9"/>
    <n v="2024"/>
  </r>
  <r>
    <s v="TXN02206"/>
    <x v="9"/>
    <x v="3"/>
    <x v="20"/>
    <x v="2"/>
    <d v="2025-08-25T00:00:00"/>
    <x v="4"/>
    <n v="3993.97"/>
    <n v="10"/>
    <x v="5"/>
    <n v="2795.78"/>
    <x v="2204"/>
    <n v="25162.01"/>
    <x v="0"/>
    <n v="2025"/>
  </r>
  <r>
    <s v="TXN02207"/>
    <x v="7"/>
    <x v="2"/>
    <x v="22"/>
    <x v="6"/>
    <d v="2024-11-07T00:00:00"/>
    <x v="9"/>
    <n v="1116.3499999999999"/>
    <n v="0"/>
    <x v="3"/>
    <n v="0"/>
    <x v="2205"/>
    <n v="11163.5"/>
    <x v="8"/>
    <n v="2024"/>
  </r>
  <r>
    <s v="TXN02208"/>
    <x v="13"/>
    <x v="4"/>
    <x v="19"/>
    <x v="4"/>
    <d v="2024-02-10T00:00:00"/>
    <x v="8"/>
    <n v="7511.89"/>
    <n v="10"/>
    <x v="1"/>
    <n v="751.19"/>
    <x v="2206"/>
    <n v="6760.7"/>
    <x v="2"/>
    <n v="2024"/>
  </r>
  <r>
    <s v="TXN02209"/>
    <x v="12"/>
    <x v="3"/>
    <x v="7"/>
    <x v="2"/>
    <d v="2024-03-15T00:00:00"/>
    <x v="1"/>
    <n v="1679.01"/>
    <n v="0"/>
    <x v="0"/>
    <n v="0"/>
    <x v="2207"/>
    <n v="6716.04"/>
    <x v="6"/>
    <n v="2024"/>
  </r>
  <r>
    <s v="TXN02210"/>
    <x v="6"/>
    <x v="3"/>
    <x v="20"/>
    <x v="4"/>
    <d v="2024-11-27T00:00:00"/>
    <x v="3"/>
    <n v="3927.51"/>
    <n v="20"/>
    <x v="1"/>
    <n v="4713.01"/>
    <x v="2208"/>
    <n v="18852.05"/>
    <x v="8"/>
    <n v="2024"/>
  </r>
  <r>
    <s v="TXN02211"/>
    <x v="9"/>
    <x v="1"/>
    <x v="2"/>
    <x v="2"/>
    <d v="2025-11-29T00:00:00"/>
    <x v="5"/>
    <n v="26701.88"/>
    <n v="10"/>
    <x v="3"/>
    <n v="5340.38"/>
    <x v="2209"/>
    <n v="48063.38"/>
    <x v="8"/>
    <n v="2025"/>
  </r>
  <r>
    <s v="TXN02212"/>
    <x v="12"/>
    <x v="2"/>
    <x v="11"/>
    <x v="5"/>
    <d v="2025-08-23T00:00:00"/>
    <x v="9"/>
    <n v="5743.88"/>
    <n v="15"/>
    <x v="2"/>
    <n v="8615.82"/>
    <x v="2210"/>
    <n v="48822.98"/>
    <x v="0"/>
    <n v="2025"/>
  </r>
  <r>
    <s v="TXN02213"/>
    <x v="4"/>
    <x v="1"/>
    <x v="2"/>
    <x v="2"/>
    <d v="2025-03-09T00:00:00"/>
    <x v="2"/>
    <n v="28117.93"/>
    <n v="15"/>
    <x v="0"/>
    <n v="33741.519999999997"/>
    <x v="2211"/>
    <n v="191201.92000000001"/>
    <x v="6"/>
    <n v="2025"/>
  </r>
  <r>
    <s v="TXN02214"/>
    <x v="7"/>
    <x v="3"/>
    <x v="16"/>
    <x v="2"/>
    <d v="2024-05-12T00:00:00"/>
    <x v="3"/>
    <n v="1667.24"/>
    <n v="5"/>
    <x v="1"/>
    <n v="500.17"/>
    <x v="2212"/>
    <n v="9503.27"/>
    <x v="9"/>
    <n v="2024"/>
  </r>
  <r>
    <s v="TXN02215"/>
    <x v="2"/>
    <x v="3"/>
    <x v="20"/>
    <x v="1"/>
    <d v="2024-06-26T00:00:00"/>
    <x v="6"/>
    <n v="3856.76"/>
    <n v="0"/>
    <x v="0"/>
    <n v="0"/>
    <x v="2213"/>
    <n v="34710.839999999997"/>
    <x v="5"/>
    <n v="2024"/>
  </r>
  <r>
    <s v="TXN02216"/>
    <x v="4"/>
    <x v="1"/>
    <x v="13"/>
    <x v="1"/>
    <d v="2024-07-23T00:00:00"/>
    <x v="9"/>
    <n v="11229.64"/>
    <n v="0"/>
    <x v="3"/>
    <n v="0"/>
    <x v="2214"/>
    <n v="112296.4"/>
    <x v="11"/>
    <n v="2024"/>
  </r>
  <r>
    <s v="TXN02217"/>
    <x v="6"/>
    <x v="3"/>
    <x v="21"/>
    <x v="1"/>
    <d v="2024-01-09T00:00:00"/>
    <x v="5"/>
    <n v="2574.7399999999998"/>
    <n v="15"/>
    <x v="2"/>
    <n v="772.42"/>
    <x v="2215"/>
    <n v="4377.0600000000004"/>
    <x v="10"/>
    <n v="2024"/>
  </r>
  <r>
    <s v="TXN02218"/>
    <x v="7"/>
    <x v="3"/>
    <x v="16"/>
    <x v="4"/>
    <d v="2024-12-19T00:00:00"/>
    <x v="8"/>
    <n v="1704.66"/>
    <n v="15"/>
    <x v="6"/>
    <n v="255.7"/>
    <x v="2216"/>
    <n v="1448.96"/>
    <x v="3"/>
    <n v="2024"/>
  </r>
  <r>
    <s v="TXN02219"/>
    <x v="0"/>
    <x v="4"/>
    <x v="14"/>
    <x v="1"/>
    <d v="2024-06-30T00:00:00"/>
    <x v="0"/>
    <n v="1687.44"/>
    <n v="15"/>
    <x v="6"/>
    <n v="759.35"/>
    <x v="2217"/>
    <n v="4302.97"/>
    <x v="5"/>
    <n v="2024"/>
  </r>
  <r>
    <s v="TXN02220"/>
    <x v="5"/>
    <x v="4"/>
    <x v="19"/>
    <x v="2"/>
    <d v="2025-07-29T00:00:00"/>
    <x v="7"/>
    <n v="8167.67"/>
    <n v="15"/>
    <x v="5"/>
    <n v="6125.75"/>
    <x v="2218"/>
    <n v="34712.6"/>
    <x v="11"/>
    <n v="2025"/>
  </r>
  <r>
    <s v="TXN02221"/>
    <x v="13"/>
    <x v="1"/>
    <x v="8"/>
    <x v="0"/>
    <d v="2025-09-25T00:00:00"/>
    <x v="5"/>
    <n v="41109.279999999999"/>
    <n v="15"/>
    <x v="3"/>
    <n v="12332.78"/>
    <x v="2219"/>
    <n v="69885.78"/>
    <x v="7"/>
    <n v="2025"/>
  </r>
  <r>
    <s v="TXN02222"/>
    <x v="2"/>
    <x v="4"/>
    <x v="14"/>
    <x v="2"/>
    <d v="2025-02-05T00:00:00"/>
    <x v="8"/>
    <n v="1556.02"/>
    <n v="5"/>
    <x v="7"/>
    <n v="77.8"/>
    <x v="2220"/>
    <n v="1478.22"/>
    <x v="2"/>
    <n v="2025"/>
  </r>
  <r>
    <s v="TXN02223"/>
    <x v="8"/>
    <x v="4"/>
    <x v="17"/>
    <x v="5"/>
    <d v="2024-03-05T00:00:00"/>
    <x v="2"/>
    <n v="3751.55"/>
    <n v="5"/>
    <x v="3"/>
    <n v="1500.62"/>
    <x v="2221"/>
    <n v="28511.78"/>
    <x v="6"/>
    <n v="2024"/>
  </r>
  <r>
    <s v="TXN02224"/>
    <x v="14"/>
    <x v="4"/>
    <x v="18"/>
    <x v="6"/>
    <d v="2024-01-30T00:00:00"/>
    <x v="3"/>
    <n v="11345.37"/>
    <n v="5"/>
    <x v="3"/>
    <n v="3403.61"/>
    <x v="2222"/>
    <n v="64668.61"/>
    <x v="10"/>
    <n v="2024"/>
  </r>
  <r>
    <s v="TXN02225"/>
    <x v="14"/>
    <x v="2"/>
    <x v="11"/>
    <x v="6"/>
    <d v="2025-02-25T00:00:00"/>
    <x v="0"/>
    <n v="5694.18"/>
    <n v="15"/>
    <x v="0"/>
    <n v="2562.38"/>
    <x v="2223"/>
    <n v="14520.16"/>
    <x v="2"/>
    <n v="2025"/>
  </r>
  <r>
    <s v="TXN02226"/>
    <x v="6"/>
    <x v="3"/>
    <x v="21"/>
    <x v="2"/>
    <d v="2024-08-29T00:00:00"/>
    <x v="6"/>
    <n v="2594.16"/>
    <n v="5"/>
    <x v="4"/>
    <n v="1167.3699999999999"/>
    <x v="2224"/>
    <n v="22180.07"/>
    <x v="0"/>
    <n v="2024"/>
  </r>
  <r>
    <s v="TXN02227"/>
    <x v="8"/>
    <x v="1"/>
    <x v="4"/>
    <x v="0"/>
    <d v="2025-08-14T00:00:00"/>
    <x v="6"/>
    <n v="7606.37"/>
    <n v="20"/>
    <x v="0"/>
    <n v="13691.47"/>
    <x v="2225"/>
    <n v="54765.86"/>
    <x v="0"/>
    <n v="2025"/>
  </r>
  <r>
    <s v="TXN02228"/>
    <x v="1"/>
    <x v="3"/>
    <x v="20"/>
    <x v="1"/>
    <d v="2025-10-22T00:00:00"/>
    <x v="2"/>
    <n v="4174.47"/>
    <n v="15"/>
    <x v="6"/>
    <n v="5009.3599999999997"/>
    <x v="2226"/>
    <n v="28386.400000000001"/>
    <x v="4"/>
    <n v="2025"/>
  </r>
  <r>
    <s v="TXN02229"/>
    <x v="10"/>
    <x v="1"/>
    <x v="13"/>
    <x v="5"/>
    <d v="2024-09-10T00:00:00"/>
    <x v="8"/>
    <n v="12513.13"/>
    <n v="10"/>
    <x v="4"/>
    <n v="1251.31"/>
    <x v="2227"/>
    <n v="11261.82"/>
    <x v="7"/>
    <n v="2024"/>
  </r>
  <r>
    <s v="TXN02230"/>
    <x v="10"/>
    <x v="3"/>
    <x v="21"/>
    <x v="3"/>
    <d v="2025-09-17T00:00:00"/>
    <x v="5"/>
    <n v="2362.79"/>
    <n v="15"/>
    <x v="6"/>
    <n v="708.84"/>
    <x v="2228"/>
    <n v="4016.74"/>
    <x v="7"/>
    <n v="2025"/>
  </r>
  <r>
    <s v="TXN02231"/>
    <x v="11"/>
    <x v="2"/>
    <x v="11"/>
    <x v="1"/>
    <d v="2025-08-07T00:00:00"/>
    <x v="0"/>
    <n v="5050.18"/>
    <n v="5"/>
    <x v="3"/>
    <n v="757.53"/>
    <x v="2229"/>
    <n v="14393.01"/>
    <x v="0"/>
    <n v="2025"/>
  </r>
  <r>
    <s v="TXN02232"/>
    <x v="2"/>
    <x v="0"/>
    <x v="3"/>
    <x v="2"/>
    <d v="2025-06-23T00:00:00"/>
    <x v="2"/>
    <n v="19434.439999999999"/>
    <n v="5"/>
    <x v="6"/>
    <n v="7773.78"/>
    <x v="2230"/>
    <n v="147701.74"/>
    <x v="5"/>
    <n v="2025"/>
  </r>
  <r>
    <s v="TXN02233"/>
    <x v="7"/>
    <x v="4"/>
    <x v="19"/>
    <x v="6"/>
    <d v="2024-05-13T00:00:00"/>
    <x v="0"/>
    <n v="7256.16"/>
    <n v="0"/>
    <x v="0"/>
    <n v="0"/>
    <x v="2231"/>
    <n v="21768.48"/>
    <x v="9"/>
    <n v="2024"/>
  </r>
  <r>
    <s v="TXN02234"/>
    <x v="1"/>
    <x v="1"/>
    <x v="4"/>
    <x v="2"/>
    <d v="2025-07-15T00:00:00"/>
    <x v="1"/>
    <n v="7546.53"/>
    <n v="0"/>
    <x v="1"/>
    <n v="0"/>
    <x v="2232"/>
    <n v="30186.12"/>
    <x v="11"/>
    <n v="2025"/>
  </r>
  <r>
    <s v="TXN02235"/>
    <x v="11"/>
    <x v="3"/>
    <x v="21"/>
    <x v="6"/>
    <d v="2025-06-15T00:00:00"/>
    <x v="6"/>
    <n v="2566.1999999999998"/>
    <n v="20"/>
    <x v="6"/>
    <n v="4619.16"/>
    <x v="2233"/>
    <n v="18476.64"/>
    <x v="5"/>
    <n v="2025"/>
  </r>
  <r>
    <s v="TXN02236"/>
    <x v="8"/>
    <x v="4"/>
    <x v="19"/>
    <x v="4"/>
    <d v="2025-11-14T00:00:00"/>
    <x v="6"/>
    <n v="8706.2000000000007"/>
    <n v="5"/>
    <x v="5"/>
    <n v="3917.79"/>
    <x v="2234"/>
    <n v="74438.009999999995"/>
    <x v="8"/>
    <n v="2025"/>
  </r>
  <r>
    <s v="TXN02237"/>
    <x v="14"/>
    <x v="2"/>
    <x v="9"/>
    <x v="1"/>
    <d v="2024-07-25T00:00:00"/>
    <x v="8"/>
    <n v="4362.8999999999996"/>
    <n v="10"/>
    <x v="1"/>
    <n v="436.29"/>
    <x v="2235"/>
    <n v="3926.61"/>
    <x v="11"/>
    <n v="2024"/>
  </r>
  <r>
    <s v="TXN02238"/>
    <x v="8"/>
    <x v="1"/>
    <x v="2"/>
    <x v="1"/>
    <d v="2024-04-22T00:00:00"/>
    <x v="2"/>
    <n v="22915.05"/>
    <n v="5"/>
    <x v="5"/>
    <n v="9166.02"/>
    <x v="2236"/>
    <n v="174154.38"/>
    <x v="1"/>
    <n v="2024"/>
  </r>
  <r>
    <s v="TXN02239"/>
    <x v="14"/>
    <x v="1"/>
    <x v="8"/>
    <x v="3"/>
    <d v="2024-01-24T00:00:00"/>
    <x v="0"/>
    <n v="42429.120000000003"/>
    <n v="5"/>
    <x v="7"/>
    <n v="6364.37"/>
    <x v="2237"/>
    <n v="120922.99"/>
    <x v="10"/>
    <n v="2024"/>
  </r>
  <r>
    <s v="TXN02240"/>
    <x v="8"/>
    <x v="2"/>
    <x v="22"/>
    <x v="1"/>
    <d v="2024-11-06T00:00:00"/>
    <x v="1"/>
    <n v="1009.3"/>
    <n v="20"/>
    <x v="7"/>
    <n v="807.44"/>
    <x v="2238"/>
    <n v="3229.76"/>
    <x v="8"/>
    <n v="2024"/>
  </r>
  <r>
    <s v="TXN02241"/>
    <x v="12"/>
    <x v="1"/>
    <x v="12"/>
    <x v="3"/>
    <d v="2024-01-06T00:00:00"/>
    <x v="9"/>
    <n v="6023.38"/>
    <n v="15"/>
    <x v="0"/>
    <n v="9035.07"/>
    <x v="2239"/>
    <n v="51198.73"/>
    <x v="10"/>
    <n v="2024"/>
  </r>
  <r>
    <s v="TXN02242"/>
    <x v="8"/>
    <x v="0"/>
    <x v="6"/>
    <x v="6"/>
    <d v="2024-04-05T00:00:00"/>
    <x v="9"/>
    <n v="28546.34"/>
    <n v="5"/>
    <x v="6"/>
    <n v="14273.17"/>
    <x v="2240"/>
    <n v="271190.23"/>
    <x v="1"/>
    <n v="2024"/>
  </r>
  <r>
    <s v="TXN02243"/>
    <x v="8"/>
    <x v="4"/>
    <x v="17"/>
    <x v="4"/>
    <d v="2024-04-28T00:00:00"/>
    <x v="1"/>
    <n v="3287.73"/>
    <n v="15"/>
    <x v="3"/>
    <n v="1972.64"/>
    <x v="2241"/>
    <n v="11178.28"/>
    <x v="1"/>
    <n v="2024"/>
  </r>
  <r>
    <s v="TXN02244"/>
    <x v="10"/>
    <x v="4"/>
    <x v="23"/>
    <x v="2"/>
    <d v="2024-02-24T00:00:00"/>
    <x v="5"/>
    <n v="10514.59"/>
    <n v="0"/>
    <x v="3"/>
    <n v="0"/>
    <x v="2242"/>
    <n v="21029.18"/>
    <x v="2"/>
    <n v="2024"/>
  </r>
  <r>
    <s v="TXN02245"/>
    <x v="1"/>
    <x v="0"/>
    <x v="0"/>
    <x v="5"/>
    <d v="2024-05-12T00:00:00"/>
    <x v="0"/>
    <n v="59180.08"/>
    <n v="20"/>
    <x v="7"/>
    <n v="35508.050000000003"/>
    <x v="2243"/>
    <n v="142032.19"/>
    <x v="9"/>
    <n v="2024"/>
  </r>
  <r>
    <s v="TXN02246"/>
    <x v="7"/>
    <x v="0"/>
    <x v="24"/>
    <x v="2"/>
    <d v="2025-11-08T00:00:00"/>
    <x v="6"/>
    <n v="8392.91"/>
    <n v="5"/>
    <x v="5"/>
    <n v="3776.81"/>
    <x v="2244"/>
    <n v="71759.38"/>
    <x v="8"/>
    <n v="2025"/>
  </r>
  <r>
    <s v="TXN02247"/>
    <x v="0"/>
    <x v="1"/>
    <x v="8"/>
    <x v="2"/>
    <d v="2024-02-07T00:00:00"/>
    <x v="7"/>
    <n v="41718.839999999997"/>
    <n v="15"/>
    <x v="0"/>
    <n v="31289.13"/>
    <x v="2245"/>
    <n v="177305.07"/>
    <x v="2"/>
    <n v="2024"/>
  </r>
  <r>
    <s v="TXN02248"/>
    <x v="2"/>
    <x v="4"/>
    <x v="19"/>
    <x v="6"/>
    <d v="2025-11-07T00:00:00"/>
    <x v="0"/>
    <n v="8921.76"/>
    <n v="10"/>
    <x v="1"/>
    <n v="2676.53"/>
    <x v="2246"/>
    <n v="24088.75"/>
    <x v="8"/>
    <n v="2025"/>
  </r>
  <r>
    <s v="TXN02249"/>
    <x v="7"/>
    <x v="2"/>
    <x v="10"/>
    <x v="3"/>
    <d v="2024-06-29T00:00:00"/>
    <x v="5"/>
    <n v="2306.31"/>
    <n v="0"/>
    <x v="4"/>
    <n v="0"/>
    <x v="2247"/>
    <n v="4612.62"/>
    <x v="5"/>
    <n v="2024"/>
  </r>
  <r>
    <s v="TXN02250"/>
    <x v="8"/>
    <x v="2"/>
    <x v="9"/>
    <x v="6"/>
    <d v="2024-12-11T00:00:00"/>
    <x v="8"/>
    <n v="5168.33"/>
    <n v="10"/>
    <x v="3"/>
    <n v="516.83000000000004"/>
    <x v="2248"/>
    <n v="4651.5"/>
    <x v="3"/>
    <n v="2024"/>
  </r>
  <r>
    <s v="TXN02251"/>
    <x v="12"/>
    <x v="1"/>
    <x v="13"/>
    <x v="0"/>
    <d v="2024-05-11T00:00:00"/>
    <x v="8"/>
    <n v="13319.97"/>
    <n v="20"/>
    <x v="2"/>
    <n v="2663.99"/>
    <x v="2249"/>
    <n v="10655.98"/>
    <x v="9"/>
    <n v="2024"/>
  </r>
  <r>
    <s v="TXN02252"/>
    <x v="3"/>
    <x v="1"/>
    <x v="4"/>
    <x v="2"/>
    <d v="2024-03-08T00:00:00"/>
    <x v="8"/>
    <n v="8810.7199999999993"/>
    <n v="5"/>
    <x v="2"/>
    <n v="440.54"/>
    <x v="2250"/>
    <n v="8370.18"/>
    <x v="6"/>
    <n v="2024"/>
  </r>
  <r>
    <s v="TXN02253"/>
    <x v="3"/>
    <x v="2"/>
    <x v="11"/>
    <x v="4"/>
    <d v="2024-01-18T00:00:00"/>
    <x v="5"/>
    <n v="4786.08"/>
    <n v="15"/>
    <x v="6"/>
    <n v="1435.82"/>
    <x v="2251"/>
    <n v="8136.34"/>
    <x v="10"/>
    <n v="2024"/>
  </r>
  <r>
    <s v="TXN02254"/>
    <x v="5"/>
    <x v="0"/>
    <x v="6"/>
    <x v="4"/>
    <d v="2025-01-02T00:00:00"/>
    <x v="6"/>
    <n v="24541.49"/>
    <n v="10"/>
    <x v="2"/>
    <n v="22087.34"/>
    <x v="2252"/>
    <n v="198786.07"/>
    <x v="10"/>
    <n v="2025"/>
  </r>
  <r>
    <s v="TXN02255"/>
    <x v="10"/>
    <x v="4"/>
    <x v="19"/>
    <x v="4"/>
    <d v="2024-01-28T00:00:00"/>
    <x v="7"/>
    <n v="9083.0300000000007"/>
    <n v="5"/>
    <x v="0"/>
    <n v="2270.7600000000002"/>
    <x v="2253"/>
    <n v="43144.39"/>
    <x v="10"/>
    <n v="2024"/>
  </r>
  <r>
    <s v="TXN02256"/>
    <x v="11"/>
    <x v="0"/>
    <x v="6"/>
    <x v="1"/>
    <d v="2024-05-06T00:00:00"/>
    <x v="3"/>
    <n v="26339.07"/>
    <n v="15"/>
    <x v="2"/>
    <n v="23705.16"/>
    <x v="2254"/>
    <n v="134329.26"/>
    <x v="9"/>
    <n v="2024"/>
  </r>
  <r>
    <s v="TXN02257"/>
    <x v="11"/>
    <x v="1"/>
    <x v="8"/>
    <x v="0"/>
    <d v="2024-06-19T00:00:00"/>
    <x v="9"/>
    <n v="42194.25"/>
    <n v="15"/>
    <x v="1"/>
    <n v="63291.38"/>
    <x v="2255"/>
    <n v="358651.12"/>
    <x v="5"/>
    <n v="2024"/>
  </r>
  <r>
    <s v="TXN02258"/>
    <x v="1"/>
    <x v="0"/>
    <x v="24"/>
    <x v="3"/>
    <d v="2025-02-26T00:00:00"/>
    <x v="1"/>
    <n v="6527.48"/>
    <n v="10"/>
    <x v="1"/>
    <n v="2610.9899999999998"/>
    <x v="2256"/>
    <n v="23498.93"/>
    <x v="2"/>
    <n v="2025"/>
  </r>
  <r>
    <s v="TXN02259"/>
    <x v="3"/>
    <x v="2"/>
    <x v="10"/>
    <x v="0"/>
    <d v="2024-06-11T00:00:00"/>
    <x v="8"/>
    <n v="2388.65"/>
    <n v="10"/>
    <x v="4"/>
    <n v="238.87"/>
    <x v="2257"/>
    <n v="2149.7800000000002"/>
    <x v="5"/>
    <n v="2024"/>
  </r>
  <r>
    <s v="TXN02260"/>
    <x v="13"/>
    <x v="0"/>
    <x v="6"/>
    <x v="1"/>
    <d v="2025-09-22T00:00:00"/>
    <x v="3"/>
    <n v="28174.880000000001"/>
    <n v="15"/>
    <x v="1"/>
    <n v="25357.39"/>
    <x v="2258"/>
    <n v="143691.89000000001"/>
    <x v="7"/>
    <n v="2025"/>
  </r>
  <r>
    <s v="TXN02261"/>
    <x v="14"/>
    <x v="4"/>
    <x v="14"/>
    <x v="3"/>
    <d v="2025-01-12T00:00:00"/>
    <x v="4"/>
    <n v="1684.89"/>
    <n v="10"/>
    <x v="6"/>
    <n v="1179.42"/>
    <x v="2259"/>
    <n v="10614.81"/>
    <x v="10"/>
    <n v="2025"/>
  </r>
  <r>
    <s v="TXN02262"/>
    <x v="3"/>
    <x v="2"/>
    <x v="10"/>
    <x v="5"/>
    <d v="2025-01-15T00:00:00"/>
    <x v="7"/>
    <n v="2515.73"/>
    <n v="5"/>
    <x v="5"/>
    <n v="628.92999999999995"/>
    <x v="2260"/>
    <n v="11949.72"/>
    <x v="10"/>
    <n v="2025"/>
  </r>
  <r>
    <s v="TXN02263"/>
    <x v="11"/>
    <x v="1"/>
    <x v="4"/>
    <x v="3"/>
    <d v="2024-05-20T00:00:00"/>
    <x v="7"/>
    <n v="8123.49"/>
    <n v="0"/>
    <x v="7"/>
    <n v="0"/>
    <x v="2261"/>
    <n v="40617.449999999997"/>
    <x v="9"/>
    <n v="2024"/>
  </r>
  <r>
    <s v="TXN02264"/>
    <x v="9"/>
    <x v="0"/>
    <x v="0"/>
    <x v="1"/>
    <d v="2025-06-10T00:00:00"/>
    <x v="5"/>
    <n v="59129.37"/>
    <n v="0"/>
    <x v="7"/>
    <n v="0"/>
    <x v="2262"/>
    <n v="118258.74"/>
    <x v="5"/>
    <n v="2025"/>
  </r>
  <r>
    <s v="TXN02265"/>
    <x v="2"/>
    <x v="4"/>
    <x v="14"/>
    <x v="1"/>
    <d v="2025-02-12T00:00:00"/>
    <x v="7"/>
    <n v="1636.29"/>
    <n v="0"/>
    <x v="6"/>
    <n v="0"/>
    <x v="2263"/>
    <n v="8181.45"/>
    <x v="2"/>
    <n v="2025"/>
  </r>
  <r>
    <s v="TXN02266"/>
    <x v="1"/>
    <x v="4"/>
    <x v="18"/>
    <x v="6"/>
    <d v="2025-07-11T00:00:00"/>
    <x v="8"/>
    <n v="12350.56"/>
    <n v="10"/>
    <x v="1"/>
    <n v="1235.06"/>
    <x v="2264"/>
    <n v="11115.5"/>
    <x v="11"/>
    <n v="2025"/>
  </r>
  <r>
    <s v="TXN02267"/>
    <x v="7"/>
    <x v="4"/>
    <x v="17"/>
    <x v="6"/>
    <d v="2024-04-20T00:00:00"/>
    <x v="3"/>
    <n v="3766.27"/>
    <n v="15"/>
    <x v="1"/>
    <n v="3389.64"/>
    <x v="2265"/>
    <n v="19207.98"/>
    <x v="1"/>
    <n v="2024"/>
  </r>
  <r>
    <s v="TXN02268"/>
    <x v="9"/>
    <x v="0"/>
    <x v="6"/>
    <x v="1"/>
    <d v="2025-04-08T00:00:00"/>
    <x v="5"/>
    <n v="24040.639999999999"/>
    <n v="15"/>
    <x v="2"/>
    <n v="7212.19"/>
    <x v="2266"/>
    <n v="40869.089999999997"/>
    <x v="1"/>
    <n v="2025"/>
  </r>
  <r>
    <s v="TXN02269"/>
    <x v="6"/>
    <x v="1"/>
    <x v="4"/>
    <x v="1"/>
    <d v="2025-01-04T00:00:00"/>
    <x v="6"/>
    <n v="9107.7800000000007"/>
    <n v="15"/>
    <x v="4"/>
    <n v="12295.5"/>
    <x v="2267"/>
    <n v="69674.52"/>
    <x v="10"/>
    <n v="2025"/>
  </r>
  <r>
    <s v="TXN02270"/>
    <x v="10"/>
    <x v="3"/>
    <x v="7"/>
    <x v="5"/>
    <d v="2024-04-26T00:00:00"/>
    <x v="1"/>
    <n v="1631.16"/>
    <n v="20"/>
    <x v="3"/>
    <n v="1304.93"/>
    <x v="2268"/>
    <n v="5219.71"/>
    <x v="1"/>
    <n v="2024"/>
  </r>
  <r>
    <s v="TXN02271"/>
    <x v="3"/>
    <x v="4"/>
    <x v="18"/>
    <x v="6"/>
    <d v="2025-04-02T00:00:00"/>
    <x v="4"/>
    <n v="12910.22"/>
    <n v="20"/>
    <x v="5"/>
    <n v="18074.310000000001"/>
    <x v="2269"/>
    <n v="72297.23"/>
    <x v="1"/>
    <n v="2025"/>
  </r>
  <r>
    <s v="TXN02272"/>
    <x v="13"/>
    <x v="3"/>
    <x v="16"/>
    <x v="4"/>
    <d v="2025-07-28T00:00:00"/>
    <x v="8"/>
    <n v="1475.16"/>
    <n v="5"/>
    <x v="7"/>
    <n v="73.760000000000005"/>
    <x v="2270"/>
    <n v="1401.4"/>
    <x v="11"/>
    <n v="2025"/>
  </r>
  <r>
    <s v="TXN02273"/>
    <x v="7"/>
    <x v="2"/>
    <x v="9"/>
    <x v="3"/>
    <d v="2024-09-17T00:00:00"/>
    <x v="4"/>
    <n v="5050.84"/>
    <n v="15"/>
    <x v="6"/>
    <n v="5303.38"/>
    <x v="2271"/>
    <n v="30052.5"/>
    <x v="7"/>
    <n v="2024"/>
  </r>
  <r>
    <s v="TXN02274"/>
    <x v="3"/>
    <x v="1"/>
    <x v="12"/>
    <x v="6"/>
    <d v="2025-06-21T00:00:00"/>
    <x v="1"/>
    <n v="6646.04"/>
    <n v="15"/>
    <x v="7"/>
    <n v="3987.62"/>
    <x v="2272"/>
    <n v="22596.54"/>
    <x v="5"/>
    <n v="2025"/>
  </r>
  <r>
    <s v="TXN02275"/>
    <x v="13"/>
    <x v="0"/>
    <x v="0"/>
    <x v="0"/>
    <d v="2025-02-28T00:00:00"/>
    <x v="4"/>
    <n v="60127.72"/>
    <n v="10"/>
    <x v="2"/>
    <n v="42089.4"/>
    <x v="2273"/>
    <n v="378804.64"/>
    <x v="2"/>
    <n v="2025"/>
  </r>
  <r>
    <s v="TXN02276"/>
    <x v="10"/>
    <x v="2"/>
    <x v="10"/>
    <x v="1"/>
    <d v="2024-02-21T00:00:00"/>
    <x v="2"/>
    <n v="2617.8200000000002"/>
    <n v="15"/>
    <x v="7"/>
    <n v="3141.38"/>
    <x v="2274"/>
    <n v="17801.18"/>
    <x v="2"/>
    <n v="2024"/>
  </r>
  <r>
    <s v="TXN02277"/>
    <x v="13"/>
    <x v="0"/>
    <x v="3"/>
    <x v="1"/>
    <d v="2025-08-22T00:00:00"/>
    <x v="1"/>
    <n v="18647.45"/>
    <n v="20"/>
    <x v="4"/>
    <n v="14917.96"/>
    <x v="2275"/>
    <n v="59671.839999999997"/>
    <x v="0"/>
    <n v="2025"/>
  </r>
  <r>
    <s v="TXN02278"/>
    <x v="10"/>
    <x v="0"/>
    <x v="1"/>
    <x v="2"/>
    <d v="2025-08-10T00:00:00"/>
    <x v="8"/>
    <n v="2936.29"/>
    <n v="0"/>
    <x v="4"/>
    <n v="0"/>
    <x v="2276"/>
    <n v="2936.29"/>
    <x v="0"/>
    <n v="2025"/>
  </r>
  <r>
    <s v="TXN02279"/>
    <x v="13"/>
    <x v="3"/>
    <x v="7"/>
    <x v="0"/>
    <d v="2025-08-26T00:00:00"/>
    <x v="7"/>
    <n v="1910.96"/>
    <n v="20"/>
    <x v="1"/>
    <n v="1910.96"/>
    <x v="2277"/>
    <n v="7643.84"/>
    <x v="0"/>
    <n v="2025"/>
  </r>
  <r>
    <s v="TXN02280"/>
    <x v="10"/>
    <x v="4"/>
    <x v="23"/>
    <x v="6"/>
    <d v="2025-10-16T00:00:00"/>
    <x v="1"/>
    <n v="11682.07"/>
    <n v="5"/>
    <x v="6"/>
    <n v="2336.41"/>
    <x v="2278"/>
    <n v="44391.87"/>
    <x v="4"/>
    <n v="2025"/>
  </r>
  <r>
    <s v="TXN02281"/>
    <x v="11"/>
    <x v="4"/>
    <x v="14"/>
    <x v="2"/>
    <d v="2025-02-28T00:00:00"/>
    <x v="4"/>
    <n v="1576.12"/>
    <n v="10"/>
    <x v="7"/>
    <n v="1103.28"/>
    <x v="2279"/>
    <n v="9929.56"/>
    <x v="2"/>
    <n v="2025"/>
  </r>
  <r>
    <s v="TXN02282"/>
    <x v="14"/>
    <x v="0"/>
    <x v="24"/>
    <x v="5"/>
    <d v="2024-06-01T00:00:00"/>
    <x v="1"/>
    <n v="7148.67"/>
    <n v="0"/>
    <x v="7"/>
    <n v="0"/>
    <x v="2280"/>
    <n v="28594.68"/>
    <x v="5"/>
    <n v="2024"/>
  </r>
  <r>
    <s v="TXN02283"/>
    <x v="12"/>
    <x v="4"/>
    <x v="23"/>
    <x v="0"/>
    <d v="2024-08-26T00:00:00"/>
    <x v="0"/>
    <n v="10905.49"/>
    <n v="15"/>
    <x v="0"/>
    <n v="4907.47"/>
    <x v="2281"/>
    <n v="27809"/>
    <x v="0"/>
    <n v="2024"/>
  </r>
  <r>
    <s v="TXN02284"/>
    <x v="0"/>
    <x v="1"/>
    <x v="13"/>
    <x v="2"/>
    <d v="2025-08-19T00:00:00"/>
    <x v="9"/>
    <n v="13535.91"/>
    <n v="20"/>
    <x v="4"/>
    <n v="27071.82"/>
    <x v="2282"/>
    <n v="108287.28"/>
    <x v="0"/>
    <n v="2025"/>
  </r>
  <r>
    <s v="TXN02285"/>
    <x v="6"/>
    <x v="4"/>
    <x v="17"/>
    <x v="2"/>
    <d v="2024-06-18T00:00:00"/>
    <x v="4"/>
    <n v="3892.11"/>
    <n v="5"/>
    <x v="4"/>
    <n v="1362.24"/>
    <x v="2283"/>
    <n v="25882.53"/>
    <x v="5"/>
    <n v="2024"/>
  </r>
  <r>
    <s v="TXN02286"/>
    <x v="11"/>
    <x v="0"/>
    <x v="6"/>
    <x v="1"/>
    <d v="2025-07-07T00:00:00"/>
    <x v="0"/>
    <n v="23160.57"/>
    <n v="15"/>
    <x v="6"/>
    <n v="10422.26"/>
    <x v="2284"/>
    <n v="59059.45"/>
    <x v="11"/>
    <n v="2025"/>
  </r>
  <r>
    <s v="TXN02287"/>
    <x v="8"/>
    <x v="0"/>
    <x v="6"/>
    <x v="2"/>
    <d v="2025-10-07T00:00:00"/>
    <x v="7"/>
    <n v="25403.66"/>
    <n v="20"/>
    <x v="1"/>
    <n v="25403.66"/>
    <x v="2285"/>
    <n v="101614.64"/>
    <x v="4"/>
    <n v="2025"/>
  </r>
  <r>
    <s v="TXN02288"/>
    <x v="3"/>
    <x v="0"/>
    <x v="6"/>
    <x v="2"/>
    <d v="2024-05-30T00:00:00"/>
    <x v="5"/>
    <n v="23021.88"/>
    <n v="15"/>
    <x v="6"/>
    <n v="6906.56"/>
    <x v="2286"/>
    <n v="39137.199999999997"/>
    <x v="9"/>
    <n v="2024"/>
  </r>
  <r>
    <s v="TXN02289"/>
    <x v="9"/>
    <x v="0"/>
    <x v="1"/>
    <x v="2"/>
    <d v="2025-11-08T00:00:00"/>
    <x v="6"/>
    <n v="2995.19"/>
    <n v="0"/>
    <x v="4"/>
    <n v="0"/>
    <x v="2287"/>
    <n v="26956.71"/>
    <x v="8"/>
    <n v="2025"/>
  </r>
  <r>
    <s v="TXN02290"/>
    <x v="14"/>
    <x v="2"/>
    <x v="9"/>
    <x v="0"/>
    <d v="2025-07-01T00:00:00"/>
    <x v="0"/>
    <n v="4230.8100000000004"/>
    <n v="0"/>
    <x v="4"/>
    <n v="0"/>
    <x v="2288"/>
    <n v="12692.43"/>
    <x v="11"/>
    <n v="2025"/>
  </r>
  <r>
    <s v="TXN02291"/>
    <x v="9"/>
    <x v="4"/>
    <x v="19"/>
    <x v="6"/>
    <d v="2025-08-07T00:00:00"/>
    <x v="2"/>
    <n v="9145.0400000000009"/>
    <n v="10"/>
    <x v="0"/>
    <n v="7316.03"/>
    <x v="2289"/>
    <n v="65844.289999999994"/>
    <x v="0"/>
    <n v="2025"/>
  </r>
  <r>
    <s v="TXN02292"/>
    <x v="9"/>
    <x v="4"/>
    <x v="17"/>
    <x v="4"/>
    <d v="2024-01-27T00:00:00"/>
    <x v="7"/>
    <n v="3622.58"/>
    <n v="15"/>
    <x v="1"/>
    <n v="2716.93"/>
    <x v="2290"/>
    <n v="15395.97"/>
    <x v="10"/>
    <n v="2024"/>
  </r>
  <r>
    <s v="TXN02293"/>
    <x v="11"/>
    <x v="4"/>
    <x v="19"/>
    <x v="2"/>
    <d v="2024-07-03T00:00:00"/>
    <x v="1"/>
    <n v="7960.5"/>
    <n v="0"/>
    <x v="7"/>
    <n v="0"/>
    <x v="2291"/>
    <n v="31842"/>
    <x v="11"/>
    <n v="2024"/>
  </r>
  <r>
    <s v="TXN02294"/>
    <x v="1"/>
    <x v="3"/>
    <x v="21"/>
    <x v="1"/>
    <d v="2024-06-10T00:00:00"/>
    <x v="6"/>
    <n v="2806.87"/>
    <n v="20"/>
    <x v="7"/>
    <n v="5052.37"/>
    <x v="2292"/>
    <n v="20209.46"/>
    <x v="5"/>
    <n v="2024"/>
  </r>
  <r>
    <s v="TXN02295"/>
    <x v="12"/>
    <x v="3"/>
    <x v="7"/>
    <x v="2"/>
    <d v="2025-07-27T00:00:00"/>
    <x v="6"/>
    <n v="1687.7"/>
    <n v="15"/>
    <x v="2"/>
    <n v="2278.39"/>
    <x v="2293"/>
    <n v="12910.91"/>
    <x v="11"/>
    <n v="2025"/>
  </r>
  <r>
    <s v="TXN02296"/>
    <x v="8"/>
    <x v="2"/>
    <x v="9"/>
    <x v="2"/>
    <d v="2024-09-30T00:00:00"/>
    <x v="8"/>
    <n v="4712.45"/>
    <n v="5"/>
    <x v="1"/>
    <n v="235.62"/>
    <x v="2294"/>
    <n v="4476.83"/>
    <x v="7"/>
    <n v="2024"/>
  </r>
  <r>
    <s v="TXN02297"/>
    <x v="14"/>
    <x v="0"/>
    <x v="3"/>
    <x v="3"/>
    <d v="2025-08-17T00:00:00"/>
    <x v="4"/>
    <n v="16706.22"/>
    <n v="15"/>
    <x v="7"/>
    <n v="17541.53"/>
    <x v="2295"/>
    <n v="99402.01"/>
    <x v="0"/>
    <n v="2025"/>
  </r>
  <r>
    <s v="TXN02298"/>
    <x v="14"/>
    <x v="0"/>
    <x v="24"/>
    <x v="6"/>
    <d v="2024-06-30T00:00:00"/>
    <x v="2"/>
    <n v="6797.21"/>
    <n v="20"/>
    <x v="0"/>
    <n v="10875.54"/>
    <x v="2296"/>
    <n v="43502.14"/>
    <x v="5"/>
    <n v="2024"/>
  </r>
  <r>
    <s v="TXN02299"/>
    <x v="3"/>
    <x v="2"/>
    <x v="5"/>
    <x v="2"/>
    <d v="2024-12-28T00:00:00"/>
    <x v="5"/>
    <n v="1445.08"/>
    <n v="15"/>
    <x v="2"/>
    <n v="433.52"/>
    <x v="2297"/>
    <n v="2456.64"/>
    <x v="3"/>
    <n v="2024"/>
  </r>
  <r>
    <s v="TXN02300"/>
    <x v="7"/>
    <x v="2"/>
    <x v="9"/>
    <x v="0"/>
    <d v="2025-09-11T00:00:00"/>
    <x v="4"/>
    <n v="4839.76"/>
    <n v="10"/>
    <x v="1"/>
    <n v="3387.83"/>
    <x v="2298"/>
    <n v="30490.49"/>
    <x v="7"/>
    <n v="2025"/>
  </r>
  <r>
    <s v="TXN02301"/>
    <x v="1"/>
    <x v="2"/>
    <x v="9"/>
    <x v="6"/>
    <d v="2024-09-28T00:00:00"/>
    <x v="9"/>
    <n v="4532.97"/>
    <n v="10"/>
    <x v="0"/>
    <n v="4532.97"/>
    <x v="2299"/>
    <n v="40796.730000000003"/>
    <x v="7"/>
    <n v="2024"/>
  </r>
  <r>
    <s v="TXN02302"/>
    <x v="5"/>
    <x v="4"/>
    <x v="14"/>
    <x v="4"/>
    <d v="2025-03-30T00:00:00"/>
    <x v="8"/>
    <n v="1407.36"/>
    <n v="10"/>
    <x v="7"/>
    <n v="140.74"/>
    <x v="2300"/>
    <n v="1266.6199999999999"/>
    <x v="6"/>
    <n v="2025"/>
  </r>
  <r>
    <s v="TXN02303"/>
    <x v="7"/>
    <x v="0"/>
    <x v="24"/>
    <x v="4"/>
    <d v="2025-08-16T00:00:00"/>
    <x v="1"/>
    <n v="7744.66"/>
    <n v="15"/>
    <x v="5"/>
    <n v="4646.8"/>
    <x v="2301"/>
    <n v="26331.84"/>
    <x v="0"/>
    <n v="2025"/>
  </r>
  <r>
    <s v="TXN02304"/>
    <x v="9"/>
    <x v="3"/>
    <x v="21"/>
    <x v="4"/>
    <d v="2025-05-29T00:00:00"/>
    <x v="9"/>
    <n v="2850.1"/>
    <n v="5"/>
    <x v="1"/>
    <n v="1425.05"/>
    <x v="2302"/>
    <n v="27075.95"/>
    <x v="9"/>
    <n v="2025"/>
  </r>
  <r>
    <s v="TXN02305"/>
    <x v="1"/>
    <x v="3"/>
    <x v="21"/>
    <x v="6"/>
    <d v="2025-09-20T00:00:00"/>
    <x v="8"/>
    <n v="2800.21"/>
    <n v="5"/>
    <x v="0"/>
    <n v="140.01"/>
    <x v="2303"/>
    <n v="2660.2"/>
    <x v="7"/>
    <n v="2025"/>
  </r>
  <r>
    <s v="TXN02306"/>
    <x v="11"/>
    <x v="3"/>
    <x v="16"/>
    <x v="4"/>
    <d v="2025-09-08T00:00:00"/>
    <x v="9"/>
    <n v="1375.56"/>
    <n v="0"/>
    <x v="6"/>
    <n v="0"/>
    <x v="2304"/>
    <n v="13755.6"/>
    <x v="7"/>
    <n v="2025"/>
  </r>
  <r>
    <s v="TXN02307"/>
    <x v="6"/>
    <x v="2"/>
    <x v="10"/>
    <x v="0"/>
    <d v="2024-08-07T00:00:00"/>
    <x v="5"/>
    <n v="2616.56"/>
    <n v="5"/>
    <x v="7"/>
    <n v="261.66000000000003"/>
    <x v="2305"/>
    <n v="4971.46"/>
    <x v="0"/>
    <n v="2024"/>
  </r>
  <r>
    <s v="TXN02308"/>
    <x v="8"/>
    <x v="3"/>
    <x v="21"/>
    <x v="3"/>
    <d v="2024-07-28T00:00:00"/>
    <x v="4"/>
    <n v="2317.48"/>
    <n v="5"/>
    <x v="3"/>
    <n v="811.12"/>
    <x v="2306"/>
    <n v="15411.24"/>
    <x v="11"/>
    <n v="2024"/>
  </r>
  <r>
    <s v="TXN02309"/>
    <x v="14"/>
    <x v="4"/>
    <x v="23"/>
    <x v="1"/>
    <d v="2024-07-10T00:00:00"/>
    <x v="1"/>
    <n v="9109.48"/>
    <n v="10"/>
    <x v="5"/>
    <n v="3643.79"/>
    <x v="2307"/>
    <n v="32794.129999999997"/>
    <x v="11"/>
    <n v="2024"/>
  </r>
  <r>
    <s v="TXN02310"/>
    <x v="9"/>
    <x v="3"/>
    <x v="21"/>
    <x v="1"/>
    <d v="2024-12-06T00:00:00"/>
    <x v="8"/>
    <n v="3100.63"/>
    <n v="10"/>
    <x v="2"/>
    <n v="310.06"/>
    <x v="2308"/>
    <n v="2790.57"/>
    <x v="3"/>
    <n v="2024"/>
  </r>
  <r>
    <s v="TXN02311"/>
    <x v="11"/>
    <x v="3"/>
    <x v="20"/>
    <x v="4"/>
    <d v="2024-05-07T00:00:00"/>
    <x v="9"/>
    <n v="3235.19"/>
    <n v="10"/>
    <x v="4"/>
    <n v="3235.19"/>
    <x v="2309"/>
    <n v="29116.71"/>
    <x v="9"/>
    <n v="2024"/>
  </r>
  <r>
    <s v="TXN02312"/>
    <x v="0"/>
    <x v="0"/>
    <x v="6"/>
    <x v="0"/>
    <d v="2024-01-29T00:00:00"/>
    <x v="9"/>
    <n v="25102.44"/>
    <n v="0"/>
    <x v="4"/>
    <n v="0"/>
    <x v="2310"/>
    <n v="251024.4"/>
    <x v="10"/>
    <n v="2024"/>
  </r>
  <r>
    <s v="TXN02313"/>
    <x v="14"/>
    <x v="4"/>
    <x v="23"/>
    <x v="2"/>
    <d v="2025-06-12T00:00:00"/>
    <x v="0"/>
    <n v="10750.49"/>
    <n v="20"/>
    <x v="7"/>
    <n v="6450.29"/>
    <x v="2311"/>
    <n v="25801.18"/>
    <x v="5"/>
    <n v="2025"/>
  </r>
  <r>
    <s v="TXN02314"/>
    <x v="10"/>
    <x v="2"/>
    <x v="11"/>
    <x v="6"/>
    <d v="2025-07-13T00:00:00"/>
    <x v="6"/>
    <n v="5695.53"/>
    <n v="0"/>
    <x v="1"/>
    <n v="0"/>
    <x v="2312"/>
    <n v="51259.77"/>
    <x v="11"/>
    <n v="2025"/>
  </r>
  <r>
    <s v="TXN02315"/>
    <x v="4"/>
    <x v="4"/>
    <x v="23"/>
    <x v="6"/>
    <d v="2024-04-09T00:00:00"/>
    <x v="7"/>
    <n v="9199.0499999999993"/>
    <n v="10"/>
    <x v="3"/>
    <n v="4599.53"/>
    <x v="2313"/>
    <n v="41395.72"/>
    <x v="1"/>
    <n v="2024"/>
  </r>
  <r>
    <s v="TXN02316"/>
    <x v="4"/>
    <x v="4"/>
    <x v="14"/>
    <x v="1"/>
    <d v="2024-11-30T00:00:00"/>
    <x v="9"/>
    <n v="1561.19"/>
    <n v="15"/>
    <x v="0"/>
    <n v="2341.7800000000002"/>
    <x v="2314"/>
    <n v="13270.12"/>
    <x v="8"/>
    <n v="2024"/>
  </r>
  <r>
    <s v="TXN02317"/>
    <x v="9"/>
    <x v="4"/>
    <x v="19"/>
    <x v="5"/>
    <d v="2025-12-16T00:00:00"/>
    <x v="9"/>
    <n v="8790.82"/>
    <n v="20"/>
    <x v="0"/>
    <n v="17581.64"/>
    <x v="2315"/>
    <n v="70326.559999999998"/>
    <x v="3"/>
    <n v="2025"/>
  </r>
  <r>
    <s v="TXN02318"/>
    <x v="5"/>
    <x v="2"/>
    <x v="9"/>
    <x v="6"/>
    <d v="2025-08-03T00:00:00"/>
    <x v="7"/>
    <n v="4824.78"/>
    <n v="0"/>
    <x v="2"/>
    <n v="0"/>
    <x v="2316"/>
    <n v="24123.9"/>
    <x v="0"/>
    <n v="2025"/>
  </r>
  <r>
    <s v="TXN02319"/>
    <x v="12"/>
    <x v="3"/>
    <x v="20"/>
    <x v="0"/>
    <d v="2025-11-06T00:00:00"/>
    <x v="8"/>
    <n v="3571.5"/>
    <n v="20"/>
    <x v="5"/>
    <n v="714.3"/>
    <x v="2317"/>
    <n v="2857.2"/>
    <x v="8"/>
    <n v="2025"/>
  </r>
  <r>
    <s v="TXN02320"/>
    <x v="8"/>
    <x v="1"/>
    <x v="8"/>
    <x v="4"/>
    <d v="2025-12-04T00:00:00"/>
    <x v="2"/>
    <n v="50541.52"/>
    <n v="5"/>
    <x v="1"/>
    <n v="20216.61"/>
    <x v="2318"/>
    <n v="384115.55"/>
    <x v="3"/>
    <n v="2025"/>
  </r>
  <r>
    <s v="TXN02321"/>
    <x v="3"/>
    <x v="4"/>
    <x v="17"/>
    <x v="1"/>
    <d v="2025-04-30T00:00:00"/>
    <x v="5"/>
    <n v="3519.67"/>
    <n v="0"/>
    <x v="7"/>
    <n v="0"/>
    <x v="2319"/>
    <n v="7039.34"/>
    <x v="1"/>
    <n v="2025"/>
  </r>
  <r>
    <s v="TXN02322"/>
    <x v="9"/>
    <x v="1"/>
    <x v="8"/>
    <x v="3"/>
    <d v="2024-07-31T00:00:00"/>
    <x v="4"/>
    <n v="39143.879999999997"/>
    <n v="15"/>
    <x v="2"/>
    <n v="41101.07"/>
    <x v="2320"/>
    <n v="232906.09"/>
    <x v="11"/>
    <n v="2024"/>
  </r>
  <r>
    <s v="TXN02323"/>
    <x v="9"/>
    <x v="1"/>
    <x v="12"/>
    <x v="6"/>
    <d v="2024-12-01T00:00:00"/>
    <x v="3"/>
    <n v="6929.16"/>
    <n v="15"/>
    <x v="4"/>
    <n v="6236.24"/>
    <x v="2321"/>
    <n v="35338.720000000001"/>
    <x v="3"/>
    <n v="2024"/>
  </r>
  <r>
    <s v="TXN02324"/>
    <x v="13"/>
    <x v="4"/>
    <x v="17"/>
    <x v="1"/>
    <d v="2024-05-19T00:00:00"/>
    <x v="7"/>
    <n v="3614.06"/>
    <n v="20"/>
    <x v="4"/>
    <n v="3614.06"/>
    <x v="2322"/>
    <n v="14456.24"/>
    <x v="9"/>
    <n v="2024"/>
  </r>
  <r>
    <s v="TXN02325"/>
    <x v="13"/>
    <x v="3"/>
    <x v="7"/>
    <x v="0"/>
    <d v="2025-01-19T00:00:00"/>
    <x v="7"/>
    <n v="1973.48"/>
    <n v="20"/>
    <x v="2"/>
    <n v="1973.48"/>
    <x v="2323"/>
    <n v="7893.92"/>
    <x v="10"/>
    <n v="2025"/>
  </r>
  <r>
    <s v="TXN02326"/>
    <x v="1"/>
    <x v="2"/>
    <x v="9"/>
    <x v="5"/>
    <d v="2024-02-21T00:00:00"/>
    <x v="3"/>
    <n v="4937.83"/>
    <n v="10"/>
    <x v="2"/>
    <n v="2962.7"/>
    <x v="2324"/>
    <n v="26664.28"/>
    <x v="2"/>
    <n v="2024"/>
  </r>
  <r>
    <s v="TXN02327"/>
    <x v="4"/>
    <x v="1"/>
    <x v="12"/>
    <x v="3"/>
    <d v="2024-11-18T00:00:00"/>
    <x v="4"/>
    <n v="7367.54"/>
    <n v="15"/>
    <x v="4"/>
    <n v="7735.92"/>
    <x v="2325"/>
    <n v="43836.86"/>
    <x v="8"/>
    <n v="2024"/>
  </r>
  <r>
    <s v="TXN02328"/>
    <x v="9"/>
    <x v="4"/>
    <x v="19"/>
    <x v="1"/>
    <d v="2024-11-11T00:00:00"/>
    <x v="3"/>
    <n v="10042.469999999999"/>
    <n v="5"/>
    <x v="6"/>
    <n v="3012.74"/>
    <x v="2326"/>
    <n v="57242.080000000002"/>
    <x v="8"/>
    <n v="2024"/>
  </r>
  <r>
    <s v="TXN02329"/>
    <x v="13"/>
    <x v="2"/>
    <x v="11"/>
    <x v="5"/>
    <d v="2024-09-05T00:00:00"/>
    <x v="3"/>
    <n v="4822.6099999999997"/>
    <n v="15"/>
    <x v="3"/>
    <n v="4340.3500000000004"/>
    <x v="2327"/>
    <n v="24595.31"/>
    <x v="7"/>
    <n v="2024"/>
  </r>
  <r>
    <s v="TXN02330"/>
    <x v="4"/>
    <x v="4"/>
    <x v="18"/>
    <x v="2"/>
    <d v="2025-03-04T00:00:00"/>
    <x v="3"/>
    <n v="12901.8"/>
    <n v="0"/>
    <x v="3"/>
    <n v="0"/>
    <x v="2328"/>
    <n v="77410.8"/>
    <x v="6"/>
    <n v="2025"/>
  </r>
  <r>
    <s v="TXN02331"/>
    <x v="8"/>
    <x v="0"/>
    <x v="24"/>
    <x v="0"/>
    <d v="2024-08-22T00:00:00"/>
    <x v="8"/>
    <n v="6316.02"/>
    <n v="15"/>
    <x v="5"/>
    <n v="947.4"/>
    <x v="2329"/>
    <n v="5368.62"/>
    <x v="0"/>
    <n v="2024"/>
  </r>
  <r>
    <s v="TXN02332"/>
    <x v="6"/>
    <x v="1"/>
    <x v="13"/>
    <x v="4"/>
    <d v="2024-10-28T00:00:00"/>
    <x v="0"/>
    <n v="15058.82"/>
    <n v="15"/>
    <x v="3"/>
    <n v="6776.47"/>
    <x v="2330"/>
    <n v="38399.99"/>
    <x v="4"/>
    <n v="2024"/>
  </r>
  <r>
    <s v="TXN02333"/>
    <x v="0"/>
    <x v="4"/>
    <x v="23"/>
    <x v="2"/>
    <d v="2024-11-14T00:00:00"/>
    <x v="4"/>
    <n v="10269.43"/>
    <n v="10"/>
    <x v="6"/>
    <n v="7188.6"/>
    <x v="2331"/>
    <n v="64697.41"/>
    <x v="8"/>
    <n v="2024"/>
  </r>
  <r>
    <s v="TXN02334"/>
    <x v="1"/>
    <x v="2"/>
    <x v="10"/>
    <x v="1"/>
    <d v="2024-03-21T00:00:00"/>
    <x v="0"/>
    <n v="2425.58"/>
    <n v="0"/>
    <x v="7"/>
    <n v="0"/>
    <x v="2332"/>
    <n v="7276.74"/>
    <x v="6"/>
    <n v="2024"/>
  </r>
  <r>
    <s v="TXN02335"/>
    <x v="14"/>
    <x v="0"/>
    <x v="3"/>
    <x v="3"/>
    <d v="2025-06-30T00:00:00"/>
    <x v="6"/>
    <n v="19077.38"/>
    <n v="0"/>
    <x v="4"/>
    <n v="0"/>
    <x v="2333"/>
    <n v="171696.42"/>
    <x v="5"/>
    <n v="2025"/>
  </r>
  <r>
    <s v="TXN02336"/>
    <x v="13"/>
    <x v="0"/>
    <x v="1"/>
    <x v="1"/>
    <d v="2025-08-25T00:00:00"/>
    <x v="6"/>
    <n v="3436.48"/>
    <n v="15"/>
    <x v="6"/>
    <n v="4639.25"/>
    <x v="2334"/>
    <n v="26289.07"/>
    <x v="0"/>
    <n v="2025"/>
  </r>
  <r>
    <s v="TXN02337"/>
    <x v="7"/>
    <x v="4"/>
    <x v="14"/>
    <x v="4"/>
    <d v="2024-06-26T00:00:00"/>
    <x v="9"/>
    <n v="1573.32"/>
    <n v="10"/>
    <x v="7"/>
    <n v="1573.32"/>
    <x v="2335"/>
    <n v="14159.88"/>
    <x v="5"/>
    <n v="2024"/>
  </r>
  <r>
    <s v="TXN02338"/>
    <x v="14"/>
    <x v="4"/>
    <x v="17"/>
    <x v="3"/>
    <d v="2025-04-01T00:00:00"/>
    <x v="0"/>
    <n v="4019.94"/>
    <n v="15"/>
    <x v="4"/>
    <n v="1808.97"/>
    <x v="2336"/>
    <n v="10250.85"/>
    <x v="1"/>
    <n v="2025"/>
  </r>
  <r>
    <s v="TXN02339"/>
    <x v="8"/>
    <x v="3"/>
    <x v="7"/>
    <x v="3"/>
    <d v="2024-03-18T00:00:00"/>
    <x v="0"/>
    <n v="1948.7"/>
    <n v="5"/>
    <x v="2"/>
    <n v="292.31"/>
    <x v="2337"/>
    <n v="5553.79"/>
    <x v="6"/>
    <n v="2024"/>
  </r>
  <r>
    <s v="TXN02340"/>
    <x v="9"/>
    <x v="0"/>
    <x v="6"/>
    <x v="0"/>
    <d v="2025-05-05T00:00:00"/>
    <x v="3"/>
    <n v="23924.85"/>
    <n v="10"/>
    <x v="0"/>
    <n v="14354.91"/>
    <x v="2338"/>
    <n v="129194.19"/>
    <x v="9"/>
    <n v="2025"/>
  </r>
  <r>
    <s v="TXN02341"/>
    <x v="4"/>
    <x v="2"/>
    <x v="9"/>
    <x v="3"/>
    <d v="2025-04-17T00:00:00"/>
    <x v="6"/>
    <n v="4444.1499999999996"/>
    <n v="5"/>
    <x v="1"/>
    <n v="1999.87"/>
    <x v="2339"/>
    <n v="37997.480000000003"/>
    <x v="1"/>
    <n v="2025"/>
  </r>
  <r>
    <s v="TXN02342"/>
    <x v="9"/>
    <x v="3"/>
    <x v="20"/>
    <x v="4"/>
    <d v="2024-05-10T00:00:00"/>
    <x v="5"/>
    <n v="3737.78"/>
    <n v="5"/>
    <x v="4"/>
    <n v="373.78"/>
    <x v="2340"/>
    <n v="7101.78"/>
    <x v="9"/>
    <n v="2024"/>
  </r>
  <r>
    <s v="TXN02343"/>
    <x v="14"/>
    <x v="2"/>
    <x v="22"/>
    <x v="0"/>
    <d v="2024-10-01T00:00:00"/>
    <x v="8"/>
    <n v="898.78"/>
    <n v="15"/>
    <x v="5"/>
    <n v="134.82"/>
    <x v="2341"/>
    <n v="763.96"/>
    <x v="4"/>
    <n v="2024"/>
  </r>
  <r>
    <s v="TXN02344"/>
    <x v="8"/>
    <x v="3"/>
    <x v="20"/>
    <x v="0"/>
    <d v="2025-10-29T00:00:00"/>
    <x v="2"/>
    <n v="3790.84"/>
    <n v="5"/>
    <x v="4"/>
    <n v="1516.34"/>
    <x v="2342"/>
    <n v="28810.38"/>
    <x v="4"/>
    <n v="2025"/>
  </r>
  <r>
    <s v="TXN02345"/>
    <x v="6"/>
    <x v="1"/>
    <x v="12"/>
    <x v="4"/>
    <d v="2024-06-06T00:00:00"/>
    <x v="2"/>
    <n v="5828.2"/>
    <n v="20"/>
    <x v="0"/>
    <n v="9325.1200000000008"/>
    <x v="2343"/>
    <n v="37300.480000000003"/>
    <x v="5"/>
    <n v="2024"/>
  </r>
  <r>
    <s v="TXN02346"/>
    <x v="8"/>
    <x v="2"/>
    <x v="9"/>
    <x v="6"/>
    <d v="2025-04-06T00:00:00"/>
    <x v="2"/>
    <n v="5063.82"/>
    <n v="15"/>
    <x v="7"/>
    <n v="6076.58"/>
    <x v="2344"/>
    <n v="34433.980000000003"/>
    <x v="1"/>
    <n v="2025"/>
  </r>
  <r>
    <s v="TXN02347"/>
    <x v="8"/>
    <x v="1"/>
    <x v="13"/>
    <x v="0"/>
    <d v="2025-05-16T00:00:00"/>
    <x v="0"/>
    <n v="10892.12"/>
    <n v="20"/>
    <x v="3"/>
    <n v="6535.27"/>
    <x v="2345"/>
    <n v="26141.09"/>
    <x v="9"/>
    <n v="2025"/>
  </r>
  <r>
    <s v="TXN02348"/>
    <x v="8"/>
    <x v="2"/>
    <x v="9"/>
    <x v="4"/>
    <d v="2025-05-01T00:00:00"/>
    <x v="3"/>
    <n v="4853.49"/>
    <n v="20"/>
    <x v="7"/>
    <n v="5824.19"/>
    <x v="2346"/>
    <n v="23296.75"/>
    <x v="9"/>
    <n v="2025"/>
  </r>
  <r>
    <s v="TXN02349"/>
    <x v="12"/>
    <x v="0"/>
    <x v="0"/>
    <x v="3"/>
    <d v="2024-09-09T00:00:00"/>
    <x v="8"/>
    <n v="62642.61"/>
    <n v="5"/>
    <x v="2"/>
    <n v="3132.13"/>
    <x v="2347"/>
    <n v="59510.48"/>
    <x v="7"/>
    <n v="2024"/>
  </r>
  <r>
    <s v="TXN02350"/>
    <x v="12"/>
    <x v="0"/>
    <x v="24"/>
    <x v="3"/>
    <d v="2024-11-28T00:00:00"/>
    <x v="6"/>
    <n v="7898.35"/>
    <n v="5"/>
    <x v="0"/>
    <n v="3554.26"/>
    <x v="2348"/>
    <n v="67530.89"/>
    <x v="8"/>
    <n v="2024"/>
  </r>
  <r>
    <s v="TXN02351"/>
    <x v="14"/>
    <x v="3"/>
    <x v="21"/>
    <x v="4"/>
    <d v="2024-08-23T00:00:00"/>
    <x v="7"/>
    <n v="2257.38"/>
    <n v="0"/>
    <x v="5"/>
    <n v="0"/>
    <x v="2349"/>
    <n v="11286.9"/>
    <x v="0"/>
    <n v="2024"/>
  </r>
  <r>
    <s v="TXN02352"/>
    <x v="0"/>
    <x v="2"/>
    <x v="10"/>
    <x v="3"/>
    <d v="2025-03-27T00:00:00"/>
    <x v="2"/>
    <n v="2565.7199999999998"/>
    <n v="20"/>
    <x v="2"/>
    <n v="4105.1499999999996"/>
    <x v="2350"/>
    <n v="16420.61"/>
    <x v="6"/>
    <n v="2025"/>
  </r>
  <r>
    <s v="TXN02353"/>
    <x v="3"/>
    <x v="0"/>
    <x v="24"/>
    <x v="4"/>
    <d v="2024-09-17T00:00:00"/>
    <x v="7"/>
    <n v="7904.38"/>
    <n v="10"/>
    <x v="4"/>
    <n v="3952.19"/>
    <x v="2351"/>
    <n v="35569.71"/>
    <x v="7"/>
    <n v="2024"/>
  </r>
  <r>
    <s v="TXN02354"/>
    <x v="1"/>
    <x v="3"/>
    <x v="20"/>
    <x v="1"/>
    <d v="2025-07-01T00:00:00"/>
    <x v="3"/>
    <n v="3752.38"/>
    <n v="15"/>
    <x v="0"/>
    <n v="3377.14"/>
    <x v="2352"/>
    <n v="19137.14"/>
    <x v="11"/>
    <n v="2025"/>
  </r>
  <r>
    <s v="TXN02355"/>
    <x v="2"/>
    <x v="2"/>
    <x v="11"/>
    <x v="5"/>
    <d v="2024-01-16T00:00:00"/>
    <x v="3"/>
    <n v="4801.1499999999996"/>
    <n v="20"/>
    <x v="7"/>
    <n v="5761.38"/>
    <x v="2353"/>
    <n v="23045.52"/>
    <x v="10"/>
    <n v="2024"/>
  </r>
  <r>
    <s v="TXN02356"/>
    <x v="9"/>
    <x v="0"/>
    <x v="6"/>
    <x v="5"/>
    <d v="2025-07-05T00:00:00"/>
    <x v="4"/>
    <n v="27524.41"/>
    <n v="20"/>
    <x v="4"/>
    <n v="38534.17"/>
    <x v="2354"/>
    <n v="154136.70000000001"/>
    <x v="11"/>
    <n v="2025"/>
  </r>
  <r>
    <s v="TXN02357"/>
    <x v="12"/>
    <x v="2"/>
    <x v="9"/>
    <x v="6"/>
    <d v="2025-12-08T00:00:00"/>
    <x v="9"/>
    <n v="4530.3900000000003"/>
    <n v="10"/>
    <x v="3"/>
    <n v="4530.3900000000003"/>
    <x v="2355"/>
    <n v="40773.51"/>
    <x v="3"/>
    <n v="2025"/>
  </r>
  <r>
    <s v="TXN02358"/>
    <x v="0"/>
    <x v="4"/>
    <x v="14"/>
    <x v="4"/>
    <d v="2024-04-17T00:00:00"/>
    <x v="7"/>
    <n v="1664.9"/>
    <n v="5"/>
    <x v="6"/>
    <n v="416.23"/>
    <x v="2356"/>
    <n v="7908.27"/>
    <x v="1"/>
    <n v="2024"/>
  </r>
  <r>
    <s v="TXN02359"/>
    <x v="2"/>
    <x v="3"/>
    <x v="16"/>
    <x v="1"/>
    <d v="2025-09-04T00:00:00"/>
    <x v="6"/>
    <n v="1630.39"/>
    <n v="15"/>
    <x v="7"/>
    <n v="2201.0300000000002"/>
    <x v="2357"/>
    <n v="12472.48"/>
    <x v="7"/>
    <n v="2025"/>
  </r>
  <r>
    <s v="TXN02360"/>
    <x v="5"/>
    <x v="3"/>
    <x v="7"/>
    <x v="4"/>
    <d v="2025-07-24T00:00:00"/>
    <x v="1"/>
    <n v="1886.58"/>
    <n v="5"/>
    <x v="0"/>
    <n v="377.32"/>
    <x v="2358"/>
    <n v="7169"/>
    <x v="11"/>
    <n v="2025"/>
  </r>
  <r>
    <s v="TXN02361"/>
    <x v="2"/>
    <x v="2"/>
    <x v="5"/>
    <x v="6"/>
    <d v="2024-06-03T00:00:00"/>
    <x v="5"/>
    <n v="1375.6"/>
    <n v="20"/>
    <x v="7"/>
    <n v="550.24"/>
    <x v="2359"/>
    <n v="2200.96"/>
    <x v="5"/>
    <n v="2024"/>
  </r>
  <r>
    <s v="TXN02362"/>
    <x v="1"/>
    <x v="4"/>
    <x v="17"/>
    <x v="3"/>
    <d v="2025-08-03T00:00:00"/>
    <x v="1"/>
    <n v="4010.48"/>
    <n v="20"/>
    <x v="3"/>
    <n v="3208.38"/>
    <x v="2360"/>
    <n v="12833.54"/>
    <x v="0"/>
    <n v="2025"/>
  </r>
  <r>
    <s v="TXN02363"/>
    <x v="0"/>
    <x v="2"/>
    <x v="10"/>
    <x v="6"/>
    <d v="2024-06-20T00:00:00"/>
    <x v="0"/>
    <n v="2325.6999999999998"/>
    <n v="0"/>
    <x v="0"/>
    <n v="0"/>
    <x v="2361"/>
    <n v="6977.1"/>
    <x v="5"/>
    <n v="2024"/>
  </r>
  <r>
    <s v="TXN02364"/>
    <x v="2"/>
    <x v="0"/>
    <x v="6"/>
    <x v="4"/>
    <d v="2024-01-17T00:00:00"/>
    <x v="5"/>
    <n v="26822.91"/>
    <n v="15"/>
    <x v="1"/>
    <n v="8046.87"/>
    <x v="2362"/>
    <n v="45598.95"/>
    <x v="10"/>
    <n v="2024"/>
  </r>
  <r>
    <s v="TXN02365"/>
    <x v="1"/>
    <x v="4"/>
    <x v="23"/>
    <x v="1"/>
    <d v="2024-01-31T00:00:00"/>
    <x v="6"/>
    <n v="11103.19"/>
    <n v="20"/>
    <x v="1"/>
    <n v="19985.740000000002"/>
    <x v="2363"/>
    <n v="79942.97"/>
    <x v="10"/>
    <n v="2024"/>
  </r>
  <r>
    <s v="TXN02366"/>
    <x v="0"/>
    <x v="2"/>
    <x v="9"/>
    <x v="5"/>
    <d v="2024-01-12T00:00:00"/>
    <x v="6"/>
    <n v="4144.0600000000004"/>
    <n v="10"/>
    <x v="7"/>
    <n v="3729.65"/>
    <x v="2364"/>
    <n v="33566.89"/>
    <x v="10"/>
    <n v="2024"/>
  </r>
  <r>
    <s v="TXN02367"/>
    <x v="1"/>
    <x v="1"/>
    <x v="4"/>
    <x v="3"/>
    <d v="2024-10-22T00:00:00"/>
    <x v="8"/>
    <n v="9937.99"/>
    <n v="5"/>
    <x v="7"/>
    <n v="496.9"/>
    <x v="2365"/>
    <n v="9441.09"/>
    <x v="4"/>
    <n v="2024"/>
  </r>
  <r>
    <s v="TXN02368"/>
    <x v="14"/>
    <x v="2"/>
    <x v="22"/>
    <x v="0"/>
    <d v="2025-10-18T00:00:00"/>
    <x v="5"/>
    <n v="1036.93"/>
    <n v="0"/>
    <x v="0"/>
    <n v="0"/>
    <x v="2366"/>
    <n v="2073.86"/>
    <x v="4"/>
    <n v="2025"/>
  </r>
  <r>
    <s v="TXN02369"/>
    <x v="1"/>
    <x v="4"/>
    <x v="19"/>
    <x v="3"/>
    <d v="2024-07-18T00:00:00"/>
    <x v="3"/>
    <n v="7818.66"/>
    <n v="20"/>
    <x v="3"/>
    <n v="9382.39"/>
    <x v="2367"/>
    <n v="37529.57"/>
    <x v="11"/>
    <n v="2024"/>
  </r>
  <r>
    <s v="TXN02370"/>
    <x v="13"/>
    <x v="3"/>
    <x v="15"/>
    <x v="1"/>
    <d v="2024-01-18T00:00:00"/>
    <x v="2"/>
    <n v="887.06"/>
    <n v="15"/>
    <x v="0"/>
    <n v="1064.47"/>
    <x v="2368"/>
    <n v="6032.01"/>
    <x v="10"/>
    <n v="2024"/>
  </r>
  <r>
    <s v="TXN02371"/>
    <x v="3"/>
    <x v="1"/>
    <x v="12"/>
    <x v="3"/>
    <d v="2024-12-03T00:00:00"/>
    <x v="9"/>
    <n v="6565.66"/>
    <n v="0"/>
    <x v="4"/>
    <n v="0"/>
    <x v="2369"/>
    <n v="65656.600000000006"/>
    <x v="3"/>
    <n v="2024"/>
  </r>
  <r>
    <s v="TXN02372"/>
    <x v="14"/>
    <x v="3"/>
    <x v="15"/>
    <x v="2"/>
    <d v="2025-03-22T00:00:00"/>
    <x v="4"/>
    <n v="914.49"/>
    <n v="15"/>
    <x v="1"/>
    <n v="960.21"/>
    <x v="2370"/>
    <n v="5441.22"/>
    <x v="6"/>
    <n v="2025"/>
  </r>
  <r>
    <s v="TXN02373"/>
    <x v="6"/>
    <x v="4"/>
    <x v="19"/>
    <x v="1"/>
    <d v="2025-10-24T00:00:00"/>
    <x v="4"/>
    <n v="9935.51"/>
    <n v="10"/>
    <x v="1"/>
    <n v="6954.86"/>
    <x v="2371"/>
    <n v="62593.71"/>
    <x v="4"/>
    <n v="2025"/>
  </r>
  <r>
    <s v="TXN02374"/>
    <x v="0"/>
    <x v="0"/>
    <x v="0"/>
    <x v="3"/>
    <d v="2024-10-15T00:00:00"/>
    <x v="8"/>
    <n v="78788.759999999995"/>
    <n v="20"/>
    <x v="0"/>
    <n v="15757.75"/>
    <x v="2372"/>
    <n v="63031.01"/>
    <x v="4"/>
    <n v="2024"/>
  </r>
  <r>
    <s v="TXN02375"/>
    <x v="1"/>
    <x v="3"/>
    <x v="15"/>
    <x v="6"/>
    <d v="2025-09-25T00:00:00"/>
    <x v="2"/>
    <n v="728.39"/>
    <n v="20"/>
    <x v="4"/>
    <n v="1165.42"/>
    <x v="2373"/>
    <n v="4661.7"/>
    <x v="7"/>
    <n v="2025"/>
  </r>
  <r>
    <s v="TXN02376"/>
    <x v="10"/>
    <x v="0"/>
    <x v="3"/>
    <x v="6"/>
    <d v="2025-03-16T00:00:00"/>
    <x v="4"/>
    <n v="18667.060000000001"/>
    <n v="10"/>
    <x v="0"/>
    <n v="13066.94"/>
    <x v="2374"/>
    <n v="117602.48"/>
    <x v="6"/>
    <n v="2025"/>
  </r>
  <r>
    <s v="TXN02377"/>
    <x v="1"/>
    <x v="2"/>
    <x v="5"/>
    <x v="6"/>
    <d v="2024-06-12T00:00:00"/>
    <x v="4"/>
    <n v="1262.08"/>
    <n v="0"/>
    <x v="2"/>
    <n v="0"/>
    <x v="2375"/>
    <n v="8834.56"/>
    <x v="5"/>
    <n v="2024"/>
  </r>
  <r>
    <s v="TXN02378"/>
    <x v="9"/>
    <x v="2"/>
    <x v="5"/>
    <x v="5"/>
    <d v="2025-04-28T00:00:00"/>
    <x v="6"/>
    <n v="1378.5"/>
    <n v="15"/>
    <x v="7"/>
    <n v="1860.97"/>
    <x v="2376"/>
    <n v="10545.53"/>
    <x v="1"/>
    <n v="2025"/>
  </r>
  <r>
    <s v="TXN02379"/>
    <x v="3"/>
    <x v="2"/>
    <x v="10"/>
    <x v="1"/>
    <d v="2025-08-28T00:00:00"/>
    <x v="4"/>
    <n v="2362.88"/>
    <n v="15"/>
    <x v="5"/>
    <n v="2481.02"/>
    <x v="2377"/>
    <n v="14059.14"/>
    <x v="0"/>
    <n v="2025"/>
  </r>
  <r>
    <s v="TXN02380"/>
    <x v="11"/>
    <x v="0"/>
    <x v="1"/>
    <x v="5"/>
    <d v="2025-12-10T00:00:00"/>
    <x v="9"/>
    <n v="3165.32"/>
    <n v="0"/>
    <x v="1"/>
    <n v="0"/>
    <x v="2378"/>
    <n v="31653.200000000001"/>
    <x v="3"/>
    <n v="2025"/>
  </r>
  <r>
    <s v="TXN02381"/>
    <x v="1"/>
    <x v="0"/>
    <x v="6"/>
    <x v="2"/>
    <d v="2025-04-10T00:00:00"/>
    <x v="6"/>
    <n v="26108.2"/>
    <n v="5"/>
    <x v="5"/>
    <n v="11748.69"/>
    <x v="2379"/>
    <n v="223225.11"/>
    <x v="1"/>
    <n v="2025"/>
  </r>
  <r>
    <s v="TXN02382"/>
    <x v="5"/>
    <x v="4"/>
    <x v="17"/>
    <x v="1"/>
    <d v="2025-08-08T00:00:00"/>
    <x v="3"/>
    <n v="3967.71"/>
    <n v="0"/>
    <x v="1"/>
    <n v="0"/>
    <x v="2380"/>
    <n v="23806.26"/>
    <x v="0"/>
    <n v="2025"/>
  </r>
  <r>
    <s v="TXN02383"/>
    <x v="3"/>
    <x v="4"/>
    <x v="19"/>
    <x v="6"/>
    <d v="2024-04-30T00:00:00"/>
    <x v="2"/>
    <n v="8173.32"/>
    <n v="10"/>
    <x v="5"/>
    <n v="6538.66"/>
    <x v="2381"/>
    <n v="58847.9"/>
    <x v="1"/>
    <n v="2024"/>
  </r>
  <r>
    <s v="TXN02384"/>
    <x v="11"/>
    <x v="0"/>
    <x v="6"/>
    <x v="0"/>
    <d v="2025-09-08T00:00:00"/>
    <x v="0"/>
    <n v="27400.36"/>
    <n v="0"/>
    <x v="2"/>
    <n v="0"/>
    <x v="2382"/>
    <n v="82201.08"/>
    <x v="7"/>
    <n v="2025"/>
  </r>
  <r>
    <s v="TXN02385"/>
    <x v="7"/>
    <x v="2"/>
    <x v="11"/>
    <x v="0"/>
    <d v="2025-09-15T00:00:00"/>
    <x v="9"/>
    <n v="5003.5200000000004"/>
    <n v="5"/>
    <x v="7"/>
    <n v="2501.7600000000002"/>
    <x v="2383"/>
    <n v="47533.440000000002"/>
    <x v="7"/>
    <n v="2025"/>
  </r>
  <r>
    <s v="TXN02386"/>
    <x v="7"/>
    <x v="4"/>
    <x v="19"/>
    <x v="4"/>
    <d v="2025-09-09T00:00:00"/>
    <x v="2"/>
    <n v="7868.53"/>
    <n v="20"/>
    <x v="3"/>
    <n v="12589.65"/>
    <x v="2384"/>
    <n v="50358.59"/>
    <x v="7"/>
    <n v="2025"/>
  </r>
  <r>
    <s v="TXN02387"/>
    <x v="13"/>
    <x v="0"/>
    <x v="24"/>
    <x v="3"/>
    <d v="2025-01-10T00:00:00"/>
    <x v="7"/>
    <n v="7903.43"/>
    <n v="0"/>
    <x v="4"/>
    <n v="0"/>
    <x v="2385"/>
    <n v="39517.15"/>
    <x v="10"/>
    <n v="2025"/>
  </r>
  <r>
    <s v="TXN02388"/>
    <x v="8"/>
    <x v="2"/>
    <x v="22"/>
    <x v="0"/>
    <d v="2025-05-12T00:00:00"/>
    <x v="8"/>
    <n v="881.77"/>
    <n v="20"/>
    <x v="5"/>
    <n v="176.35"/>
    <x v="2386"/>
    <n v="705.42"/>
    <x v="9"/>
    <n v="2025"/>
  </r>
  <r>
    <s v="TXN02389"/>
    <x v="4"/>
    <x v="1"/>
    <x v="12"/>
    <x v="6"/>
    <d v="2024-05-09T00:00:00"/>
    <x v="3"/>
    <n v="6145.42"/>
    <n v="0"/>
    <x v="3"/>
    <n v="0"/>
    <x v="2387"/>
    <n v="36872.519999999997"/>
    <x v="9"/>
    <n v="2024"/>
  </r>
  <r>
    <s v="TXN02390"/>
    <x v="0"/>
    <x v="2"/>
    <x v="10"/>
    <x v="1"/>
    <d v="2025-10-09T00:00:00"/>
    <x v="4"/>
    <n v="2625.95"/>
    <n v="10"/>
    <x v="7"/>
    <n v="1838.17"/>
    <x v="2388"/>
    <n v="16543.48"/>
    <x v="4"/>
    <n v="2025"/>
  </r>
  <r>
    <s v="TXN02391"/>
    <x v="13"/>
    <x v="4"/>
    <x v="19"/>
    <x v="5"/>
    <d v="2024-08-04T00:00:00"/>
    <x v="0"/>
    <n v="7756.89"/>
    <n v="15"/>
    <x v="3"/>
    <n v="3490.6"/>
    <x v="2389"/>
    <n v="19780.07"/>
    <x v="0"/>
    <n v="2024"/>
  </r>
  <r>
    <s v="TXN02392"/>
    <x v="7"/>
    <x v="1"/>
    <x v="8"/>
    <x v="6"/>
    <d v="2024-10-13T00:00:00"/>
    <x v="8"/>
    <n v="40242.519999999997"/>
    <n v="15"/>
    <x v="5"/>
    <n v="6036.38"/>
    <x v="2390"/>
    <n v="34206.14"/>
    <x v="4"/>
    <n v="2024"/>
  </r>
  <r>
    <s v="TXN02393"/>
    <x v="7"/>
    <x v="2"/>
    <x v="11"/>
    <x v="4"/>
    <d v="2025-04-08T00:00:00"/>
    <x v="1"/>
    <n v="4612.6099999999997"/>
    <n v="15"/>
    <x v="4"/>
    <n v="2767.57"/>
    <x v="2391"/>
    <n v="15682.87"/>
    <x v="1"/>
    <n v="2025"/>
  </r>
  <r>
    <s v="TXN02394"/>
    <x v="14"/>
    <x v="0"/>
    <x v="24"/>
    <x v="6"/>
    <d v="2024-01-07T00:00:00"/>
    <x v="2"/>
    <n v="6415.34"/>
    <n v="10"/>
    <x v="5"/>
    <n v="5132.2700000000004"/>
    <x v="2392"/>
    <n v="46190.45"/>
    <x v="10"/>
    <n v="2024"/>
  </r>
  <r>
    <s v="TXN02395"/>
    <x v="6"/>
    <x v="2"/>
    <x v="10"/>
    <x v="1"/>
    <d v="2024-01-02T00:00:00"/>
    <x v="9"/>
    <n v="2361.25"/>
    <n v="15"/>
    <x v="5"/>
    <n v="3541.88"/>
    <x v="2393"/>
    <n v="20070.62"/>
    <x v="10"/>
    <n v="2024"/>
  </r>
  <r>
    <s v="TXN02396"/>
    <x v="3"/>
    <x v="0"/>
    <x v="0"/>
    <x v="4"/>
    <d v="2024-03-23T00:00:00"/>
    <x v="8"/>
    <n v="70587.86"/>
    <n v="5"/>
    <x v="2"/>
    <n v="3529.39"/>
    <x v="2394"/>
    <n v="67058.47"/>
    <x v="6"/>
    <n v="2024"/>
  </r>
  <r>
    <s v="TXN02397"/>
    <x v="4"/>
    <x v="4"/>
    <x v="17"/>
    <x v="6"/>
    <d v="2024-07-23T00:00:00"/>
    <x v="8"/>
    <n v="3178.72"/>
    <n v="0"/>
    <x v="3"/>
    <n v="0"/>
    <x v="2395"/>
    <n v="3178.72"/>
    <x v="11"/>
    <n v="2024"/>
  </r>
  <r>
    <s v="TXN02398"/>
    <x v="3"/>
    <x v="4"/>
    <x v="14"/>
    <x v="2"/>
    <d v="2024-01-05T00:00:00"/>
    <x v="2"/>
    <n v="1446.16"/>
    <n v="0"/>
    <x v="1"/>
    <n v="0"/>
    <x v="2396"/>
    <n v="11569.28"/>
    <x v="10"/>
    <n v="2024"/>
  </r>
  <r>
    <s v="TXN02399"/>
    <x v="10"/>
    <x v="2"/>
    <x v="11"/>
    <x v="0"/>
    <d v="2025-12-16T00:00:00"/>
    <x v="7"/>
    <n v="5262.13"/>
    <n v="5"/>
    <x v="5"/>
    <n v="1315.53"/>
    <x v="2397"/>
    <n v="24995.119999999999"/>
    <x v="3"/>
    <n v="2025"/>
  </r>
  <r>
    <s v="TXN02400"/>
    <x v="11"/>
    <x v="2"/>
    <x v="11"/>
    <x v="5"/>
    <d v="2025-02-26T00:00:00"/>
    <x v="3"/>
    <n v="4664.38"/>
    <n v="10"/>
    <x v="0"/>
    <n v="2798.63"/>
    <x v="2398"/>
    <n v="25187.65"/>
    <x v="2"/>
    <n v="2025"/>
  </r>
  <r>
    <s v="TXN02401"/>
    <x v="10"/>
    <x v="3"/>
    <x v="16"/>
    <x v="1"/>
    <d v="2024-03-31T00:00:00"/>
    <x v="9"/>
    <n v="1647.39"/>
    <n v="20"/>
    <x v="2"/>
    <n v="3294.78"/>
    <x v="2399"/>
    <n v="13179.12"/>
    <x v="6"/>
    <n v="2024"/>
  </r>
  <r>
    <s v="TXN02402"/>
    <x v="2"/>
    <x v="1"/>
    <x v="2"/>
    <x v="3"/>
    <d v="2025-07-05T00:00:00"/>
    <x v="5"/>
    <n v="23832.61"/>
    <n v="0"/>
    <x v="4"/>
    <n v="0"/>
    <x v="2400"/>
    <n v="47665.22"/>
    <x v="11"/>
    <n v="2025"/>
  </r>
  <r>
    <s v="TXN02403"/>
    <x v="3"/>
    <x v="0"/>
    <x v="3"/>
    <x v="1"/>
    <d v="2024-12-26T00:00:00"/>
    <x v="6"/>
    <n v="21106.74"/>
    <n v="15"/>
    <x v="3"/>
    <n v="28494.1"/>
    <x v="2401"/>
    <n v="161466.56"/>
    <x v="3"/>
    <n v="2024"/>
  </r>
  <r>
    <s v="TXN02404"/>
    <x v="6"/>
    <x v="1"/>
    <x v="13"/>
    <x v="5"/>
    <d v="2024-08-06T00:00:00"/>
    <x v="3"/>
    <n v="12113.55"/>
    <n v="20"/>
    <x v="4"/>
    <n v="14536.26"/>
    <x v="2402"/>
    <n v="58145.04"/>
    <x v="0"/>
    <n v="2024"/>
  </r>
  <r>
    <s v="TXN02405"/>
    <x v="4"/>
    <x v="1"/>
    <x v="4"/>
    <x v="4"/>
    <d v="2025-06-26T00:00:00"/>
    <x v="8"/>
    <n v="8011.26"/>
    <n v="10"/>
    <x v="2"/>
    <n v="801.13"/>
    <x v="2403"/>
    <n v="7210.13"/>
    <x v="5"/>
    <n v="2025"/>
  </r>
  <r>
    <s v="TXN02406"/>
    <x v="13"/>
    <x v="2"/>
    <x v="9"/>
    <x v="2"/>
    <d v="2025-04-03T00:00:00"/>
    <x v="1"/>
    <n v="4711.82"/>
    <n v="5"/>
    <x v="2"/>
    <n v="942.36"/>
    <x v="2404"/>
    <n v="17904.919999999998"/>
    <x v="1"/>
    <n v="2025"/>
  </r>
  <r>
    <s v="TXN02407"/>
    <x v="14"/>
    <x v="3"/>
    <x v="20"/>
    <x v="6"/>
    <d v="2025-07-14T00:00:00"/>
    <x v="7"/>
    <n v="3996.71"/>
    <n v="10"/>
    <x v="0"/>
    <n v="1998.36"/>
    <x v="2405"/>
    <n v="17985.189999999999"/>
    <x v="11"/>
    <n v="2025"/>
  </r>
  <r>
    <s v="TXN02408"/>
    <x v="14"/>
    <x v="1"/>
    <x v="2"/>
    <x v="3"/>
    <d v="2025-02-19T00:00:00"/>
    <x v="0"/>
    <n v="25876.2"/>
    <n v="10"/>
    <x v="4"/>
    <n v="7762.86"/>
    <x v="2406"/>
    <n v="69865.740000000005"/>
    <x v="2"/>
    <n v="2025"/>
  </r>
  <r>
    <s v="TXN02409"/>
    <x v="11"/>
    <x v="3"/>
    <x v="15"/>
    <x v="3"/>
    <d v="2024-10-10T00:00:00"/>
    <x v="8"/>
    <n v="878.56"/>
    <n v="15"/>
    <x v="6"/>
    <n v="131.78"/>
    <x v="2407"/>
    <n v="746.78"/>
    <x v="4"/>
    <n v="2024"/>
  </r>
  <r>
    <s v="TXN02410"/>
    <x v="3"/>
    <x v="2"/>
    <x v="22"/>
    <x v="1"/>
    <d v="2025-02-10T00:00:00"/>
    <x v="0"/>
    <n v="856.35"/>
    <n v="5"/>
    <x v="5"/>
    <n v="128.44999999999999"/>
    <x v="2408"/>
    <n v="2440.6"/>
    <x v="2"/>
    <n v="2025"/>
  </r>
  <r>
    <s v="TXN02411"/>
    <x v="13"/>
    <x v="0"/>
    <x v="1"/>
    <x v="6"/>
    <d v="2024-11-28T00:00:00"/>
    <x v="5"/>
    <n v="3005.07"/>
    <n v="10"/>
    <x v="5"/>
    <n v="601.01"/>
    <x v="2409"/>
    <n v="5409.13"/>
    <x v="8"/>
    <n v="2024"/>
  </r>
  <r>
    <s v="TXN02412"/>
    <x v="6"/>
    <x v="0"/>
    <x v="1"/>
    <x v="4"/>
    <d v="2024-03-26T00:00:00"/>
    <x v="5"/>
    <n v="3047.02"/>
    <n v="20"/>
    <x v="7"/>
    <n v="1218.81"/>
    <x v="2410"/>
    <n v="4875.2299999999996"/>
    <x v="6"/>
    <n v="2024"/>
  </r>
  <r>
    <s v="TXN02413"/>
    <x v="12"/>
    <x v="4"/>
    <x v="17"/>
    <x v="2"/>
    <d v="2024-05-25T00:00:00"/>
    <x v="3"/>
    <n v="3854.76"/>
    <n v="15"/>
    <x v="1"/>
    <n v="3469.28"/>
    <x v="2411"/>
    <n v="19659.28"/>
    <x v="9"/>
    <n v="2024"/>
  </r>
  <r>
    <s v="TXN02414"/>
    <x v="8"/>
    <x v="4"/>
    <x v="17"/>
    <x v="2"/>
    <d v="2024-06-21T00:00:00"/>
    <x v="8"/>
    <n v="3505.36"/>
    <n v="20"/>
    <x v="3"/>
    <n v="701.07"/>
    <x v="2412"/>
    <n v="2804.29"/>
    <x v="5"/>
    <n v="2024"/>
  </r>
  <r>
    <s v="TXN02415"/>
    <x v="3"/>
    <x v="3"/>
    <x v="7"/>
    <x v="3"/>
    <d v="2025-12-16T00:00:00"/>
    <x v="5"/>
    <n v="2119.88"/>
    <n v="0"/>
    <x v="4"/>
    <n v="0"/>
    <x v="2413"/>
    <n v="4239.76"/>
    <x v="3"/>
    <n v="2025"/>
  </r>
  <r>
    <s v="TXN02416"/>
    <x v="7"/>
    <x v="0"/>
    <x v="6"/>
    <x v="5"/>
    <d v="2025-08-02T00:00:00"/>
    <x v="3"/>
    <n v="27949.52"/>
    <n v="0"/>
    <x v="5"/>
    <n v="0"/>
    <x v="2414"/>
    <n v="167697.12"/>
    <x v="0"/>
    <n v="2025"/>
  </r>
  <r>
    <s v="TXN02417"/>
    <x v="4"/>
    <x v="0"/>
    <x v="6"/>
    <x v="5"/>
    <d v="2024-03-21T00:00:00"/>
    <x v="3"/>
    <n v="23193.71"/>
    <n v="5"/>
    <x v="1"/>
    <n v="6958.11"/>
    <x v="2415"/>
    <n v="132204.15"/>
    <x v="6"/>
    <n v="2024"/>
  </r>
  <r>
    <s v="TXN02418"/>
    <x v="10"/>
    <x v="1"/>
    <x v="4"/>
    <x v="2"/>
    <d v="2025-03-26T00:00:00"/>
    <x v="9"/>
    <n v="7879.57"/>
    <n v="15"/>
    <x v="4"/>
    <n v="11819.35"/>
    <x v="2416"/>
    <n v="66976.350000000006"/>
    <x v="6"/>
    <n v="2025"/>
  </r>
  <r>
    <s v="TXN02419"/>
    <x v="4"/>
    <x v="3"/>
    <x v="15"/>
    <x v="5"/>
    <d v="2025-03-29T00:00:00"/>
    <x v="1"/>
    <n v="888.9"/>
    <n v="15"/>
    <x v="7"/>
    <n v="533.34"/>
    <x v="2417"/>
    <n v="3022.26"/>
    <x v="6"/>
    <n v="2025"/>
  </r>
  <r>
    <s v="TXN02420"/>
    <x v="13"/>
    <x v="2"/>
    <x v="11"/>
    <x v="0"/>
    <d v="2025-10-21T00:00:00"/>
    <x v="8"/>
    <n v="6206"/>
    <n v="0"/>
    <x v="5"/>
    <n v="0"/>
    <x v="2418"/>
    <n v="6206"/>
    <x v="4"/>
    <n v="2025"/>
  </r>
  <r>
    <s v="TXN02421"/>
    <x v="1"/>
    <x v="0"/>
    <x v="0"/>
    <x v="0"/>
    <d v="2024-11-07T00:00:00"/>
    <x v="8"/>
    <n v="67983.33"/>
    <n v="20"/>
    <x v="0"/>
    <n v="13596.67"/>
    <x v="2419"/>
    <n v="54386.66"/>
    <x v="8"/>
    <n v="2024"/>
  </r>
  <r>
    <s v="TXN02422"/>
    <x v="5"/>
    <x v="0"/>
    <x v="0"/>
    <x v="0"/>
    <d v="2024-02-02T00:00:00"/>
    <x v="1"/>
    <n v="65461.63"/>
    <n v="20"/>
    <x v="3"/>
    <n v="52369.3"/>
    <x v="2420"/>
    <n v="209477.22"/>
    <x v="2"/>
    <n v="2024"/>
  </r>
  <r>
    <s v="TXN02423"/>
    <x v="6"/>
    <x v="2"/>
    <x v="22"/>
    <x v="1"/>
    <d v="2025-10-03T00:00:00"/>
    <x v="9"/>
    <n v="1116.19"/>
    <n v="5"/>
    <x v="4"/>
    <n v="558.1"/>
    <x v="2421"/>
    <n v="10603.8"/>
    <x v="4"/>
    <n v="2025"/>
  </r>
  <r>
    <s v="TXN02424"/>
    <x v="12"/>
    <x v="3"/>
    <x v="21"/>
    <x v="4"/>
    <d v="2024-12-20T00:00:00"/>
    <x v="1"/>
    <n v="3100.15"/>
    <n v="20"/>
    <x v="5"/>
    <n v="2480.12"/>
    <x v="2422"/>
    <n v="9920.48"/>
    <x v="3"/>
    <n v="2024"/>
  </r>
  <r>
    <s v="TXN02425"/>
    <x v="13"/>
    <x v="3"/>
    <x v="7"/>
    <x v="0"/>
    <d v="2024-03-13T00:00:00"/>
    <x v="8"/>
    <n v="1646.7"/>
    <n v="15"/>
    <x v="2"/>
    <n v="247"/>
    <x v="2423"/>
    <n v="1399.7"/>
    <x v="6"/>
    <n v="2024"/>
  </r>
  <r>
    <s v="TXN02426"/>
    <x v="13"/>
    <x v="2"/>
    <x v="11"/>
    <x v="2"/>
    <d v="2025-02-11T00:00:00"/>
    <x v="9"/>
    <n v="5035.59"/>
    <n v="20"/>
    <x v="1"/>
    <n v="10071.18"/>
    <x v="2424"/>
    <n v="40284.720000000001"/>
    <x v="2"/>
    <n v="2025"/>
  </r>
  <r>
    <s v="TXN02427"/>
    <x v="9"/>
    <x v="0"/>
    <x v="0"/>
    <x v="5"/>
    <d v="2025-05-03T00:00:00"/>
    <x v="7"/>
    <n v="59216.44"/>
    <n v="5"/>
    <x v="6"/>
    <n v="14804.11"/>
    <x v="2425"/>
    <n v="281278.09000000003"/>
    <x v="9"/>
    <n v="2025"/>
  </r>
  <r>
    <s v="TXN02428"/>
    <x v="5"/>
    <x v="4"/>
    <x v="14"/>
    <x v="2"/>
    <d v="2024-08-11T00:00:00"/>
    <x v="1"/>
    <n v="1563.85"/>
    <n v="10"/>
    <x v="3"/>
    <n v="625.54"/>
    <x v="2426"/>
    <n v="5629.86"/>
    <x v="0"/>
    <n v="2024"/>
  </r>
  <r>
    <s v="TXN02429"/>
    <x v="0"/>
    <x v="3"/>
    <x v="21"/>
    <x v="0"/>
    <d v="2024-01-22T00:00:00"/>
    <x v="8"/>
    <n v="2495.39"/>
    <n v="15"/>
    <x v="0"/>
    <n v="374.31"/>
    <x v="2427"/>
    <n v="2121.08"/>
    <x v="10"/>
    <n v="2024"/>
  </r>
  <r>
    <s v="TXN02430"/>
    <x v="3"/>
    <x v="4"/>
    <x v="18"/>
    <x v="0"/>
    <d v="2024-08-11T00:00:00"/>
    <x v="0"/>
    <n v="12698.65"/>
    <n v="0"/>
    <x v="1"/>
    <n v="0"/>
    <x v="2428"/>
    <n v="38095.949999999997"/>
    <x v="0"/>
    <n v="2024"/>
  </r>
  <r>
    <s v="TXN02431"/>
    <x v="2"/>
    <x v="0"/>
    <x v="24"/>
    <x v="5"/>
    <d v="2024-09-18T00:00:00"/>
    <x v="0"/>
    <n v="7872.98"/>
    <n v="5"/>
    <x v="5"/>
    <n v="1180.95"/>
    <x v="2429"/>
    <n v="22437.99"/>
    <x v="7"/>
    <n v="2024"/>
  </r>
  <r>
    <s v="TXN02432"/>
    <x v="11"/>
    <x v="3"/>
    <x v="15"/>
    <x v="6"/>
    <d v="2024-07-07T00:00:00"/>
    <x v="9"/>
    <n v="732.23"/>
    <n v="5"/>
    <x v="4"/>
    <n v="366.12"/>
    <x v="2430"/>
    <n v="6956.18"/>
    <x v="11"/>
    <n v="2024"/>
  </r>
  <r>
    <s v="TXN02433"/>
    <x v="2"/>
    <x v="2"/>
    <x v="5"/>
    <x v="3"/>
    <d v="2024-11-11T00:00:00"/>
    <x v="3"/>
    <n v="1470.48"/>
    <n v="0"/>
    <x v="0"/>
    <n v="0"/>
    <x v="2431"/>
    <n v="8822.8799999999992"/>
    <x v="8"/>
    <n v="2024"/>
  </r>
  <r>
    <s v="TXN02434"/>
    <x v="12"/>
    <x v="0"/>
    <x v="0"/>
    <x v="1"/>
    <d v="2025-11-24T00:00:00"/>
    <x v="8"/>
    <n v="70716.53"/>
    <n v="0"/>
    <x v="2"/>
    <n v="0"/>
    <x v="2432"/>
    <n v="70716.53"/>
    <x v="8"/>
    <n v="2025"/>
  </r>
  <r>
    <s v="TXN02435"/>
    <x v="14"/>
    <x v="2"/>
    <x v="11"/>
    <x v="5"/>
    <d v="2024-09-05T00:00:00"/>
    <x v="8"/>
    <n v="4689.33"/>
    <n v="0"/>
    <x v="4"/>
    <n v="0"/>
    <x v="2433"/>
    <n v="4689.33"/>
    <x v="7"/>
    <n v="2024"/>
  </r>
  <r>
    <s v="TXN02436"/>
    <x v="1"/>
    <x v="0"/>
    <x v="24"/>
    <x v="5"/>
    <d v="2024-05-19T00:00:00"/>
    <x v="9"/>
    <n v="7923.16"/>
    <n v="10"/>
    <x v="0"/>
    <n v="7923.16"/>
    <x v="2434"/>
    <n v="71308.44"/>
    <x v="9"/>
    <n v="2024"/>
  </r>
  <r>
    <s v="TXN02437"/>
    <x v="3"/>
    <x v="3"/>
    <x v="16"/>
    <x v="3"/>
    <d v="2024-11-27T00:00:00"/>
    <x v="9"/>
    <n v="1840.04"/>
    <n v="0"/>
    <x v="6"/>
    <n v="0"/>
    <x v="2435"/>
    <n v="18400.400000000001"/>
    <x v="8"/>
    <n v="2024"/>
  </r>
  <r>
    <s v="TXN02438"/>
    <x v="0"/>
    <x v="1"/>
    <x v="8"/>
    <x v="6"/>
    <d v="2024-11-15T00:00:00"/>
    <x v="0"/>
    <n v="43947.65"/>
    <n v="5"/>
    <x v="2"/>
    <n v="6592.15"/>
    <x v="2436"/>
    <n v="125250.8"/>
    <x v="8"/>
    <n v="2024"/>
  </r>
  <r>
    <s v="TXN02439"/>
    <x v="8"/>
    <x v="1"/>
    <x v="2"/>
    <x v="3"/>
    <d v="2024-01-09T00:00:00"/>
    <x v="0"/>
    <n v="25359.83"/>
    <n v="10"/>
    <x v="3"/>
    <n v="7607.95"/>
    <x v="2437"/>
    <n v="68471.539999999994"/>
    <x v="10"/>
    <n v="2024"/>
  </r>
  <r>
    <s v="TXN02440"/>
    <x v="6"/>
    <x v="2"/>
    <x v="5"/>
    <x v="0"/>
    <d v="2025-04-19T00:00:00"/>
    <x v="8"/>
    <n v="1288.47"/>
    <n v="5"/>
    <x v="6"/>
    <n v="64.42"/>
    <x v="2438"/>
    <n v="1224.05"/>
    <x v="1"/>
    <n v="2025"/>
  </r>
  <r>
    <s v="TXN02441"/>
    <x v="6"/>
    <x v="0"/>
    <x v="24"/>
    <x v="1"/>
    <d v="2024-06-14T00:00:00"/>
    <x v="1"/>
    <n v="7548.96"/>
    <n v="20"/>
    <x v="5"/>
    <n v="6039.17"/>
    <x v="2439"/>
    <n v="24156.67"/>
    <x v="5"/>
    <n v="2024"/>
  </r>
  <r>
    <s v="TXN02442"/>
    <x v="2"/>
    <x v="0"/>
    <x v="6"/>
    <x v="5"/>
    <d v="2024-04-11T00:00:00"/>
    <x v="9"/>
    <n v="27034.73"/>
    <n v="5"/>
    <x v="3"/>
    <n v="13517.36"/>
    <x v="2440"/>
    <n v="256829.94"/>
    <x v="1"/>
    <n v="2024"/>
  </r>
  <r>
    <s v="TXN02443"/>
    <x v="14"/>
    <x v="0"/>
    <x v="3"/>
    <x v="6"/>
    <d v="2025-06-18T00:00:00"/>
    <x v="9"/>
    <n v="20294.37"/>
    <n v="0"/>
    <x v="7"/>
    <n v="0"/>
    <x v="2441"/>
    <n v="202943.7"/>
    <x v="5"/>
    <n v="2025"/>
  </r>
  <r>
    <s v="TXN02444"/>
    <x v="6"/>
    <x v="3"/>
    <x v="21"/>
    <x v="5"/>
    <d v="2024-04-24T00:00:00"/>
    <x v="6"/>
    <n v="2522.83"/>
    <n v="20"/>
    <x v="7"/>
    <n v="4541.09"/>
    <x v="2442"/>
    <n v="18164.38"/>
    <x v="1"/>
    <n v="2024"/>
  </r>
  <r>
    <s v="TXN02445"/>
    <x v="9"/>
    <x v="3"/>
    <x v="20"/>
    <x v="6"/>
    <d v="2025-08-25T00:00:00"/>
    <x v="3"/>
    <n v="3647.85"/>
    <n v="15"/>
    <x v="7"/>
    <n v="3283.06"/>
    <x v="2443"/>
    <n v="18604.04"/>
    <x v="0"/>
    <n v="2025"/>
  </r>
  <r>
    <s v="TXN02446"/>
    <x v="0"/>
    <x v="4"/>
    <x v="18"/>
    <x v="2"/>
    <d v="2025-01-25T00:00:00"/>
    <x v="6"/>
    <n v="12350.29"/>
    <n v="0"/>
    <x v="7"/>
    <n v="0"/>
    <x v="2444"/>
    <n v="111152.61"/>
    <x v="10"/>
    <n v="2025"/>
  </r>
  <r>
    <s v="TXN02447"/>
    <x v="11"/>
    <x v="3"/>
    <x v="7"/>
    <x v="6"/>
    <d v="2024-03-09T00:00:00"/>
    <x v="6"/>
    <n v="2060.59"/>
    <n v="20"/>
    <x v="0"/>
    <n v="3709.06"/>
    <x v="2445"/>
    <n v="14836.25"/>
    <x v="6"/>
    <n v="2024"/>
  </r>
  <r>
    <s v="TXN02448"/>
    <x v="14"/>
    <x v="1"/>
    <x v="8"/>
    <x v="6"/>
    <d v="2024-06-25T00:00:00"/>
    <x v="6"/>
    <n v="38761.11"/>
    <n v="10"/>
    <x v="6"/>
    <n v="34885"/>
    <x v="2446"/>
    <n v="313964.99"/>
    <x v="5"/>
    <n v="2024"/>
  </r>
  <r>
    <s v="TXN02449"/>
    <x v="9"/>
    <x v="0"/>
    <x v="0"/>
    <x v="4"/>
    <d v="2025-05-03T00:00:00"/>
    <x v="0"/>
    <n v="58519.81"/>
    <n v="5"/>
    <x v="3"/>
    <n v="8777.9699999999993"/>
    <x v="2447"/>
    <n v="166781.46"/>
    <x v="9"/>
    <n v="2025"/>
  </r>
  <r>
    <s v="TXN02450"/>
    <x v="12"/>
    <x v="2"/>
    <x v="5"/>
    <x v="0"/>
    <d v="2025-10-02T00:00:00"/>
    <x v="1"/>
    <n v="1232.6400000000001"/>
    <n v="5"/>
    <x v="3"/>
    <n v="246.53"/>
    <x v="2448"/>
    <n v="4684.03"/>
    <x v="4"/>
    <n v="2025"/>
  </r>
  <r>
    <s v="TXN02451"/>
    <x v="6"/>
    <x v="0"/>
    <x v="3"/>
    <x v="0"/>
    <d v="2025-05-13T00:00:00"/>
    <x v="7"/>
    <n v="19146.75"/>
    <n v="5"/>
    <x v="4"/>
    <n v="4786.6899999999996"/>
    <x v="2449"/>
    <n v="90947.06"/>
    <x v="9"/>
    <n v="2025"/>
  </r>
  <r>
    <s v="TXN02452"/>
    <x v="6"/>
    <x v="2"/>
    <x v="10"/>
    <x v="5"/>
    <d v="2025-08-14T00:00:00"/>
    <x v="9"/>
    <n v="2694.09"/>
    <n v="0"/>
    <x v="5"/>
    <n v="0"/>
    <x v="2450"/>
    <n v="26940.9"/>
    <x v="0"/>
    <n v="2025"/>
  </r>
  <r>
    <s v="TXN02453"/>
    <x v="7"/>
    <x v="1"/>
    <x v="12"/>
    <x v="1"/>
    <d v="2024-02-21T00:00:00"/>
    <x v="7"/>
    <n v="6805.66"/>
    <n v="5"/>
    <x v="0"/>
    <n v="1701.42"/>
    <x v="2451"/>
    <n v="32326.880000000001"/>
    <x v="2"/>
    <n v="2024"/>
  </r>
  <r>
    <s v="TXN02454"/>
    <x v="7"/>
    <x v="1"/>
    <x v="13"/>
    <x v="2"/>
    <d v="2025-05-24T00:00:00"/>
    <x v="3"/>
    <n v="13351.46"/>
    <n v="5"/>
    <x v="6"/>
    <n v="4005.44"/>
    <x v="2452"/>
    <n v="76103.320000000007"/>
    <x v="9"/>
    <n v="2025"/>
  </r>
  <r>
    <s v="TXN02455"/>
    <x v="3"/>
    <x v="0"/>
    <x v="6"/>
    <x v="2"/>
    <d v="2024-02-12T00:00:00"/>
    <x v="0"/>
    <n v="25645.86"/>
    <n v="15"/>
    <x v="0"/>
    <n v="11540.64"/>
    <x v="2453"/>
    <n v="65396.94"/>
    <x v="2"/>
    <n v="2024"/>
  </r>
  <r>
    <s v="TXN02456"/>
    <x v="1"/>
    <x v="3"/>
    <x v="15"/>
    <x v="0"/>
    <d v="2024-07-20T00:00:00"/>
    <x v="8"/>
    <n v="856.44"/>
    <n v="0"/>
    <x v="2"/>
    <n v="0"/>
    <x v="2454"/>
    <n v="856.44"/>
    <x v="11"/>
    <n v="2024"/>
  </r>
  <r>
    <s v="TXN02457"/>
    <x v="2"/>
    <x v="3"/>
    <x v="21"/>
    <x v="3"/>
    <d v="2025-04-12T00:00:00"/>
    <x v="2"/>
    <n v="2472.41"/>
    <n v="20"/>
    <x v="6"/>
    <n v="3955.86"/>
    <x v="2455"/>
    <n v="15823.42"/>
    <x v="1"/>
    <n v="2025"/>
  </r>
  <r>
    <s v="TXN02458"/>
    <x v="9"/>
    <x v="0"/>
    <x v="1"/>
    <x v="4"/>
    <d v="2024-03-13T00:00:00"/>
    <x v="8"/>
    <n v="3188.82"/>
    <n v="20"/>
    <x v="3"/>
    <n v="637.76"/>
    <x v="2456"/>
    <n v="2551.06"/>
    <x v="6"/>
    <n v="2024"/>
  </r>
  <r>
    <s v="TXN02459"/>
    <x v="8"/>
    <x v="0"/>
    <x v="24"/>
    <x v="3"/>
    <d v="2025-04-25T00:00:00"/>
    <x v="7"/>
    <n v="6961.71"/>
    <n v="20"/>
    <x v="7"/>
    <n v="6961.71"/>
    <x v="2457"/>
    <n v="27846.84"/>
    <x v="1"/>
    <n v="2025"/>
  </r>
  <r>
    <s v="TXN02460"/>
    <x v="12"/>
    <x v="0"/>
    <x v="6"/>
    <x v="2"/>
    <d v="2024-05-02T00:00:00"/>
    <x v="8"/>
    <n v="24147.94"/>
    <n v="20"/>
    <x v="0"/>
    <n v="4829.59"/>
    <x v="2458"/>
    <n v="19318.349999999999"/>
    <x v="9"/>
    <n v="2024"/>
  </r>
  <r>
    <s v="TXN02461"/>
    <x v="12"/>
    <x v="3"/>
    <x v="15"/>
    <x v="5"/>
    <d v="2024-06-15T00:00:00"/>
    <x v="0"/>
    <n v="833.5"/>
    <n v="5"/>
    <x v="2"/>
    <n v="125.03"/>
    <x v="2459"/>
    <n v="2375.4699999999998"/>
    <x v="5"/>
    <n v="2024"/>
  </r>
  <r>
    <s v="TXN02462"/>
    <x v="11"/>
    <x v="0"/>
    <x v="24"/>
    <x v="1"/>
    <d v="2025-01-10T00:00:00"/>
    <x v="4"/>
    <n v="7275.07"/>
    <n v="10"/>
    <x v="1"/>
    <n v="5092.55"/>
    <x v="2460"/>
    <n v="45832.94"/>
    <x v="10"/>
    <n v="2025"/>
  </r>
  <r>
    <s v="TXN02463"/>
    <x v="11"/>
    <x v="4"/>
    <x v="23"/>
    <x v="3"/>
    <d v="2025-01-27T00:00:00"/>
    <x v="1"/>
    <n v="10751.07"/>
    <n v="5"/>
    <x v="1"/>
    <n v="2150.21"/>
    <x v="2461"/>
    <n v="40854.07"/>
    <x v="10"/>
    <n v="2025"/>
  </r>
  <r>
    <s v="TXN02464"/>
    <x v="9"/>
    <x v="0"/>
    <x v="1"/>
    <x v="3"/>
    <d v="2025-01-05T00:00:00"/>
    <x v="3"/>
    <n v="2745.33"/>
    <n v="20"/>
    <x v="2"/>
    <n v="3294.4"/>
    <x v="2462"/>
    <n v="13177.58"/>
    <x v="10"/>
    <n v="2025"/>
  </r>
  <r>
    <s v="TXN02465"/>
    <x v="5"/>
    <x v="3"/>
    <x v="20"/>
    <x v="2"/>
    <d v="2025-03-27T00:00:00"/>
    <x v="4"/>
    <n v="3492.58"/>
    <n v="5"/>
    <x v="1"/>
    <n v="1222.4000000000001"/>
    <x v="2463"/>
    <n v="23225.66"/>
    <x v="6"/>
    <n v="2025"/>
  </r>
  <r>
    <s v="TXN02466"/>
    <x v="10"/>
    <x v="3"/>
    <x v="21"/>
    <x v="4"/>
    <d v="2025-08-04T00:00:00"/>
    <x v="4"/>
    <n v="2464.87"/>
    <n v="10"/>
    <x v="0"/>
    <n v="1725.41"/>
    <x v="2464"/>
    <n v="15528.68"/>
    <x v="0"/>
    <n v="2025"/>
  </r>
  <r>
    <s v="TXN02467"/>
    <x v="7"/>
    <x v="2"/>
    <x v="9"/>
    <x v="5"/>
    <d v="2024-05-12T00:00:00"/>
    <x v="0"/>
    <n v="4483.51"/>
    <n v="15"/>
    <x v="0"/>
    <n v="2017.58"/>
    <x v="2465"/>
    <n v="11432.95"/>
    <x v="9"/>
    <n v="2024"/>
  </r>
  <r>
    <s v="TXN02468"/>
    <x v="5"/>
    <x v="0"/>
    <x v="0"/>
    <x v="4"/>
    <d v="2024-08-09T00:00:00"/>
    <x v="4"/>
    <n v="69313.8"/>
    <n v="10"/>
    <x v="4"/>
    <n v="48519.66"/>
    <x v="2466"/>
    <n v="436676.94"/>
    <x v="0"/>
    <n v="2024"/>
  </r>
  <r>
    <s v="TXN02469"/>
    <x v="5"/>
    <x v="2"/>
    <x v="22"/>
    <x v="2"/>
    <d v="2024-04-13T00:00:00"/>
    <x v="6"/>
    <n v="1001.28"/>
    <n v="0"/>
    <x v="3"/>
    <n v="0"/>
    <x v="2467"/>
    <n v="9011.52"/>
    <x v="1"/>
    <n v="2024"/>
  </r>
  <r>
    <s v="TXN02470"/>
    <x v="12"/>
    <x v="2"/>
    <x v="9"/>
    <x v="2"/>
    <d v="2025-09-29T00:00:00"/>
    <x v="4"/>
    <n v="4215.96"/>
    <n v="5"/>
    <x v="7"/>
    <n v="1475.59"/>
    <x v="2468"/>
    <n v="28036.13"/>
    <x v="7"/>
    <n v="2025"/>
  </r>
  <r>
    <s v="TXN02471"/>
    <x v="8"/>
    <x v="3"/>
    <x v="15"/>
    <x v="6"/>
    <d v="2024-09-26T00:00:00"/>
    <x v="1"/>
    <n v="760.2"/>
    <n v="10"/>
    <x v="2"/>
    <n v="304.08"/>
    <x v="2469"/>
    <n v="2736.72"/>
    <x v="7"/>
    <n v="2024"/>
  </r>
  <r>
    <s v="TXN02472"/>
    <x v="0"/>
    <x v="1"/>
    <x v="13"/>
    <x v="0"/>
    <d v="2024-07-10T00:00:00"/>
    <x v="3"/>
    <n v="12800.13"/>
    <n v="10"/>
    <x v="6"/>
    <n v="7680.08"/>
    <x v="2470"/>
    <n v="69120.7"/>
    <x v="11"/>
    <n v="2024"/>
  </r>
  <r>
    <s v="TXN02473"/>
    <x v="2"/>
    <x v="2"/>
    <x v="5"/>
    <x v="4"/>
    <d v="2024-07-26T00:00:00"/>
    <x v="8"/>
    <n v="1322.68"/>
    <n v="5"/>
    <x v="4"/>
    <n v="66.13"/>
    <x v="2471"/>
    <n v="1256.55"/>
    <x v="11"/>
    <n v="2024"/>
  </r>
  <r>
    <s v="TXN02474"/>
    <x v="0"/>
    <x v="0"/>
    <x v="0"/>
    <x v="3"/>
    <d v="2025-11-15T00:00:00"/>
    <x v="6"/>
    <n v="73278.710000000006"/>
    <n v="0"/>
    <x v="5"/>
    <n v="0"/>
    <x v="2472"/>
    <n v="659508.39"/>
    <x v="8"/>
    <n v="2025"/>
  </r>
  <r>
    <s v="TXN02475"/>
    <x v="3"/>
    <x v="3"/>
    <x v="20"/>
    <x v="3"/>
    <d v="2025-02-03T00:00:00"/>
    <x v="9"/>
    <n v="3740.75"/>
    <n v="15"/>
    <x v="6"/>
    <n v="5611.12"/>
    <x v="2473"/>
    <n v="31796.38"/>
    <x v="2"/>
    <n v="2025"/>
  </r>
  <r>
    <s v="TXN02476"/>
    <x v="1"/>
    <x v="3"/>
    <x v="16"/>
    <x v="6"/>
    <d v="2025-10-12T00:00:00"/>
    <x v="3"/>
    <n v="1875.63"/>
    <n v="10"/>
    <x v="4"/>
    <n v="1125.3800000000001"/>
    <x v="2474"/>
    <n v="10128.4"/>
    <x v="4"/>
    <n v="2025"/>
  </r>
  <r>
    <s v="TXN02477"/>
    <x v="3"/>
    <x v="1"/>
    <x v="2"/>
    <x v="6"/>
    <d v="2024-10-04T00:00:00"/>
    <x v="4"/>
    <n v="27408.28"/>
    <n v="20"/>
    <x v="6"/>
    <n v="38371.589999999997"/>
    <x v="2475"/>
    <n v="153486.37"/>
    <x v="4"/>
    <n v="2024"/>
  </r>
  <r>
    <s v="TXN02478"/>
    <x v="10"/>
    <x v="2"/>
    <x v="9"/>
    <x v="1"/>
    <d v="2024-08-01T00:00:00"/>
    <x v="7"/>
    <n v="4192.28"/>
    <n v="5"/>
    <x v="2"/>
    <n v="1048.07"/>
    <x v="2476"/>
    <n v="19913.330000000002"/>
    <x v="0"/>
    <n v="2024"/>
  </r>
  <r>
    <s v="TXN02479"/>
    <x v="3"/>
    <x v="3"/>
    <x v="20"/>
    <x v="1"/>
    <d v="2025-08-09T00:00:00"/>
    <x v="3"/>
    <n v="3959.63"/>
    <n v="20"/>
    <x v="1"/>
    <n v="4751.5600000000004"/>
    <x v="2477"/>
    <n v="19006.22"/>
    <x v="0"/>
    <n v="2025"/>
  </r>
  <r>
    <s v="TXN02480"/>
    <x v="6"/>
    <x v="3"/>
    <x v="21"/>
    <x v="3"/>
    <d v="2024-07-08T00:00:00"/>
    <x v="4"/>
    <n v="2622.47"/>
    <n v="10"/>
    <x v="5"/>
    <n v="1835.73"/>
    <x v="2478"/>
    <n v="16521.560000000001"/>
    <x v="11"/>
    <n v="2024"/>
  </r>
  <r>
    <s v="TXN02481"/>
    <x v="1"/>
    <x v="3"/>
    <x v="21"/>
    <x v="5"/>
    <d v="2025-04-02T00:00:00"/>
    <x v="0"/>
    <n v="2320.5300000000002"/>
    <n v="5"/>
    <x v="4"/>
    <n v="348.08"/>
    <x v="2479"/>
    <n v="6613.51"/>
    <x v="1"/>
    <n v="2025"/>
  </r>
  <r>
    <s v="TXN02482"/>
    <x v="4"/>
    <x v="0"/>
    <x v="24"/>
    <x v="0"/>
    <d v="2024-09-02T00:00:00"/>
    <x v="3"/>
    <n v="7659.61"/>
    <n v="20"/>
    <x v="3"/>
    <n v="9191.5300000000007"/>
    <x v="2480"/>
    <n v="36766.129999999997"/>
    <x v="7"/>
    <n v="2024"/>
  </r>
  <r>
    <s v="TXN02483"/>
    <x v="7"/>
    <x v="0"/>
    <x v="3"/>
    <x v="5"/>
    <d v="2024-10-19T00:00:00"/>
    <x v="8"/>
    <n v="22758.6"/>
    <n v="10"/>
    <x v="7"/>
    <n v="2275.86"/>
    <x v="2481"/>
    <n v="20482.740000000002"/>
    <x v="4"/>
    <n v="2024"/>
  </r>
  <r>
    <s v="TXN02484"/>
    <x v="2"/>
    <x v="2"/>
    <x v="11"/>
    <x v="4"/>
    <d v="2025-03-01T00:00:00"/>
    <x v="5"/>
    <n v="4876.25"/>
    <n v="10"/>
    <x v="3"/>
    <n v="975.25"/>
    <x v="2482"/>
    <n v="8777.25"/>
    <x v="6"/>
    <n v="2025"/>
  </r>
  <r>
    <s v="TXN02485"/>
    <x v="0"/>
    <x v="3"/>
    <x v="7"/>
    <x v="3"/>
    <d v="2025-04-08T00:00:00"/>
    <x v="9"/>
    <n v="1805.69"/>
    <n v="15"/>
    <x v="1"/>
    <n v="2708.54"/>
    <x v="2483"/>
    <n v="15348.36"/>
    <x v="1"/>
    <n v="2025"/>
  </r>
  <r>
    <s v="TXN02486"/>
    <x v="14"/>
    <x v="1"/>
    <x v="12"/>
    <x v="2"/>
    <d v="2024-01-31T00:00:00"/>
    <x v="6"/>
    <n v="6368.42"/>
    <n v="0"/>
    <x v="1"/>
    <n v="0"/>
    <x v="2484"/>
    <n v="57315.78"/>
    <x v="10"/>
    <n v="2024"/>
  </r>
  <r>
    <s v="TXN02487"/>
    <x v="4"/>
    <x v="4"/>
    <x v="14"/>
    <x v="0"/>
    <d v="2024-05-25T00:00:00"/>
    <x v="5"/>
    <n v="1379.78"/>
    <n v="20"/>
    <x v="3"/>
    <n v="551.91"/>
    <x v="2485"/>
    <n v="2207.65"/>
    <x v="9"/>
    <n v="2024"/>
  </r>
  <r>
    <s v="TXN02488"/>
    <x v="14"/>
    <x v="4"/>
    <x v="17"/>
    <x v="6"/>
    <d v="2024-11-21T00:00:00"/>
    <x v="0"/>
    <n v="3666.27"/>
    <n v="10"/>
    <x v="4"/>
    <n v="1099.8800000000001"/>
    <x v="2486"/>
    <n v="9898.93"/>
    <x v="8"/>
    <n v="2024"/>
  </r>
  <r>
    <s v="TXN02489"/>
    <x v="14"/>
    <x v="1"/>
    <x v="2"/>
    <x v="6"/>
    <d v="2024-09-22T00:00:00"/>
    <x v="7"/>
    <n v="27775.88"/>
    <n v="15"/>
    <x v="6"/>
    <n v="20831.91"/>
    <x v="2487"/>
    <n v="118047.49"/>
    <x v="7"/>
    <n v="2024"/>
  </r>
  <r>
    <s v="TXN02490"/>
    <x v="11"/>
    <x v="0"/>
    <x v="0"/>
    <x v="4"/>
    <d v="2025-10-25T00:00:00"/>
    <x v="8"/>
    <n v="76710.58"/>
    <n v="15"/>
    <x v="3"/>
    <n v="11506.59"/>
    <x v="2488"/>
    <n v="65203.99"/>
    <x v="4"/>
    <n v="2025"/>
  </r>
  <r>
    <s v="TXN02491"/>
    <x v="2"/>
    <x v="3"/>
    <x v="7"/>
    <x v="5"/>
    <d v="2025-04-08T00:00:00"/>
    <x v="0"/>
    <n v="1879.79"/>
    <n v="15"/>
    <x v="6"/>
    <n v="845.91"/>
    <x v="2489"/>
    <n v="4793.46"/>
    <x v="1"/>
    <n v="2025"/>
  </r>
  <r>
    <s v="TXN02492"/>
    <x v="2"/>
    <x v="3"/>
    <x v="16"/>
    <x v="4"/>
    <d v="2024-01-04T00:00:00"/>
    <x v="5"/>
    <n v="1454.5"/>
    <n v="0"/>
    <x v="6"/>
    <n v="0"/>
    <x v="2490"/>
    <n v="2909"/>
    <x v="10"/>
    <n v="2024"/>
  </r>
  <r>
    <s v="TXN02493"/>
    <x v="4"/>
    <x v="0"/>
    <x v="3"/>
    <x v="4"/>
    <d v="2025-07-03T00:00:00"/>
    <x v="5"/>
    <n v="16310.64"/>
    <n v="10"/>
    <x v="6"/>
    <n v="3262.13"/>
    <x v="2491"/>
    <n v="29359.15"/>
    <x v="11"/>
    <n v="2025"/>
  </r>
  <r>
    <s v="TXN02494"/>
    <x v="8"/>
    <x v="3"/>
    <x v="21"/>
    <x v="1"/>
    <d v="2024-01-26T00:00:00"/>
    <x v="0"/>
    <n v="2552.4"/>
    <n v="5"/>
    <x v="1"/>
    <n v="382.86"/>
    <x v="2492"/>
    <n v="7274.34"/>
    <x v="10"/>
    <n v="2024"/>
  </r>
  <r>
    <s v="TXN02495"/>
    <x v="5"/>
    <x v="1"/>
    <x v="12"/>
    <x v="4"/>
    <d v="2025-04-19T00:00:00"/>
    <x v="1"/>
    <n v="5579.87"/>
    <n v="0"/>
    <x v="5"/>
    <n v="0"/>
    <x v="2493"/>
    <n v="22319.48"/>
    <x v="1"/>
    <n v="2025"/>
  </r>
  <r>
    <s v="TXN02496"/>
    <x v="2"/>
    <x v="2"/>
    <x v="22"/>
    <x v="6"/>
    <d v="2024-08-10T00:00:00"/>
    <x v="4"/>
    <n v="929.04"/>
    <n v="0"/>
    <x v="7"/>
    <n v="0"/>
    <x v="2494"/>
    <n v="6503.28"/>
    <x v="0"/>
    <n v="2024"/>
  </r>
  <r>
    <s v="TXN02497"/>
    <x v="14"/>
    <x v="4"/>
    <x v="18"/>
    <x v="1"/>
    <d v="2024-05-04T00:00:00"/>
    <x v="1"/>
    <n v="11934.25"/>
    <n v="10"/>
    <x v="0"/>
    <n v="4773.7"/>
    <x v="2495"/>
    <n v="42963.3"/>
    <x v="9"/>
    <n v="2024"/>
  </r>
  <r>
    <s v="TXN02498"/>
    <x v="9"/>
    <x v="3"/>
    <x v="7"/>
    <x v="3"/>
    <d v="2024-06-29T00:00:00"/>
    <x v="8"/>
    <n v="1890.42"/>
    <n v="5"/>
    <x v="2"/>
    <n v="94.52"/>
    <x v="2496"/>
    <n v="1795.9"/>
    <x v="5"/>
    <n v="2024"/>
  </r>
  <r>
    <s v="TXN02499"/>
    <x v="10"/>
    <x v="2"/>
    <x v="9"/>
    <x v="4"/>
    <d v="2024-05-10T00:00:00"/>
    <x v="3"/>
    <n v="5137.16"/>
    <n v="10"/>
    <x v="5"/>
    <n v="3082.3"/>
    <x v="2497"/>
    <n v="27740.66"/>
    <x v="9"/>
    <n v="2024"/>
  </r>
  <r>
    <s v="TXN02500"/>
    <x v="7"/>
    <x v="1"/>
    <x v="13"/>
    <x v="4"/>
    <d v="2025-10-17T00:00:00"/>
    <x v="2"/>
    <n v="12628.57"/>
    <n v="20"/>
    <x v="3"/>
    <n v="20205.71"/>
    <x v="2498"/>
    <n v="80822.850000000006"/>
    <x v="4"/>
    <n v="2025"/>
  </r>
  <r>
    <s v="TXN02501"/>
    <x v="12"/>
    <x v="1"/>
    <x v="8"/>
    <x v="6"/>
    <d v="2024-01-02T00:00:00"/>
    <x v="7"/>
    <n v="39635.910000000003"/>
    <n v="15"/>
    <x v="3"/>
    <n v="29726.93"/>
    <x v="2499"/>
    <n v="168452.62"/>
    <x v="10"/>
    <n v="2024"/>
  </r>
  <r>
    <s v="TXN02502"/>
    <x v="2"/>
    <x v="1"/>
    <x v="4"/>
    <x v="4"/>
    <d v="2025-03-09T00:00:00"/>
    <x v="4"/>
    <n v="7374.22"/>
    <n v="10"/>
    <x v="0"/>
    <n v="5161.95"/>
    <x v="2500"/>
    <n v="46457.59"/>
    <x v="6"/>
    <n v="2025"/>
  </r>
  <r>
    <s v="TXN02503"/>
    <x v="1"/>
    <x v="0"/>
    <x v="24"/>
    <x v="1"/>
    <d v="2025-07-18T00:00:00"/>
    <x v="2"/>
    <n v="6379.73"/>
    <n v="5"/>
    <x v="1"/>
    <n v="2551.89"/>
    <x v="2501"/>
    <n v="48485.95"/>
    <x v="11"/>
    <n v="2025"/>
  </r>
  <r>
    <s v="TXN02504"/>
    <x v="11"/>
    <x v="4"/>
    <x v="14"/>
    <x v="3"/>
    <d v="2025-06-01T00:00:00"/>
    <x v="0"/>
    <n v="1661.16"/>
    <n v="5"/>
    <x v="7"/>
    <n v="249.17"/>
    <x v="2502"/>
    <n v="4734.3100000000004"/>
    <x v="5"/>
    <n v="2025"/>
  </r>
  <r>
    <s v="TXN02505"/>
    <x v="6"/>
    <x v="4"/>
    <x v="17"/>
    <x v="1"/>
    <d v="2024-05-07T00:00:00"/>
    <x v="0"/>
    <n v="3496.87"/>
    <n v="10"/>
    <x v="6"/>
    <n v="1049.06"/>
    <x v="2503"/>
    <n v="9441.5499999999993"/>
    <x v="9"/>
    <n v="2024"/>
  </r>
  <r>
    <s v="TXN02506"/>
    <x v="14"/>
    <x v="2"/>
    <x v="5"/>
    <x v="6"/>
    <d v="2025-12-24T00:00:00"/>
    <x v="5"/>
    <n v="1506.01"/>
    <n v="15"/>
    <x v="3"/>
    <n v="451.8"/>
    <x v="2504"/>
    <n v="2560.2199999999998"/>
    <x v="3"/>
    <n v="2025"/>
  </r>
  <r>
    <s v="TXN02507"/>
    <x v="9"/>
    <x v="4"/>
    <x v="19"/>
    <x v="3"/>
    <d v="2025-02-16T00:00:00"/>
    <x v="2"/>
    <n v="7600.61"/>
    <n v="15"/>
    <x v="4"/>
    <n v="9120.73"/>
    <x v="2505"/>
    <n v="51684.15"/>
    <x v="2"/>
    <n v="2025"/>
  </r>
  <r>
    <s v="TXN02508"/>
    <x v="7"/>
    <x v="3"/>
    <x v="7"/>
    <x v="4"/>
    <d v="2025-12-08T00:00:00"/>
    <x v="0"/>
    <n v="1852.11"/>
    <n v="5"/>
    <x v="0"/>
    <n v="277.82"/>
    <x v="2506"/>
    <n v="5278.51"/>
    <x v="3"/>
    <n v="2025"/>
  </r>
  <r>
    <s v="TXN02509"/>
    <x v="8"/>
    <x v="2"/>
    <x v="10"/>
    <x v="1"/>
    <d v="2024-09-16T00:00:00"/>
    <x v="0"/>
    <n v="2466.3200000000002"/>
    <n v="20"/>
    <x v="4"/>
    <n v="1479.79"/>
    <x v="2507"/>
    <n v="5919.17"/>
    <x v="7"/>
    <n v="2024"/>
  </r>
  <r>
    <s v="TXN02510"/>
    <x v="7"/>
    <x v="1"/>
    <x v="13"/>
    <x v="2"/>
    <d v="2025-02-18T00:00:00"/>
    <x v="8"/>
    <n v="11931.08"/>
    <n v="20"/>
    <x v="5"/>
    <n v="2386.2199999999998"/>
    <x v="2508"/>
    <n v="9544.86"/>
    <x v="2"/>
    <n v="2025"/>
  </r>
  <r>
    <s v="TXN02511"/>
    <x v="3"/>
    <x v="3"/>
    <x v="7"/>
    <x v="2"/>
    <d v="2025-02-02T00:00:00"/>
    <x v="1"/>
    <n v="1994.9"/>
    <n v="15"/>
    <x v="1"/>
    <n v="1196.94"/>
    <x v="2509"/>
    <n v="6782.66"/>
    <x v="2"/>
    <n v="2025"/>
  </r>
  <r>
    <s v="TXN02512"/>
    <x v="4"/>
    <x v="1"/>
    <x v="12"/>
    <x v="2"/>
    <d v="2025-06-28T00:00:00"/>
    <x v="8"/>
    <n v="5807.33"/>
    <n v="15"/>
    <x v="7"/>
    <n v="871.1"/>
    <x v="2510"/>
    <n v="4936.2299999999996"/>
    <x v="5"/>
    <n v="2025"/>
  </r>
  <r>
    <s v="TXN02513"/>
    <x v="4"/>
    <x v="3"/>
    <x v="15"/>
    <x v="4"/>
    <d v="2025-05-12T00:00:00"/>
    <x v="3"/>
    <n v="765.82"/>
    <n v="20"/>
    <x v="1"/>
    <n v="918.98"/>
    <x v="2511"/>
    <n v="3675.94"/>
    <x v="9"/>
    <n v="2025"/>
  </r>
  <r>
    <s v="TXN02514"/>
    <x v="8"/>
    <x v="3"/>
    <x v="15"/>
    <x v="6"/>
    <d v="2024-06-01T00:00:00"/>
    <x v="8"/>
    <n v="897.7"/>
    <n v="0"/>
    <x v="5"/>
    <n v="0"/>
    <x v="2512"/>
    <n v="897.7"/>
    <x v="5"/>
    <n v="2024"/>
  </r>
  <r>
    <s v="TXN02515"/>
    <x v="7"/>
    <x v="1"/>
    <x v="2"/>
    <x v="5"/>
    <d v="2025-06-04T00:00:00"/>
    <x v="7"/>
    <n v="26649.81"/>
    <n v="5"/>
    <x v="1"/>
    <n v="6662.45"/>
    <x v="2513"/>
    <n v="126586.6"/>
    <x v="5"/>
    <n v="2025"/>
  </r>
  <r>
    <s v="TXN02516"/>
    <x v="8"/>
    <x v="2"/>
    <x v="9"/>
    <x v="0"/>
    <d v="2024-03-05T00:00:00"/>
    <x v="3"/>
    <n v="4871.8100000000004"/>
    <n v="15"/>
    <x v="2"/>
    <n v="4384.63"/>
    <x v="2514"/>
    <n v="24846.23"/>
    <x v="6"/>
    <n v="2024"/>
  </r>
  <r>
    <s v="TXN02517"/>
    <x v="3"/>
    <x v="0"/>
    <x v="3"/>
    <x v="0"/>
    <d v="2024-06-27T00:00:00"/>
    <x v="5"/>
    <n v="17857.29"/>
    <n v="15"/>
    <x v="7"/>
    <n v="5357.19"/>
    <x v="2515"/>
    <n v="30357.39"/>
    <x v="5"/>
    <n v="2024"/>
  </r>
  <r>
    <s v="TXN02518"/>
    <x v="6"/>
    <x v="3"/>
    <x v="15"/>
    <x v="6"/>
    <d v="2024-12-03T00:00:00"/>
    <x v="4"/>
    <n v="851.76"/>
    <n v="20"/>
    <x v="5"/>
    <n v="1192.46"/>
    <x v="2516"/>
    <n v="4769.8599999999997"/>
    <x v="3"/>
    <n v="2024"/>
  </r>
  <r>
    <s v="TXN02519"/>
    <x v="0"/>
    <x v="0"/>
    <x v="1"/>
    <x v="5"/>
    <d v="2025-08-28T00:00:00"/>
    <x v="3"/>
    <n v="3038.14"/>
    <n v="15"/>
    <x v="0"/>
    <n v="2734.33"/>
    <x v="2517"/>
    <n v="15494.51"/>
    <x v="0"/>
    <n v="2025"/>
  </r>
  <r>
    <s v="TXN02520"/>
    <x v="13"/>
    <x v="3"/>
    <x v="7"/>
    <x v="5"/>
    <d v="2024-05-20T00:00:00"/>
    <x v="8"/>
    <n v="1734.13"/>
    <n v="15"/>
    <x v="1"/>
    <n v="260.12"/>
    <x v="2518"/>
    <n v="1474.01"/>
    <x v="9"/>
    <n v="2024"/>
  </r>
  <r>
    <s v="TXN02521"/>
    <x v="6"/>
    <x v="1"/>
    <x v="12"/>
    <x v="6"/>
    <d v="2024-04-08T00:00:00"/>
    <x v="0"/>
    <n v="6493.45"/>
    <n v="0"/>
    <x v="6"/>
    <n v="0"/>
    <x v="2519"/>
    <n v="19480.349999999999"/>
    <x v="1"/>
    <n v="2024"/>
  </r>
  <r>
    <s v="TXN02522"/>
    <x v="6"/>
    <x v="1"/>
    <x v="4"/>
    <x v="4"/>
    <d v="2025-03-16T00:00:00"/>
    <x v="9"/>
    <n v="8007.07"/>
    <n v="20"/>
    <x v="0"/>
    <n v="16014.14"/>
    <x v="2520"/>
    <n v="64056.56"/>
    <x v="6"/>
    <n v="2025"/>
  </r>
  <r>
    <s v="TXN02523"/>
    <x v="1"/>
    <x v="2"/>
    <x v="9"/>
    <x v="1"/>
    <d v="2024-08-08T00:00:00"/>
    <x v="5"/>
    <n v="4235.6000000000004"/>
    <n v="15"/>
    <x v="6"/>
    <n v="1270.68"/>
    <x v="2521"/>
    <n v="7200.52"/>
    <x v="0"/>
    <n v="2024"/>
  </r>
  <r>
    <s v="TXN02524"/>
    <x v="6"/>
    <x v="4"/>
    <x v="18"/>
    <x v="3"/>
    <d v="2024-05-15T00:00:00"/>
    <x v="2"/>
    <n v="12756.1"/>
    <n v="0"/>
    <x v="3"/>
    <n v="0"/>
    <x v="2522"/>
    <n v="102048.8"/>
    <x v="9"/>
    <n v="2024"/>
  </r>
  <r>
    <s v="TXN02525"/>
    <x v="0"/>
    <x v="4"/>
    <x v="19"/>
    <x v="6"/>
    <d v="2025-10-26T00:00:00"/>
    <x v="6"/>
    <n v="8844.7800000000007"/>
    <n v="5"/>
    <x v="6"/>
    <n v="3980.15"/>
    <x v="2523"/>
    <n v="75622.87"/>
    <x v="4"/>
    <n v="2025"/>
  </r>
  <r>
    <s v="TXN02526"/>
    <x v="14"/>
    <x v="1"/>
    <x v="8"/>
    <x v="2"/>
    <d v="2024-07-26T00:00:00"/>
    <x v="5"/>
    <n v="42026.18"/>
    <n v="15"/>
    <x v="4"/>
    <n v="12607.85"/>
    <x v="2524"/>
    <n v="71444.509999999995"/>
    <x v="11"/>
    <n v="2024"/>
  </r>
  <r>
    <s v="TXN02527"/>
    <x v="2"/>
    <x v="3"/>
    <x v="20"/>
    <x v="1"/>
    <d v="2024-07-05T00:00:00"/>
    <x v="1"/>
    <n v="3259.1"/>
    <n v="0"/>
    <x v="5"/>
    <n v="0"/>
    <x v="2525"/>
    <n v="13036.4"/>
    <x v="11"/>
    <n v="2024"/>
  </r>
  <r>
    <s v="TXN02528"/>
    <x v="12"/>
    <x v="1"/>
    <x v="12"/>
    <x v="1"/>
    <d v="2024-01-25T00:00:00"/>
    <x v="3"/>
    <n v="6129.43"/>
    <n v="15"/>
    <x v="5"/>
    <n v="5516.49"/>
    <x v="2526"/>
    <n v="31260.09"/>
    <x v="10"/>
    <n v="2024"/>
  </r>
  <r>
    <s v="TXN02529"/>
    <x v="12"/>
    <x v="3"/>
    <x v="20"/>
    <x v="2"/>
    <d v="2024-10-17T00:00:00"/>
    <x v="2"/>
    <n v="3471.63"/>
    <n v="0"/>
    <x v="6"/>
    <n v="0"/>
    <x v="2527"/>
    <n v="27773.040000000001"/>
    <x v="4"/>
    <n v="2024"/>
  </r>
  <r>
    <s v="TXN02530"/>
    <x v="1"/>
    <x v="0"/>
    <x v="6"/>
    <x v="6"/>
    <d v="2025-02-09T00:00:00"/>
    <x v="7"/>
    <n v="24432.42"/>
    <n v="15"/>
    <x v="6"/>
    <n v="18324.310000000001"/>
    <x v="2528"/>
    <n v="103837.79"/>
    <x v="2"/>
    <n v="2025"/>
  </r>
  <r>
    <s v="TXN02531"/>
    <x v="5"/>
    <x v="4"/>
    <x v="23"/>
    <x v="6"/>
    <d v="2025-08-30T00:00:00"/>
    <x v="2"/>
    <n v="11308.39"/>
    <n v="0"/>
    <x v="6"/>
    <n v="0"/>
    <x v="2529"/>
    <n v="90467.12"/>
    <x v="0"/>
    <n v="2025"/>
  </r>
  <r>
    <s v="TXN02532"/>
    <x v="1"/>
    <x v="4"/>
    <x v="18"/>
    <x v="0"/>
    <d v="2025-12-08T00:00:00"/>
    <x v="8"/>
    <n v="12727.87"/>
    <n v="10"/>
    <x v="2"/>
    <n v="1272.79"/>
    <x v="2530"/>
    <n v="11455.08"/>
    <x v="3"/>
    <n v="2025"/>
  </r>
  <r>
    <s v="TXN02533"/>
    <x v="1"/>
    <x v="0"/>
    <x v="0"/>
    <x v="4"/>
    <d v="2024-11-18T00:00:00"/>
    <x v="1"/>
    <n v="72755.89"/>
    <n v="0"/>
    <x v="5"/>
    <n v="0"/>
    <x v="2531"/>
    <n v="291023.56"/>
    <x v="8"/>
    <n v="2024"/>
  </r>
  <r>
    <s v="TXN02534"/>
    <x v="5"/>
    <x v="2"/>
    <x v="9"/>
    <x v="6"/>
    <d v="2025-09-23T00:00:00"/>
    <x v="0"/>
    <n v="5133.25"/>
    <n v="15"/>
    <x v="2"/>
    <n v="2309.96"/>
    <x v="2532"/>
    <n v="13089.79"/>
    <x v="7"/>
    <n v="2025"/>
  </r>
  <r>
    <s v="TXN02535"/>
    <x v="14"/>
    <x v="0"/>
    <x v="0"/>
    <x v="2"/>
    <d v="2024-05-20T00:00:00"/>
    <x v="9"/>
    <n v="69809.11"/>
    <n v="5"/>
    <x v="5"/>
    <n v="34904.559999999998"/>
    <x v="2533"/>
    <n v="663186.54"/>
    <x v="9"/>
    <n v="2024"/>
  </r>
  <r>
    <s v="TXN02536"/>
    <x v="13"/>
    <x v="3"/>
    <x v="7"/>
    <x v="2"/>
    <d v="2025-08-30T00:00:00"/>
    <x v="2"/>
    <n v="1943.56"/>
    <n v="5"/>
    <x v="5"/>
    <n v="777.42"/>
    <x v="2534"/>
    <n v="14771.06"/>
    <x v="0"/>
    <n v="2025"/>
  </r>
  <r>
    <s v="TXN02537"/>
    <x v="6"/>
    <x v="3"/>
    <x v="20"/>
    <x v="4"/>
    <d v="2025-04-18T00:00:00"/>
    <x v="4"/>
    <n v="3740.12"/>
    <n v="15"/>
    <x v="3"/>
    <n v="3927.13"/>
    <x v="2535"/>
    <n v="22253.71"/>
    <x v="1"/>
    <n v="2025"/>
  </r>
  <r>
    <s v="TXN02538"/>
    <x v="6"/>
    <x v="3"/>
    <x v="7"/>
    <x v="3"/>
    <d v="2025-09-20T00:00:00"/>
    <x v="7"/>
    <n v="2032.27"/>
    <n v="20"/>
    <x v="5"/>
    <n v="2032.27"/>
    <x v="2536"/>
    <n v="8129.08"/>
    <x v="7"/>
    <n v="2025"/>
  </r>
  <r>
    <s v="TXN02539"/>
    <x v="10"/>
    <x v="2"/>
    <x v="11"/>
    <x v="0"/>
    <d v="2024-12-23T00:00:00"/>
    <x v="7"/>
    <n v="5519.18"/>
    <n v="15"/>
    <x v="2"/>
    <n v="4139.3900000000003"/>
    <x v="2537"/>
    <n v="23456.51"/>
    <x v="3"/>
    <n v="2024"/>
  </r>
  <r>
    <s v="TXN02540"/>
    <x v="3"/>
    <x v="1"/>
    <x v="4"/>
    <x v="3"/>
    <d v="2024-10-26T00:00:00"/>
    <x v="1"/>
    <n v="8596.26"/>
    <n v="10"/>
    <x v="4"/>
    <n v="3438.5"/>
    <x v="2538"/>
    <n v="30946.54"/>
    <x v="4"/>
    <n v="2024"/>
  </r>
  <r>
    <s v="TXN02541"/>
    <x v="12"/>
    <x v="0"/>
    <x v="3"/>
    <x v="1"/>
    <d v="2025-08-06T00:00:00"/>
    <x v="9"/>
    <n v="18850.900000000001"/>
    <n v="20"/>
    <x v="2"/>
    <n v="37701.800000000003"/>
    <x v="2539"/>
    <n v="150807.20000000001"/>
    <x v="0"/>
    <n v="2025"/>
  </r>
  <r>
    <s v="TXN02542"/>
    <x v="5"/>
    <x v="1"/>
    <x v="4"/>
    <x v="6"/>
    <d v="2024-10-18T00:00:00"/>
    <x v="1"/>
    <n v="9184.82"/>
    <n v="10"/>
    <x v="6"/>
    <n v="3673.93"/>
    <x v="2540"/>
    <n v="33065.35"/>
    <x v="4"/>
    <n v="2024"/>
  </r>
  <r>
    <s v="TXN02543"/>
    <x v="13"/>
    <x v="4"/>
    <x v="19"/>
    <x v="6"/>
    <d v="2024-05-29T00:00:00"/>
    <x v="1"/>
    <n v="7295.49"/>
    <n v="10"/>
    <x v="3"/>
    <n v="2918.2"/>
    <x v="2541"/>
    <n v="26263.759999999998"/>
    <x v="9"/>
    <n v="2024"/>
  </r>
  <r>
    <s v="TXN02544"/>
    <x v="7"/>
    <x v="2"/>
    <x v="9"/>
    <x v="6"/>
    <d v="2024-08-11T00:00:00"/>
    <x v="9"/>
    <n v="4802.63"/>
    <n v="20"/>
    <x v="6"/>
    <n v="9605.26"/>
    <x v="2542"/>
    <n v="38421.040000000001"/>
    <x v="0"/>
    <n v="2024"/>
  </r>
  <r>
    <s v="TXN02545"/>
    <x v="4"/>
    <x v="2"/>
    <x v="11"/>
    <x v="0"/>
    <d v="2024-09-12T00:00:00"/>
    <x v="0"/>
    <n v="4629.51"/>
    <n v="0"/>
    <x v="7"/>
    <n v="0"/>
    <x v="2543"/>
    <n v="13888.53"/>
    <x v="7"/>
    <n v="2024"/>
  </r>
  <r>
    <s v="TXN02546"/>
    <x v="7"/>
    <x v="2"/>
    <x v="9"/>
    <x v="1"/>
    <d v="2024-04-27T00:00:00"/>
    <x v="2"/>
    <n v="4906.8900000000003"/>
    <n v="15"/>
    <x v="3"/>
    <n v="5888.27"/>
    <x v="2544"/>
    <n v="33366.85"/>
    <x v="1"/>
    <n v="2024"/>
  </r>
  <r>
    <s v="TXN02547"/>
    <x v="14"/>
    <x v="3"/>
    <x v="20"/>
    <x v="3"/>
    <d v="2024-07-16T00:00:00"/>
    <x v="7"/>
    <n v="3701.51"/>
    <n v="15"/>
    <x v="5"/>
    <n v="2776.13"/>
    <x v="2545"/>
    <n v="15731.42"/>
    <x v="11"/>
    <n v="2024"/>
  </r>
  <r>
    <s v="TXN02548"/>
    <x v="11"/>
    <x v="3"/>
    <x v="20"/>
    <x v="3"/>
    <d v="2024-05-08T00:00:00"/>
    <x v="8"/>
    <n v="3363.88"/>
    <n v="0"/>
    <x v="3"/>
    <n v="0"/>
    <x v="2546"/>
    <n v="3363.88"/>
    <x v="9"/>
    <n v="2024"/>
  </r>
  <r>
    <s v="TXN02549"/>
    <x v="12"/>
    <x v="3"/>
    <x v="20"/>
    <x v="5"/>
    <d v="2025-01-25T00:00:00"/>
    <x v="5"/>
    <n v="3279.83"/>
    <n v="20"/>
    <x v="4"/>
    <n v="1311.93"/>
    <x v="2547"/>
    <n v="5247.73"/>
    <x v="10"/>
    <n v="2025"/>
  </r>
  <r>
    <s v="TXN02550"/>
    <x v="13"/>
    <x v="1"/>
    <x v="8"/>
    <x v="3"/>
    <d v="2024-05-24T00:00:00"/>
    <x v="3"/>
    <n v="37066.36"/>
    <n v="0"/>
    <x v="1"/>
    <n v="0"/>
    <x v="2548"/>
    <n v="222398.16"/>
    <x v="9"/>
    <n v="2024"/>
  </r>
  <r>
    <s v="TXN02551"/>
    <x v="3"/>
    <x v="1"/>
    <x v="2"/>
    <x v="3"/>
    <d v="2024-12-30T00:00:00"/>
    <x v="6"/>
    <n v="29610.48"/>
    <n v="15"/>
    <x v="2"/>
    <n v="39974.15"/>
    <x v="2549"/>
    <n v="226520.17"/>
    <x v="3"/>
    <n v="2024"/>
  </r>
  <r>
    <s v="TXN02552"/>
    <x v="12"/>
    <x v="1"/>
    <x v="4"/>
    <x v="0"/>
    <d v="2024-01-03T00:00:00"/>
    <x v="6"/>
    <n v="9079.84"/>
    <n v="0"/>
    <x v="6"/>
    <n v="0"/>
    <x v="2550"/>
    <n v="81718.559999999998"/>
    <x v="10"/>
    <n v="2024"/>
  </r>
  <r>
    <s v="TXN02553"/>
    <x v="2"/>
    <x v="2"/>
    <x v="11"/>
    <x v="1"/>
    <d v="2025-12-23T00:00:00"/>
    <x v="3"/>
    <n v="5709.76"/>
    <n v="5"/>
    <x v="4"/>
    <n v="1712.93"/>
    <x v="2551"/>
    <n v="32545.63"/>
    <x v="3"/>
    <n v="2025"/>
  </r>
  <r>
    <s v="TXN02554"/>
    <x v="1"/>
    <x v="3"/>
    <x v="20"/>
    <x v="5"/>
    <d v="2024-03-27T00:00:00"/>
    <x v="5"/>
    <n v="3344.97"/>
    <n v="20"/>
    <x v="0"/>
    <n v="1337.99"/>
    <x v="2552"/>
    <n v="5351.95"/>
    <x v="6"/>
    <n v="2024"/>
  </r>
  <r>
    <s v="TXN02555"/>
    <x v="13"/>
    <x v="2"/>
    <x v="22"/>
    <x v="4"/>
    <d v="2024-07-06T00:00:00"/>
    <x v="1"/>
    <n v="996.48"/>
    <n v="5"/>
    <x v="4"/>
    <n v="199.3"/>
    <x v="2553"/>
    <n v="3786.62"/>
    <x v="11"/>
    <n v="2024"/>
  </r>
  <r>
    <s v="TXN02556"/>
    <x v="4"/>
    <x v="1"/>
    <x v="12"/>
    <x v="4"/>
    <d v="2024-11-13T00:00:00"/>
    <x v="2"/>
    <n v="6423.05"/>
    <n v="10"/>
    <x v="0"/>
    <n v="5138.4399999999996"/>
    <x v="2554"/>
    <n v="46245.96"/>
    <x v="8"/>
    <n v="2024"/>
  </r>
  <r>
    <s v="TXN02557"/>
    <x v="8"/>
    <x v="4"/>
    <x v="18"/>
    <x v="1"/>
    <d v="2024-11-04T00:00:00"/>
    <x v="1"/>
    <n v="14068.84"/>
    <n v="20"/>
    <x v="1"/>
    <n v="11255.07"/>
    <x v="2555"/>
    <n v="45020.29"/>
    <x v="8"/>
    <n v="2024"/>
  </r>
  <r>
    <s v="TXN02558"/>
    <x v="0"/>
    <x v="4"/>
    <x v="14"/>
    <x v="2"/>
    <d v="2025-07-07T00:00:00"/>
    <x v="8"/>
    <n v="1362.25"/>
    <n v="10"/>
    <x v="2"/>
    <n v="136.22"/>
    <x v="2556"/>
    <n v="1226.03"/>
    <x v="11"/>
    <n v="2025"/>
  </r>
  <r>
    <s v="TXN02559"/>
    <x v="4"/>
    <x v="1"/>
    <x v="8"/>
    <x v="0"/>
    <d v="2025-08-19T00:00:00"/>
    <x v="8"/>
    <n v="37529.910000000003"/>
    <n v="0"/>
    <x v="2"/>
    <n v="0"/>
    <x v="2557"/>
    <n v="37529.910000000003"/>
    <x v="0"/>
    <n v="2025"/>
  </r>
  <r>
    <s v="TXN02560"/>
    <x v="14"/>
    <x v="4"/>
    <x v="23"/>
    <x v="0"/>
    <d v="2025-04-21T00:00:00"/>
    <x v="7"/>
    <n v="9470.81"/>
    <n v="0"/>
    <x v="7"/>
    <n v="0"/>
    <x v="2558"/>
    <n v="47354.05"/>
    <x v="1"/>
    <n v="2025"/>
  </r>
  <r>
    <s v="TXN02561"/>
    <x v="4"/>
    <x v="3"/>
    <x v="7"/>
    <x v="0"/>
    <d v="2024-06-07T00:00:00"/>
    <x v="1"/>
    <n v="1861.45"/>
    <n v="10"/>
    <x v="1"/>
    <n v="744.58"/>
    <x v="2559"/>
    <n v="6701.22"/>
    <x v="5"/>
    <n v="2024"/>
  </r>
  <r>
    <s v="TXN02562"/>
    <x v="7"/>
    <x v="0"/>
    <x v="6"/>
    <x v="3"/>
    <d v="2025-03-08T00:00:00"/>
    <x v="4"/>
    <n v="24614.63"/>
    <n v="15"/>
    <x v="4"/>
    <n v="25845.360000000001"/>
    <x v="2560"/>
    <n v="146457.04999999999"/>
    <x v="6"/>
    <n v="2025"/>
  </r>
  <r>
    <s v="TXN02563"/>
    <x v="2"/>
    <x v="3"/>
    <x v="7"/>
    <x v="4"/>
    <d v="2025-06-16T00:00:00"/>
    <x v="0"/>
    <n v="1900.62"/>
    <n v="5"/>
    <x v="3"/>
    <n v="285.08999999999997"/>
    <x v="2561"/>
    <n v="5416.77"/>
    <x v="5"/>
    <n v="2025"/>
  </r>
  <r>
    <s v="TXN02564"/>
    <x v="13"/>
    <x v="0"/>
    <x v="6"/>
    <x v="4"/>
    <d v="2025-02-14T00:00:00"/>
    <x v="9"/>
    <n v="28696.92"/>
    <n v="5"/>
    <x v="5"/>
    <n v="14348.46"/>
    <x v="2562"/>
    <n v="272620.74"/>
    <x v="2"/>
    <n v="2025"/>
  </r>
  <r>
    <s v="TXN02565"/>
    <x v="2"/>
    <x v="1"/>
    <x v="12"/>
    <x v="1"/>
    <d v="2024-07-21T00:00:00"/>
    <x v="7"/>
    <n v="6012.44"/>
    <n v="15"/>
    <x v="0"/>
    <n v="4509.33"/>
    <x v="2563"/>
    <n v="25552.87"/>
    <x v="11"/>
    <n v="2024"/>
  </r>
  <r>
    <s v="TXN02566"/>
    <x v="8"/>
    <x v="0"/>
    <x v="0"/>
    <x v="5"/>
    <d v="2025-01-08T00:00:00"/>
    <x v="8"/>
    <n v="65610.02"/>
    <n v="15"/>
    <x v="6"/>
    <n v="9841.5"/>
    <x v="2564"/>
    <n v="55768.52"/>
    <x v="10"/>
    <n v="2025"/>
  </r>
  <r>
    <s v="TXN02567"/>
    <x v="12"/>
    <x v="1"/>
    <x v="2"/>
    <x v="6"/>
    <d v="2024-11-18T00:00:00"/>
    <x v="1"/>
    <n v="30928.18"/>
    <n v="0"/>
    <x v="5"/>
    <n v="0"/>
    <x v="2565"/>
    <n v="123712.72"/>
    <x v="8"/>
    <n v="2024"/>
  </r>
  <r>
    <s v="TXN02568"/>
    <x v="8"/>
    <x v="1"/>
    <x v="4"/>
    <x v="0"/>
    <d v="2024-02-27T00:00:00"/>
    <x v="5"/>
    <n v="9083.1200000000008"/>
    <n v="5"/>
    <x v="0"/>
    <n v="908.31"/>
    <x v="2566"/>
    <n v="17257.93"/>
    <x v="2"/>
    <n v="2024"/>
  </r>
  <r>
    <s v="TXN02569"/>
    <x v="9"/>
    <x v="1"/>
    <x v="8"/>
    <x v="3"/>
    <d v="2025-05-14T00:00:00"/>
    <x v="0"/>
    <n v="38349.879999999997"/>
    <n v="5"/>
    <x v="4"/>
    <n v="5752.48"/>
    <x v="2567"/>
    <n v="109297.16"/>
    <x v="9"/>
    <n v="2025"/>
  </r>
  <r>
    <s v="TXN02570"/>
    <x v="13"/>
    <x v="3"/>
    <x v="7"/>
    <x v="4"/>
    <d v="2025-04-14T00:00:00"/>
    <x v="5"/>
    <n v="2045.95"/>
    <n v="20"/>
    <x v="4"/>
    <n v="818.38"/>
    <x v="2568"/>
    <n v="3273.52"/>
    <x v="1"/>
    <n v="2025"/>
  </r>
  <r>
    <s v="TXN02571"/>
    <x v="11"/>
    <x v="0"/>
    <x v="0"/>
    <x v="2"/>
    <d v="2024-06-16T00:00:00"/>
    <x v="0"/>
    <n v="63255.95"/>
    <n v="10"/>
    <x v="3"/>
    <n v="18976.78"/>
    <x v="2569"/>
    <n v="170791.07"/>
    <x v="5"/>
    <n v="2024"/>
  </r>
  <r>
    <s v="TXN02572"/>
    <x v="4"/>
    <x v="0"/>
    <x v="24"/>
    <x v="2"/>
    <d v="2024-09-22T00:00:00"/>
    <x v="6"/>
    <n v="7109.5"/>
    <n v="0"/>
    <x v="2"/>
    <n v="0"/>
    <x v="2570"/>
    <n v="63985.5"/>
    <x v="7"/>
    <n v="2024"/>
  </r>
  <r>
    <s v="TXN02573"/>
    <x v="3"/>
    <x v="4"/>
    <x v="23"/>
    <x v="3"/>
    <d v="2025-02-27T00:00:00"/>
    <x v="5"/>
    <n v="10555.75"/>
    <n v="20"/>
    <x v="4"/>
    <n v="4222.3"/>
    <x v="2571"/>
    <n v="16889.2"/>
    <x v="2"/>
    <n v="2025"/>
  </r>
  <r>
    <s v="TXN02574"/>
    <x v="13"/>
    <x v="1"/>
    <x v="4"/>
    <x v="5"/>
    <d v="2025-10-17T00:00:00"/>
    <x v="6"/>
    <n v="8420.26"/>
    <n v="15"/>
    <x v="5"/>
    <n v="11367.35"/>
    <x v="2572"/>
    <n v="64414.99"/>
    <x v="4"/>
    <n v="2025"/>
  </r>
  <r>
    <s v="TXN02575"/>
    <x v="8"/>
    <x v="1"/>
    <x v="2"/>
    <x v="4"/>
    <d v="2025-06-01T00:00:00"/>
    <x v="5"/>
    <n v="23624.240000000002"/>
    <n v="10"/>
    <x v="5"/>
    <n v="4724.8500000000004"/>
    <x v="2573"/>
    <n v="42523.63"/>
    <x v="5"/>
    <n v="2025"/>
  </r>
  <r>
    <s v="TXN02576"/>
    <x v="10"/>
    <x v="2"/>
    <x v="10"/>
    <x v="6"/>
    <d v="2025-01-29T00:00:00"/>
    <x v="4"/>
    <n v="2723.91"/>
    <n v="10"/>
    <x v="5"/>
    <n v="1906.74"/>
    <x v="2574"/>
    <n v="17160.63"/>
    <x v="10"/>
    <n v="2025"/>
  </r>
  <r>
    <s v="TXN02577"/>
    <x v="0"/>
    <x v="3"/>
    <x v="21"/>
    <x v="2"/>
    <d v="2024-09-10T00:00:00"/>
    <x v="2"/>
    <n v="2405.69"/>
    <n v="5"/>
    <x v="3"/>
    <n v="962.28"/>
    <x v="2575"/>
    <n v="18283.240000000002"/>
    <x v="7"/>
    <n v="2024"/>
  </r>
  <r>
    <s v="TXN02578"/>
    <x v="10"/>
    <x v="4"/>
    <x v="14"/>
    <x v="1"/>
    <d v="2024-04-12T00:00:00"/>
    <x v="0"/>
    <n v="1381.7"/>
    <n v="0"/>
    <x v="3"/>
    <n v="0"/>
    <x v="2576"/>
    <n v="4145.1000000000004"/>
    <x v="1"/>
    <n v="2024"/>
  </r>
  <r>
    <s v="TXN02579"/>
    <x v="11"/>
    <x v="0"/>
    <x v="1"/>
    <x v="6"/>
    <d v="2024-08-29T00:00:00"/>
    <x v="3"/>
    <n v="3436.89"/>
    <n v="20"/>
    <x v="1"/>
    <n v="4124.2700000000004"/>
    <x v="2577"/>
    <n v="16497.07"/>
    <x v="0"/>
    <n v="2024"/>
  </r>
  <r>
    <s v="TXN02580"/>
    <x v="13"/>
    <x v="4"/>
    <x v="14"/>
    <x v="2"/>
    <d v="2025-04-10T00:00:00"/>
    <x v="8"/>
    <n v="1673.61"/>
    <n v="15"/>
    <x v="7"/>
    <n v="251.04"/>
    <x v="2578"/>
    <n v="1422.57"/>
    <x v="1"/>
    <n v="2025"/>
  </r>
  <r>
    <s v="TXN02581"/>
    <x v="10"/>
    <x v="3"/>
    <x v="15"/>
    <x v="2"/>
    <d v="2025-09-04T00:00:00"/>
    <x v="0"/>
    <n v="790.5"/>
    <n v="20"/>
    <x v="0"/>
    <n v="474.3"/>
    <x v="2579"/>
    <n v="1897.2"/>
    <x v="7"/>
    <n v="2025"/>
  </r>
  <r>
    <s v="TXN02582"/>
    <x v="5"/>
    <x v="2"/>
    <x v="11"/>
    <x v="2"/>
    <d v="2024-07-01T00:00:00"/>
    <x v="9"/>
    <n v="4897.92"/>
    <n v="0"/>
    <x v="5"/>
    <n v="0"/>
    <x v="2580"/>
    <n v="48979.199999999997"/>
    <x v="11"/>
    <n v="2024"/>
  </r>
  <r>
    <s v="TXN02583"/>
    <x v="7"/>
    <x v="4"/>
    <x v="17"/>
    <x v="4"/>
    <d v="2025-05-19T00:00:00"/>
    <x v="4"/>
    <n v="3804.88"/>
    <n v="5"/>
    <x v="3"/>
    <n v="1331.71"/>
    <x v="2581"/>
    <n v="25302.45"/>
    <x v="9"/>
    <n v="2025"/>
  </r>
  <r>
    <s v="TXN02584"/>
    <x v="11"/>
    <x v="1"/>
    <x v="8"/>
    <x v="4"/>
    <d v="2024-01-22T00:00:00"/>
    <x v="3"/>
    <n v="44571.55"/>
    <n v="5"/>
    <x v="3"/>
    <n v="13371.47"/>
    <x v="2582"/>
    <n v="254057.83"/>
    <x v="10"/>
    <n v="2024"/>
  </r>
  <r>
    <s v="TXN02585"/>
    <x v="1"/>
    <x v="1"/>
    <x v="12"/>
    <x v="4"/>
    <d v="2025-11-26T00:00:00"/>
    <x v="3"/>
    <n v="7070.41"/>
    <n v="10"/>
    <x v="2"/>
    <n v="4242.25"/>
    <x v="2583"/>
    <n v="38180.21"/>
    <x v="8"/>
    <n v="2025"/>
  </r>
  <r>
    <s v="TXN02586"/>
    <x v="4"/>
    <x v="2"/>
    <x v="9"/>
    <x v="4"/>
    <d v="2024-01-02T00:00:00"/>
    <x v="6"/>
    <n v="4968.51"/>
    <n v="5"/>
    <x v="0"/>
    <n v="2235.83"/>
    <x v="2584"/>
    <n v="42480.76"/>
    <x v="10"/>
    <n v="2024"/>
  </r>
  <r>
    <s v="TXN02587"/>
    <x v="5"/>
    <x v="3"/>
    <x v="20"/>
    <x v="5"/>
    <d v="2024-11-08T00:00:00"/>
    <x v="6"/>
    <n v="4274.09"/>
    <n v="15"/>
    <x v="1"/>
    <n v="5770.02"/>
    <x v="2585"/>
    <n v="32696.79"/>
    <x v="8"/>
    <n v="2024"/>
  </r>
  <r>
    <s v="TXN02588"/>
    <x v="12"/>
    <x v="2"/>
    <x v="11"/>
    <x v="0"/>
    <d v="2024-10-04T00:00:00"/>
    <x v="2"/>
    <n v="4978.6099999999997"/>
    <n v="5"/>
    <x v="1"/>
    <n v="1991.44"/>
    <x v="2586"/>
    <n v="37837.440000000002"/>
    <x v="4"/>
    <n v="2024"/>
  </r>
  <r>
    <s v="TXN02589"/>
    <x v="12"/>
    <x v="0"/>
    <x v="3"/>
    <x v="2"/>
    <d v="2025-06-03T00:00:00"/>
    <x v="3"/>
    <n v="16521.169999999998"/>
    <n v="10"/>
    <x v="2"/>
    <n v="9912.7000000000007"/>
    <x v="2587"/>
    <n v="89214.32"/>
    <x v="5"/>
    <n v="2025"/>
  </r>
  <r>
    <s v="TXN02590"/>
    <x v="11"/>
    <x v="1"/>
    <x v="2"/>
    <x v="0"/>
    <d v="2025-02-10T00:00:00"/>
    <x v="4"/>
    <n v="26466.63"/>
    <n v="5"/>
    <x v="3"/>
    <n v="9263.32"/>
    <x v="2588"/>
    <n v="176003.09"/>
    <x v="2"/>
    <n v="2025"/>
  </r>
  <r>
    <s v="TXN02591"/>
    <x v="0"/>
    <x v="1"/>
    <x v="8"/>
    <x v="0"/>
    <d v="2024-08-26T00:00:00"/>
    <x v="7"/>
    <n v="37849.870000000003"/>
    <n v="15"/>
    <x v="2"/>
    <n v="28387.4"/>
    <x v="2589"/>
    <n v="160861.95000000001"/>
    <x v="0"/>
    <n v="2024"/>
  </r>
  <r>
    <s v="TXN02592"/>
    <x v="10"/>
    <x v="4"/>
    <x v="19"/>
    <x v="4"/>
    <d v="2025-01-02T00:00:00"/>
    <x v="9"/>
    <n v="7507.22"/>
    <n v="15"/>
    <x v="3"/>
    <n v="11260.83"/>
    <x v="2590"/>
    <n v="63811.37"/>
    <x v="10"/>
    <n v="2025"/>
  </r>
  <r>
    <s v="TXN02593"/>
    <x v="3"/>
    <x v="0"/>
    <x v="24"/>
    <x v="6"/>
    <d v="2024-05-25T00:00:00"/>
    <x v="9"/>
    <n v="6534.19"/>
    <n v="10"/>
    <x v="7"/>
    <n v="6534.19"/>
    <x v="2591"/>
    <n v="58807.71"/>
    <x v="9"/>
    <n v="2024"/>
  </r>
  <r>
    <s v="TXN02594"/>
    <x v="7"/>
    <x v="2"/>
    <x v="5"/>
    <x v="6"/>
    <d v="2024-04-29T00:00:00"/>
    <x v="5"/>
    <n v="1176.77"/>
    <n v="15"/>
    <x v="4"/>
    <n v="353.03"/>
    <x v="2592"/>
    <n v="2000.51"/>
    <x v="1"/>
    <n v="2024"/>
  </r>
  <r>
    <s v="TXN02595"/>
    <x v="7"/>
    <x v="1"/>
    <x v="12"/>
    <x v="6"/>
    <d v="2024-11-19T00:00:00"/>
    <x v="9"/>
    <n v="6603.67"/>
    <n v="15"/>
    <x v="5"/>
    <n v="9905.5"/>
    <x v="2593"/>
    <n v="56131.199999999997"/>
    <x v="8"/>
    <n v="2024"/>
  </r>
  <r>
    <s v="TXN02596"/>
    <x v="8"/>
    <x v="1"/>
    <x v="2"/>
    <x v="2"/>
    <d v="2025-10-23T00:00:00"/>
    <x v="4"/>
    <n v="25934.98"/>
    <n v="20"/>
    <x v="3"/>
    <n v="36308.97"/>
    <x v="2594"/>
    <n v="145235.89000000001"/>
    <x v="4"/>
    <n v="2025"/>
  </r>
  <r>
    <s v="TXN02597"/>
    <x v="13"/>
    <x v="3"/>
    <x v="7"/>
    <x v="5"/>
    <d v="2024-03-18T00:00:00"/>
    <x v="3"/>
    <n v="1918.46"/>
    <n v="20"/>
    <x v="2"/>
    <n v="2302.15"/>
    <x v="2595"/>
    <n v="9208.61"/>
    <x v="6"/>
    <n v="2024"/>
  </r>
  <r>
    <s v="TXN02598"/>
    <x v="8"/>
    <x v="2"/>
    <x v="10"/>
    <x v="2"/>
    <d v="2024-04-09T00:00:00"/>
    <x v="1"/>
    <n v="2377.98"/>
    <n v="0"/>
    <x v="5"/>
    <n v="0"/>
    <x v="2596"/>
    <n v="9511.92"/>
    <x v="1"/>
    <n v="2024"/>
  </r>
  <r>
    <s v="TXN02599"/>
    <x v="10"/>
    <x v="1"/>
    <x v="8"/>
    <x v="3"/>
    <d v="2024-02-14T00:00:00"/>
    <x v="7"/>
    <n v="41738.97"/>
    <n v="5"/>
    <x v="1"/>
    <n v="10434.74"/>
    <x v="2597"/>
    <n v="198260.11"/>
    <x v="2"/>
    <n v="2024"/>
  </r>
  <r>
    <s v="TXN02600"/>
    <x v="4"/>
    <x v="1"/>
    <x v="12"/>
    <x v="2"/>
    <d v="2024-06-30T00:00:00"/>
    <x v="0"/>
    <n v="5541.54"/>
    <n v="5"/>
    <x v="7"/>
    <n v="831.23"/>
    <x v="2598"/>
    <n v="15793.39"/>
    <x v="5"/>
    <n v="2024"/>
  </r>
  <r>
    <s v="TXN02601"/>
    <x v="0"/>
    <x v="0"/>
    <x v="3"/>
    <x v="0"/>
    <d v="2025-12-29T00:00:00"/>
    <x v="3"/>
    <n v="20484.72"/>
    <n v="15"/>
    <x v="7"/>
    <n v="18436.25"/>
    <x v="2599"/>
    <n v="104472.07"/>
    <x v="3"/>
    <n v="2025"/>
  </r>
  <r>
    <s v="TXN02602"/>
    <x v="9"/>
    <x v="2"/>
    <x v="9"/>
    <x v="5"/>
    <d v="2024-11-01T00:00:00"/>
    <x v="8"/>
    <n v="4583.68"/>
    <n v="20"/>
    <x v="2"/>
    <n v="916.74"/>
    <x v="2600"/>
    <n v="3666.94"/>
    <x v="8"/>
    <n v="2024"/>
  </r>
  <r>
    <s v="TXN02603"/>
    <x v="3"/>
    <x v="0"/>
    <x v="1"/>
    <x v="0"/>
    <d v="2025-02-02T00:00:00"/>
    <x v="7"/>
    <n v="3441.62"/>
    <n v="5"/>
    <x v="1"/>
    <n v="860.4"/>
    <x v="2601"/>
    <n v="16347.7"/>
    <x v="2"/>
    <n v="2025"/>
  </r>
  <r>
    <s v="TXN02604"/>
    <x v="10"/>
    <x v="0"/>
    <x v="0"/>
    <x v="5"/>
    <d v="2025-08-06T00:00:00"/>
    <x v="6"/>
    <n v="73377.95"/>
    <n v="15"/>
    <x v="3"/>
    <n v="99060.23"/>
    <x v="2602"/>
    <n v="561341.31999999995"/>
    <x v="0"/>
    <n v="2025"/>
  </r>
  <r>
    <s v="TXN02605"/>
    <x v="11"/>
    <x v="4"/>
    <x v="14"/>
    <x v="4"/>
    <d v="2025-06-17T00:00:00"/>
    <x v="3"/>
    <n v="1640.98"/>
    <n v="15"/>
    <x v="5"/>
    <n v="1476.88"/>
    <x v="2603"/>
    <n v="8369"/>
    <x v="5"/>
    <n v="2025"/>
  </r>
  <r>
    <s v="TXN02606"/>
    <x v="4"/>
    <x v="4"/>
    <x v="19"/>
    <x v="5"/>
    <d v="2024-05-01T00:00:00"/>
    <x v="9"/>
    <n v="8070.69"/>
    <n v="5"/>
    <x v="4"/>
    <n v="4035.34"/>
    <x v="2604"/>
    <n v="76671.56"/>
    <x v="9"/>
    <n v="2024"/>
  </r>
  <r>
    <s v="TXN02607"/>
    <x v="8"/>
    <x v="1"/>
    <x v="4"/>
    <x v="4"/>
    <d v="2025-09-17T00:00:00"/>
    <x v="0"/>
    <n v="8629.7199999999993"/>
    <n v="15"/>
    <x v="7"/>
    <n v="3883.37"/>
    <x v="2605"/>
    <n v="22005.79"/>
    <x v="7"/>
    <n v="2025"/>
  </r>
  <r>
    <s v="TXN02608"/>
    <x v="6"/>
    <x v="1"/>
    <x v="13"/>
    <x v="4"/>
    <d v="2024-01-18T00:00:00"/>
    <x v="7"/>
    <n v="12870.53"/>
    <n v="0"/>
    <x v="3"/>
    <n v="0"/>
    <x v="2606"/>
    <n v="64352.65"/>
    <x v="10"/>
    <n v="2024"/>
  </r>
  <r>
    <s v="TXN02609"/>
    <x v="12"/>
    <x v="3"/>
    <x v="7"/>
    <x v="0"/>
    <d v="2024-04-25T00:00:00"/>
    <x v="7"/>
    <n v="1949.73"/>
    <n v="20"/>
    <x v="0"/>
    <n v="1949.73"/>
    <x v="2607"/>
    <n v="7798.92"/>
    <x v="1"/>
    <n v="2024"/>
  </r>
  <r>
    <s v="TXN02610"/>
    <x v="6"/>
    <x v="2"/>
    <x v="10"/>
    <x v="5"/>
    <d v="2024-06-06T00:00:00"/>
    <x v="4"/>
    <n v="2617.58"/>
    <n v="20"/>
    <x v="6"/>
    <n v="3664.61"/>
    <x v="2608"/>
    <n v="14658.45"/>
    <x v="5"/>
    <n v="2024"/>
  </r>
  <r>
    <s v="TXN02611"/>
    <x v="12"/>
    <x v="2"/>
    <x v="22"/>
    <x v="2"/>
    <d v="2025-10-29T00:00:00"/>
    <x v="0"/>
    <n v="1018.14"/>
    <n v="5"/>
    <x v="7"/>
    <n v="152.72"/>
    <x v="2609"/>
    <n v="2901.7"/>
    <x v="4"/>
    <n v="2025"/>
  </r>
  <r>
    <s v="TXN02612"/>
    <x v="13"/>
    <x v="0"/>
    <x v="1"/>
    <x v="1"/>
    <d v="2025-03-18T00:00:00"/>
    <x v="4"/>
    <n v="3007.37"/>
    <n v="5"/>
    <x v="0"/>
    <n v="1052.58"/>
    <x v="2610"/>
    <n v="19999.009999999998"/>
    <x v="6"/>
    <n v="2025"/>
  </r>
  <r>
    <s v="TXN02613"/>
    <x v="13"/>
    <x v="0"/>
    <x v="0"/>
    <x v="0"/>
    <d v="2024-06-14T00:00:00"/>
    <x v="6"/>
    <n v="63970.73"/>
    <n v="20"/>
    <x v="0"/>
    <n v="115147.31"/>
    <x v="2611"/>
    <n v="460589.26"/>
    <x v="5"/>
    <n v="2024"/>
  </r>
  <r>
    <s v="TXN02614"/>
    <x v="4"/>
    <x v="4"/>
    <x v="18"/>
    <x v="1"/>
    <d v="2024-11-25T00:00:00"/>
    <x v="8"/>
    <n v="12957.9"/>
    <n v="5"/>
    <x v="1"/>
    <n v="647.89"/>
    <x v="2612"/>
    <n v="12310.01"/>
    <x v="8"/>
    <n v="2024"/>
  </r>
  <r>
    <s v="TXN02615"/>
    <x v="14"/>
    <x v="3"/>
    <x v="7"/>
    <x v="6"/>
    <d v="2025-07-17T00:00:00"/>
    <x v="8"/>
    <n v="2040.89"/>
    <n v="20"/>
    <x v="0"/>
    <n v="408.18"/>
    <x v="2613"/>
    <n v="1632.71"/>
    <x v="11"/>
    <n v="2025"/>
  </r>
  <r>
    <s v="TXN02616"/>
    <x v="4"/>
    <x v="1"/>
    <x v="2"/>
    <x v="3"/>
    <d v="2025-11-06T00:00:00"/>
    <x v="9"/>
    <n v="30025.23"/>
    <n v="0"/>
    <x v="3"/>
    <n v="0"/>
    <x v="2614"/>
    <n v="300252.3"/>
    <x v="8"/>
    <n v="2025"/>
  </r>
  <r>
    <s v="TXN02617"/>
    <x v="1"/>
    <x v="0"/>
    <x v="24"/>
    <x v="6"/>
    <d v="2024-06-16T00:00:00"/>
    <x v="2"/>
    <n v="7623.5"/>
    <n v="5"/>
    <x v="2"/>
    <n v="3049.4"/>
    <x v="2615"/>
    <n v="57938.6"/>
    <x v="5"/>
    <n v="2024"/>
  </r>
  <r>
    <s v="TXN02618"/>
    <x v="4"/>
    <x v="1"/>
    <x v="13"/>
    <x v="6"/>
    <d v="2025-05-28T00:00:00"/>
    <x v="9"/>
    <n v="13478.87"/>
    <n v="5"/>
    <x v="0"/>
    <n v="6739.44"/>
    <x v="2616"/>
    <n v="128049.26"/>
    <x v="9"/>
    <n v="2025"/>
  </r>
  <r>
    <s v="TXN02619"/>
    <x v="1"/>
    <x v="1"/>
    <x v="2"/>
    <x v="2"/>
    <d v="2025-06-01T00:00:00"/>
    <x v="3"/>
    <n v="26468.75"/>
    <n v="20"/>
    <x v="7"/>
    <n v="31762.5"/>
    <x v="2617"/>
    <n v="127050"/>
    <x v="5"/>
    <n v="2025"/>
  </r>
  <r>
    <s v="TXN02620"/>
    <x v="1"/>
    <x v="4"/>
    <x v="18"/>
    <x v="5"/>
    <d v="2024-09-10T00:00:00"/>
    <x v="4"/>
    <n v="12456.45"/>
    <n v="0"/>
    <x v="7"/>
    <n v="0"/>
    <x v="2618"/>
    <n v="87195.15"/>
    <x v="7"/>
    <n v="2024"/>
  </r>
  <r>
    <s v="TXN02621"/>
    <x v="2"/>
    <x v="0"/>
    <x v="0"/>
    <x v="4"/>
    <d v="2024-07-24T00:00:00"/>
    <x v="1"/>
    <n v="70149.56"/>
    <n v="5"/>
    <x v="3"/>
    <n v="14029.91"/>
    <x v="2619"/>
    <n v="266568.33"/>
    <x v="11"/>
    <n v="2024"/>
  </r>
  <r>
    <s v="TXN02622"/>
    <x v="4"/>
    <x v="0"/>
    <x v="1"/>
    <x v="6"/>
    <d v="2024-12-23T00:00:00"/>
    <x v="0"/>
    <n v="3350.4"/>
    <n v="20"/>
    <x v="0"/>
    <n v="2010.24"/>
    <x v="2620"/>
    <n v="8040.96"/>
    <x v="3"/>
    <n v="2024"/>
  </r>
  <r>
    <s v="TXN02623"/>
    <x v="11"/>
    <x v="0"/>
    <x v="1"/>
    <x v="0"/>
    <d v="2025-02-19T00:00:00"/>
    <x v="2"/>
    <n v="3069.76"/>
    <n v="0"/>
    <x v="1"/>
    <n v="0"/>
    <x v="2621"/>
    <n v="24558.080000000002"/>
    <x v="2"/>
    <n v="2025"/>
  </r>
  <r>
    <s v="TXN02624"/>
    <x v="10"/>
    <x v="0"/>
    <x v="24"/>
    <x v="2"/>
    <d v="2025-08-18T00:00:00"/>
    <x v="0"/>
    <n v="6310.98"/>
    <n v="20"/>
    <x v="5"/>
    <n v="3786.59"/>
    <x v="2622"/>
    <n v="15146.35"/>
    <x v="0"/>
    <n v="2025"/>
  </r>
  <r>
    <s v="TXN02625"/>
    <x v="4"/>
    <x v="2"/>
    <x v="10"/>
    <x v="2"/>
    <d v="2024-09-10T00:00:00"/>
    <x v="5"/>
    <n v="2638.23"/>
    <n v="15"/>
    <x v="4"/>
    <n v="791.47"/>
    <x v="2623"/>
    <n v="4484.99"/>
    <x v="7"/>
    <n v="2024"/>
  </r>
  <r>
    <s v="TXN02626"/>
    <x v="1"/>
    <x v="2"/>
    <x v="9"/>
    <x v="1"/>
    <d v="2025-05-30T00:00:00"/>
    <x v="5"/>
    <n v="4446.3900000000003"/>
    <n v="20"/>
    <x v="6"/>
    <n v="1778.56"/>
    <x v="2624"/>
    <n v="7114.22"/>
    <x v="9"/>
    <n v="2025"/>
  </r>
  <r>
    <s v="TXN02627"/>
    <x v="4"/>
    <x v="4"/>
    <x v="14"/>
    <x v="6"/>
    <d v="2025-07-08T00:00:00"/>
    <x v="7"/>
    <n v="1481.23"/>
    <n v="15"/>
    <x v="0"/>
    <n v="1110.92"/>
    <x v="2625"/>
    <n v="6295.23"/>
    <x v="11"/>
    <n v="2025"/>
  </r>
  <r>
    <s v="TXN02628"/>
    <x v="0"/>
    <x v="1"/>
    <x v="12"/>
    <x v="3"/>
    <d v="2025-12-19T00:00:00"/>
    <x v="4"/>
    <n v="6561.84"/>
    <n v="15"/>
    <x v="3"/>
    <n v="6889.93"/>
    <x v="2626"/>
    <n v="39042.949999999997"/>
    <x v="3"/>
    <n v="2025"/>
  </r>
  <r>
    <s v="TXN02629"/>
    <x v="10"/>
    <x v="2"/>
    <x v="9"/>
    <x v="4"/>
    <d v="2025-08-11T00:00:00"/>
    <x v="5"/>
    <n v="4205.66"/>
    <n v="15"/>
    <x v="5"/>
    <n v="1261.7"/>
    <x v="2627"/>
    <n v="7149.62"/>
    <x v="0"/>
    <n v="2025"/>
  </r>
  <r>
    <s v="TXN02630"/>
    <x v="12"/>
    <x v="1"/>
    <x v="4"/>
    <x v="6"/>
    <d v="2024-12-17T00:00:00"/>
    <x v="3"/>
    <n v="8411.73"/>
    <n v="10"/>
    <x v="3"/>
    <n v="5047.04"/>
    <x v="2628"/>
    <n v="45423.34"/>
    <x v="3"/>
    <n v="2024"/>
  </r>
  <r>
    <s v="TXN02631"/>
    <x v="10"/>
    <x v="4"/>
    <x v="17"/>
    <x v="5"/>
    <d v="2024-05-19T00:00:00"/>
    <x v="9"/>
    <n v="3903.95"/>
    <n v="0"/>
    <x v="4"/>
    <n v="0"/>
    <x v="2629"/>
    <n v="39039.5"/>
    <x v="9"/>
    <n v="2024"/>
  </r>
  <r>
    <s v="TXN02632"/>
    <x v="8"/>
    <x v="4"/>
    <x v="19"/>
    <x v="5"/>
    <d v="2025-09-24T00:00:00"/>
    <x v="4"/>
    <n v="8046.1"/>
    <n v="10"/>
    <x v="3"/>
    <n v="5632.27"/>
    <x v="2630"/>
    <n v="50690.43"/>
    <x v="7"/>
    <n v="2025"/>
  </r>
  <r>
    <s v="TXN02633"/>
    <x v="12"/>
    <x v="0"/>
    <x v="24"/>
    <x v="6"/>
    <d v="2025-05-11T00:00:00"/>
    <x v="8"/>
    <n v="7284.26"/>
    <n v="20"/>
    <x v="2"/>
    <n v="1456.85"/>
    <x v="2631"/>
    <n v="5827.41"/>
    <x v="9"/>
    <n v="2025"/>
  </r>
  <r>
    <s v="TXN02634"/>
    <x v="5"/>
    <x v="2"/>
    <x v="9"/>
    <x v="2"/>
    <d v="2024-09-18T00:00:00"/>
    <x v="6"/>
    <n v="4445.9399999999996"/>
    <n v="20"/>
    <x v="6"/>
    <n v="8002.69"/>
    <x v="2632"/>
    <n v="32010.77"/>
    <x v="7"/>
    <n v="2024"/>
  </r>
  <r>
    <s v="TXN02635"/>
    <x v="1"/>
    <x v="2"/>
    <x v="22"/>
    <x v="0"/>
    <d v="2025-06-05T00:00:00"/>
    <x v="1"/>
    <n v="990.61"/>
    <n v="20"/>
    <x v="7"/>
    <n v="792.49"/>
    <x v="2633"/>
    <n v="3169.95"/>
    <x v="5"/>
    <n v="2025"/>
  </r>
  <r>
    <s v="TXN02636"/>
    <x v="1"/>
    <x v="3"/>
    <x v="15"/>
    <x v="5"/>
    <d v="2024-10-22T00:00:00"/>
    <x v="2"/>
    <n v="906.18"/>
    <n v="10"/>
    <x v="0"/>
    <n v="724.94"/>
    <x v="2634"/>
    <n v="6524.5"/>
    <x v="4"/>
    <n v="2024"/>
  </r>
  <r>
    <s v="TXN02637"/>
    <x v="0"/>
    <x v="1"/>
    <x v="2"/>
    <x v="6"/>
    <d v="2025-01-24T00:00:00"/>
    <x v="7"/>
    <n v="27352.54"/>
    <n v="20"/>
    <x v="7"/>
    <n v="27352.54"/>
    <x v="2635"/>
    <n v="109410.16"/>
    <x v="10"/>
    <n v="2025"/>
  </r>
  <r>
    <s v="TXN02638"/>
    <x v="5"/>
    <x v="0"/>
    <x v="3"/>
    <x v="0"/>
    <d v="2025-09-11T00:00:00"/>
    <x v="0"/>
    <n v="19182.97"/>
    <n v="20"/>
    <x v="1"/>
    <n v="11509.78"/>
    <x v="2636"/>
    <n v="46039.13"/>
    <x v="7"/>
    <n v="2025"/>
  </r>
  <r>
    <s v="TXN02639"/>
    <x v="3"/>
    <x v="4"/>
    <x v="17"/>
    <x v="4"/>
    <d v="2024-02-02T00:00:00"/>
    <x v="0"/>
    <n v="3498.66"/>
    <n v="15"/>
    <x v="7"/>
    <n v="1574.4"/>
    <x v="2637"/>
    <n v="8921.58"/>
    <x v="2"/>
    <n v="2024"/>
  </r>
  <r>
    <s v="TXN02640"/>
    <x v="1"/>
    <x v="0"/>
    <x v="24"/>
    <x v="0"/>
    <d v="2024-01-19T00:00:00"/>
    <x v="6"/>
    <n v="6613.5"/>
    <n v="20"/>
    <x v="1"/>
    <n v="11904.3"/>
    <x v="2638"/>
    <n v="47617.2"/>
    <x v="10"/>
    <n v="2024"/>
  </r>
  <r>
    <s v="TXN02641"/>
    <x v="9"/>
    <x v="3"/>
    <x v="20"/>
    <x v="1"/>
    <d v="2024-01-01T00:00:00"/>
    <x v="6"/>
    <n v="3917.6"/>
    <n v="20"/>
    <x v="0"/>
    <n v="7051.68"/>
    <x v="2639"/>
    <n v="28206.720000000001"/>
    <x v="10"/>
    <n v="2024"/>
  </r>
  <r>
    <s v="TXN02642"/>
    <x v="4"/>
    <x v="2"/>
    <x v="5"/>
    <x v="2"/>
    <d v="2024-12-03T00:00:00"/>
    <x v="2"/>
    <n v="1288.69"/>
    <n v="20"/>
    <x v="1"/>
    <n v="2061.9"/>
    <x v="2640"/>
    <n v="8247.6200000000008"/>
    <x v="3"/>
    <n v="2024"/>
  </r>
  <r>
    <s v="TXN02643"/>
    <x v="12"/>
    <x v="2"/>
    <x v="5"/>
    <x v="6"/>
    <d v="2024-09-25T00:00:00"/>
    <x v="5"/>
    <n v="1246"/>
    <n v="15"/>
    <x v="6"/>
    <n v="373.8"/>
    <x v="2641"/>
    <n v="2118.1999999999998"/>
    <x v="7"/>
    <n v="2024"/>
  </r>
  <r>
    <s v="TXN02644"/>
    <x v="7"/>
    <x v="1"/>
    <x v="12"/>
    <x v="5"/>
    <d v="2024-01-14T00:00:00"/>
    <x v="8"/>
    <n v="5400.95"/>
    <n v="0"/>
    <x v="5"/>
    <n v="0"/>
    <x v="2642"/>
    <n v="5400.95"/>
    <x v="10"/>
    <n v="2024"/>
  </r>
  <r>
    <s v="TXN02645"/>
    <x v="10"/>
    <x v="3"/>
    <x v="16"/>
    <x v="2"/>
    <d v="2024-04-14T00:00:00"/>
    <x v="9"/>
    <n v="1683.23"/>
    <n v="20"/>
    <x v="2"/>
    <n v="3366.46"/>
    <x v="2643"/>
    <n v="13465.84"/>
    <x v="1"/>
    <n v="2024"/>
  </r>
  <r>
    <s v="TXN02646"/>
    <x v="13"/>
    <x v="3"/>
    <x v="7"/>
    <x v="0"/>
    <d v="2024-10-26T00:00:00"/>
    <x v="5"/>
    <n v="2058.19"/>
    <n v="20"/>
    <x v="2"/>
    <n v="823.28"/>
    <x v="2644"/>
    <n v="3293.1"/>
    <x v="4"/>
    <n v="2024"/>
  </r>
  <r>
    <s v="TXN02647"/>
    <x v="9"/>
    <x v="1"/>
    <x v="2"/>
    <x v="2"/>
    <d v="2025-03-18T00:00:00"/>
    <x v="2"/>
    <n v="26059.26"/>
    <n v="20"/>
    <x v="4"/>
    <n v="41694.82"/>
    <x v="2645"/>
    <n v="166779.26"/>
    <x v="6"/>
    <n v="2025"/>
  </r>
  <r>
    <s v="TXN02648"/>
    <x v="8"/>
    <x v="4"/>
    <x v="17"/>
    <x v="1"/>
    <d v="2024-06-14T00:00:00"/>
    <x v="4"/>
    <n v="3918.41"/>
    <n v="0"/>
    <x v="6"/>
    <n v="0"/>
    <x v="2646"/>
    <n v="27428.87"/>
    <x v="5"/>
    <n v="2024"/>
  </r>
  <r>
    <s v="TXN02649"/>
    <x v="8"/>
    <x v="0"/>
    <x v="0"/>
    <x v="3"/>
    <d v="2025-03-13T00:00:00"/>
    <x v="3"/>
    <n v="72939.03"/>
    <n v="0"/>
    <x v="0"/>
    <n v="0"/>
    <x v="2647"/>
    <n v="437634.18"/>
    <x v="6"/>
    <n v="2025"/>
  </r>
  <r>
    <s v="TXN02650"/>
    <x v="5"/>
    <x v="0"/>
    <x v="6"/>
    <x v="0"/>
    <d v="2024-09-15T00:00:00"/>
    <x v="0"/>
    <n v="26259.08"/>
    <n v="0"/>
    <x v="4"/>
    <n v="0"/>
    <x v="2648"/>
    <n v="78777.240000000005"/>
    <x v="7"/>
    <n v="2024"/>
  </r>
  <r>
    <s v="TXN02651"/>
    <x v="5"/>
    <x v="4"/>
    <x v="23"/>
    <x v="2"/>
    <d v="2025-03-08T00:00:00"/>
    <x v="6"/>
    <n v="11255.97"/>
    <n v="15"/>
    <x v="5"/>
    <n v="15195.56"/>
    <x v="2649"/>
    <n v="86108.17"/>
    <x v="6"/>
    <n v="2025"/>
  </r>
  <r>
    <s v="TXN02652"/>
    <x v="5"/>
    <x v="3"/>
    <x v="7"/>
    <x v="1"/>
    <d v="2024-05-25T00:00:00"/>
    <x v="0"/>
    <n v="1672.57"/>
    <n v="10"/>
    <x v="2"/>
    <n v="501.77"/>
    <x v="2650"/>
    <n v="4515.9399999999996"/>
    <x v="9"/>
    <n v="2024"/>
  </r>
  <r>
    <s v="TXN02653"/>
    <x v="1"/>
    <x v="2"/>
    <x v="11"/>
    <x v="3"/>
    <d v="2024-05-20T00:00:00"/>
    <x v="3"/>
    <n v="5665.55"/>
    <n v="5"/>
    <x v="6"/>
    <n v="1699.67"/>
    <x v="2651"/>
    <n v="32293.63"/>
    <x v="9"/>
    <n v="2024"/>
  </r>
  <r>
    <s v="TXN02654"/>
    <x v="6"/>
    <x v="1"/>
    <x v="13"/>
    <x v="6"/>
    <d v="2024-12-05T00:00:00"/>
    <x v="1"/>
    <n v="12591"/>
    <n v="10"/>
    <x v="1"/>
    <n v="5036.3999999999996"/>
    <x v="2652"/>
    <n v="45327.6"/>
    <x v="3"/>
    <n v="2024"/>
  </r>
  <r>
    <s v="TXN02655"/>
    <x v="5"/>
    <x v="4"/>
    <x v="17"/>
    <x v="5"/>
    <d v="2025-05-06T00:00:00"/>
    <x v="4"/>
    <n v="3415.63"/>
    <n v="10"/>
    <x v="4"/>
    <n v="2390.94"/>
    <x v="2653"/>
    <n v="21518.47"/>
    <x v="9"/>
    <n v="2025"/>
  </r>
  <r>
    <s v="TXN02656"/>
    <x v="12"/>
    <x v="3"/>
    <x v="20"/>
    <x v="4"/>
    <d v="2024-11-30T00:00:00"/>
    <x v="0"/>
    <n v="3557.77"/>
    <n v="5"/>
    <x v="2"/>
    <n v="533.66999999999996"/>
    <x v="2654"/>
    <n v="10139.64"/>
    <x v="8"/>
    <n v="2024"/>
  </r>
  <r>
    <s v="TXN02657"/>
    <x v="3"/>
    <x v="2"/>
    <x v="5"/>
    <x v="1"/>
    <d v="2024-03-24T00:00:00"/>
    <x v="0"/>
    <n v="1166.24"/>
    <n v="10"/>
    <x v="6"/>
    <n v="349.87"/>
    <x v="2655"/>
    <n v="3148.85"/>
    <x v="6"/>
    <n v="2024"/>
  </r>
  <r>
    <s v="TXN02658"/>
    <x v="7"/>
    <x v="1"/>
    <x v="12"/>
    <x v="2"/>
    <d v="2024-01-04T00:00:00"/>
    <x v="1"/>
    <n v="5991.58"/>
    <n v="5"/>
    <x v="1"/>
    <n v="1198.32"/>
    <x v="2656"/>
    <n v="22768"/>
    <x v="10"/>
    <n v="2024"/>
  </r>
  <r>
    <s v="TXN02659"/>
    <x v="14"/>
    <x v="0"/>
    <x v="0"/>
    <x v="2"/>
    <d v="2024-08-30T00:00:00"/>
    <x v="0"/>
    <n v="68791.240000000005"/>
    <n v="15"/>
    <x v="6"/>
    <n v="30956.06"/>
    <x v="2657"/>
    <n v="175417.66"/>
    <x v="0"/>
    <n v="2024"/>
  </r>
  <r>
    <s v="TXN02660"/>
    <x v="1"/>
    <x v="4"/>
    <x v="18"/>
    <x v="3"/>
    <d v="2025-07-02T00:00:00"/>
    <x v="6"/>
    <n v="12994.52"/>
    <n v="20"/>
    <x v="4"/>
    <n v="23390.14"/>
    <x v="2658"/>
    <n v="93560.54"/>
    <x v="11"/>
    <n v="2025"/>
  </r>
  <r>
    <s v="TXN02661"/>
    <x v="3"/>
    <x v="3"/>
    <x v="21"/>
    <x v="2"/>
    <d v="2025-07-21T00:00:00"/>
    <x v="3"/>
    <n v="2356.86"/>
    <n v="20"/>
    <x v="5"/>
    <n v="2828.23"/>
    <x v="2659"/>
    <n v="11312.93"/>
    <x v="11"/>
    <n v="2025"/>
  </r>
  <r>
    <s v="TXN02662"/>
    <x v="8"/>
    <x v="3"/>
    <x v="7"/>
    <x v="3"/>
    <d v="2024-05-23T00:00:00"/>
    <x v="3"/>
    <n v="1665.63"/>
    <n v="0"/>
    <x v="5"/>
    <n v="0"/>
    <x v="2660"/>
    <n v="9993.7800000000007"/>
    <x v="9"/>
    <n v="2024"/>
  </r>
  <r>
    <s v="TXN02663"/>
    <x v="11"/>
    <x v="2"/>
    <x v="22"/>
    <x v="0"/>
    <d v="2025-04-04T00:00:00"/>
    <x v="5"/>
    <n v="822.32"/>
    <n v="0"/>
    <x v="7"/>
    <n v="0"/>
    <x v="2661"/>
    <n v="1644.64"/>
    <x v="1"/>
    <n v="2025"/>
  </r>
  <r>
    <s v="TXN02664"/>
    <x v="3"/>
    <x v="2"/>
    <x v="10"/>
    <x v="0"/>
    <d v="2024-09-21T00:00:00"/>
    <x v="2"/>
    <n v="2533.8200000000002"/>
    <n v="10"/>
    <x v="7"/>
    <n v="2027.06"/>
    <x v="2662"/>
    <n v="18243.5"/>
    <x v="7"/>
    <n v="2024"/>
  </r>
  <r>
    <s v="TXN02665"/>
    <x v="10"/>
    <x v="4"/>
    <x v="18"/>
    <x v="0"/>
    <d v="2024-12-31T00:00:00"/>
    <x v="0"/>
    <n v="12861.96"/>
    <n v="20"/>
    <x v="0"/>
    <n v="7717.18"/>
    <x v="2663"/>
    <n v="30868.7"/>
    <x v="3"/>
    <n v="2024"/>
  </r>
  <r>
    <s v="TXN02666"/>
    <x v="4"/>
    <x v="3"/>
    <x v="15"/>
    <x v="3"/>
    <d v="2024-05-01T00:00:00"/>
    <x v="3"/>
    <n v="836.12"/>
    <n v="20"/>
    <x v="6"/>
    <n v="1003.34"/>
    <x v="2664"/>
    <n v="4013.38"/>
    <x v="9"/>
    <n v="2024"/>
  </r>
  <r>
    <s v="TXN02667"/>
    <x v="5"/>
    <x v="4"/>
    <x v="18"/>
    <x v="0"/>
    <d v="2024-02-07T00:00:00"/>
    <x v="3"/>
    <n v="11494.1"/>
    <n v="20"/>
    <x v="0"/>
    <n v="13792.92"/>
    <x v="2665"/>
    <n v="55171.68"/>
    <x v="2"/>
    <n v="2024"/>
  </r>
  <r>
    <s v="TXN02668"/>
    <x v="2"/>
    <x v="2"/>
    <x v="10"/>
    <x v="4"/>
    <d v="2025-06-26T00:00:00"/>
    <x v="1"/>
    <n v="2513.3000000000002"/>
    <n v="0"/>
    <x v="7"/>
    <n v="0"/>
    <x v="2666"/>
    <n v="10053.200000000001"/>
    <x v="5"/>
    <n v="2025"/>
  </r>
  <r>
    <s v="TXN02669"/>
    <x v="4"/>
    <x v="1"/>
    <x v="13"/>
    <x v="2"/>
    <d v="2025-03-13T00:00:00"/>
    <x v="8"/>
    <n v="12338.94"/>
    <n v="20"/>
    <x v="3"/>
    <n v="2467.79"/>
    <x v="2667"/>
    <n v="9871.15"/>
    <x v="6"/>
    <n v="2025"/>
  </r>
  <r>
    <s v="TXN02670"/>
    <x v="10"/>
    <x v="2"/>
    <x v="5"/>
    <x v="6"/>
    <d v="2024-12-27T00:00:00"/>
    <x v="0"/>
    <n v="1346.37"/>
    <n v="15"/>
    <x v="7"/>
    <n v="605.87"/>
    <x v="2668"/>
    <n v="3433.24"/>
    <x v="3"/>
    <n v="2024"/>
  </r>
  <r>
    <s v="TXN02671"/>
    <x v="5"/>
    <x v="1"/>
    <x v="12"/>
    <x v="3"/>
    <d v="2024-07-07T00:00:00"/>
    <x v="3"/>
    <n v="6426.41"/>
    <n v="10"/>
    <x v="2"/>
    <n v="3855.85"/>
    <x v="2669"/>
    <n v="34702.61"/>
    <x v="11"/>
    <n v="2024"/>
  </r>
  <r>
    <s v="TXN02672"/>
    <x v="11"/>
    <x v="1"/>
    <x v="12"/>
    <x v="2"/>
    <d v="2025-02-22T00:00:00"/>
    <x v="3"/>
    <n v="6647.6"/>
    <n v="5"/>
    <x v="4"/>
    <n v="1994.28"/>
    <x v="2670"/>
    <n v="37891.32"/>
    <x v="2"/>
    <n v="2025"/>
  </r>
  <r>
    <s v="TXN02673"/>
    <x v="11"/>
    <x v="3"/>
    <x v="7"/>
    <x v="3"/>
    <d v="2024-04-13T00:00:00"/>
    <x v="6"/>
    <n v="1874.04"/>
    <n v="0"/>
    <x v="1"/>
    <n v="0"/>
    <x v="2671"/>
    <n v="16866.36"/>
    <x v="1"/>
    <n v="2024"/>
  </r>
  <r>
    <s v="TXN02674"/>
    <x v="8"/>
    <x v="3"/>
    <x v="16"/>
    <x v="5"/>
    <d v="2024-10-26T00:00:00"/>
    <x v="7"/>
    <n v="1843.61"/>
    <n v="15"/>
    <x v="0"/>
    <n v="1382.71"/>
    <x v="2672"/>
    <n v="7835.34"/>
    <x v="4"/>
    <n v="2024"/>
  </r>
  <r>
    <s v="TXN02675"/>
    <x v="11"/>
    <x v="0"/>
    <x v="24"/>
    <x v="2"/>
    <d v="2024-06-15T00:00:00"/>
    <x v="9"/>
    <n v="7715.88"/>
    <n v="20"/>
    <x v="2"/>
    <n v="15431.76"/>
    <x v="2673"/>
    <n v="61727.040000000001"/>
    <x v="5"/>
    <n v="2024"/>
  </r>
  <r>
    <s v="TXN02676"/>
    <x v="2"/>
    <x v="0"/>
    <x v="3"/>
    <x v="4"/>
    <d v="2024-05-19T00:00:00"/>
    <x v="9"/>
    <n v="18920.71"/>
    <n v="10"/>
    <x v="2"/>
    <n v="18920.71"/>
    <x v="2674"/>
    <n v="170286.39"/>
    <x v="9"/>
    <n v="2024"/>
  </r>
  <r>
    <s v="TXN02677"/>
    <x v="5"/>
    <x v="4"/>
    <x v="23"/>
    <x v="0"/>
    <d v="2025-09-16T00:00:00"/>
    <x v="9"/>
    <n v="10437.790000000001"/>
    <n v="0"/>
    <x v="1"/>
    <n v="0"/>
    <x v="2675"/>
    <n v="104377.9"/>
    <x v="7"/>
    <n v="2025"/>
  </r>
  <r>
    <s v="TXN02678"/>
    <x v="13"/>
    <x v="0"/>
    <x v="0"/>
    <x v="6"/>
    <d v="2025-05-06T00:00:00"/>
    <x v="1"/>
    <n v="67883.39"/>
    <n v="20"/>
    <x v="5"/>
    <n v="54306.71"/>
    <x v="2676"/>
    <n v="217226.85"/>
    <x v="9"/>
    <n v="2025"/>
  </r>
  <r>
    <s v="TXN02679"/>
    <x v="7"/>
    <x v="1"/>
    <x v="4"/>
    <x v="1"/>
    <d v="2025-07-07T00:00:00"/>
    <x v="9"/>
    <n v="8019.2"/>
    <n v="20"/>
    <x v="7"/>
    <n v="16038.4"/>
    <x v="2677"/>
    <n v="64153.599999999999"/>
    <x v="11"/>
    <n v="2025"/>
  </r>
  <r>
    <s v="TXN02680"/>
    <x v="7"/>
    <x v="3"/>
    <x v="20"/>
    <x v="2"/>
    <d v="2025-02-03T00:00:00"/>
    <x v="7"/>
    <n v="3794.11"/>
    <n v="20"/>
    <x v="4"/>
    <n v="3794.11"/>
    <x v="2678"/>
    <n v="15176.44"/>
    <x v="2"/>
    <n v="2025"/>
  </r>
  <r>
    <s v="TXN02681"/>
    <x v="12"/>
    <x v="2"/>
    <x v="22"/>
    <x v="3"/>
    <d v="2025-08-19T00:00:00"/>
    <x v="3"/>
    <n v="908.56"/>
    <n v="20"/>
    <x v="6"/>
    <n v="1090.27"/>
    <x v="2679"/>
    <n v="4361.09"/>
    <x v="0"/>
    <n v="2025"/>
  </r>
  <r>
    <s v="TXN02682"/>
    <x v="3"/>
    <x v="3"/>
    <x v="16"/>
    <x v="2"/>
    <d v="2025-06-16T00:00:00"/>
    <x v="0"/>
    <n v="1704.54"/>
    <n v="0"/>
    <x v="5"/>
    <n v="0"/>
    <x v="2680"/>
    <n v="5113.62"/>
    <x v="5"/>
    <n v="2025"/>
  </r>
  <r>
    <s v="TXN02683"/>
    <x v="7"/>
    <x v="2"/>
    <x v="10"/>
    <x v="4"/>
    <d v="2025-03-27T00:00:00"/>
    <x v="9"/>
    <n v="2539.23"/>
    <n v="20"/>
    <x v="7"/>
    <n v="5078.46"/>
    <x v="2681"/>
    <n v="20313.84"/>
    <x v="6"/>
    <n v="2025"/>
  </r>
  <r>
    <s v="TXN02684"/>
    <x v="4"/>
    <x v="2"/>
    <x v="10"/>
    <x v="4"/>
    <d v="2025-06-25T00:00:00"/>
    <x v="6"/>
    <n v="2367.21"/>
    <n v="20"/>
    <x v="4"/>
    <n v="4260.9799999999996"/>
    <x v="2682"/>
    <n v="17043.91"/>
    <x v="5"/>
    <n v="2025"/>
  </r>
  <r>
    <s v="TXN02685"/>
    <x v="11"/>
    <x v="4"/>
    <x v="17"/>
    <x v="1"/>
    <d v="2025-08-17T00:00:00"/>
    <x v="6"/>
    <n v="3411.84"/>
    <n v="10"/>
    <x v="5"/>
    <n v="3070.66"/>
    <x v="2683"/>
    <n v="27635.9"/>
    <x v="0"/>
    <n v="2025"/>
  </r>
  <r>
    <s v="TXN02686"/>
    <x v="10"/>
    <x v="3"/>
    <x v="15"/>
    <x v="0"/>
    <d v="2025-03-11T00:00:00"/>
    <x v="2"/>
    <n v="872.11"/>
    <n v="5"/>
    <x v="0"/>
    <n v="348.84"/>
    <x v="2684"/>
    <n v="6628.04"/>
    <x v="6"/>
    <n v="2025"/>
  </r>
  <r>
    <s v="TXN02687"/>
    <x v="9"/>
    <x v="2"/>
    <x v="9"/>
    <x v="1"/>
    <d v="2024-07-05T00:00:00"/>
    <x v="1"/>
    <n v="4767.97"/>
    <n v="5"/>
    <x v="7"/>
    <n v="953.59"/>
    <x v="2685"/>
    <n v="18118.29"/>
    <x v="11"/>
    <n v="2024"/>
  </r>
  <r>
    <s v="TXN02688"/>
    <x v="3"/>
    <x v="2"/>
    <x v="11"/>
    <x v="3"/>
    <d v="2025-07-03T00:00:00"/>
    <x v="5"/>
    <n v="5469.2"/>
    <n v="20"/>
    <x v="2"/>
    <n v="2187.6799999999998"/>
    <x v="2686"/>
    <n v="8750.7199999999993"/>
    <x v="11"/>
    <n v="2025"/>
  </r>
  <r>
    <s v="TXN02689"/>
    <x v="11"/>
    <x v="1"/>
    <x v="8"/>
    <x v="3"/>
    <d v="2024-10-08T00:00:00"/>
    <x v="3"/>
    <n v="45940.82"/>
    <n v="0"/>
    <x v="7"/>
    <n v="0"/>
    <x v="2687"/>
    <n v="275644.92"/>
    <x v="4"/>
    <n v="2024"/>
  </r>
  <r>
    <s v="TXN02690"/>
    <x v="8"/>
    <x v="2"/>
    <x v="11"/>
    <x v="3"/>
    <d v="2024-04-17T00:00:00"/>
    <x v="2"/>
    <n v="5085.01"/>
    <n v="0"/>
    <x v="3"/>
    <n v="0"/>
    <x v="2688"/>
    <n v="40680.080000000002"/>
    <x v="1"/>
    <n v="2024"/>
  </r>
  <r>
    <s v="TXN02691"/>
    <x v="7"/>
    <x v="3"/>
    <x v="20"/>
    <x v="6"/>
    <d v="2025-03-09T00:00:00"/>
    <x v="9"/>
    <n v="3331.76"/>
    <n v="10"/>
    <x v="2"/>
    <n v="3331.76"/>
    <x v="2689"/>
    <n v="29985.84"/>
    <x v="6"/>
    <n v="2025"/>
  </r>
  <r>
    <s v="TXN02692"/>
    <x v="0"/>
    <x v="0"/>
    <x v="3"/>
    <x v="6"/>
    <d v="2025-04-20T00:00:00"/>
    <x v="8"/>
    <n v="19659.61"/>
    <n v="10"/>
    <x v="1"/>
    <n v="1965.96"/>
    <x v="2690"/>
    <n v="17693.650000000001"/>
    <x v="1"/>
    <n v="2025"/>
  </r>
  <r>
    <s v="TXN02693"/>
    <x v="8"/>
    <x v="1"/>
    <x v="13"/>
    <x v="5"/>
    <d v="2024-05-04T00:00:00"/>
    <x v="5"/>
    <n v="12527.02"/>
    <n v="20"/>
    <x v="1"/>
    <n v="5010.8100000000004"/>
    <x v="2691"/>
    <n v="20043.23"/>
    <x v="9"/>
    <n v="2024"/>
  </r>
  <r>
    <s v="TXN02694"/>
    <x v="2"/>
    <x v="0"/>
    <x v="0"/>
    <x v="3"/>
    <d v="2025-08-10T00:00:00"/>
    <x v="2"/>
    <n v="63494.82"/>
    <n v="10"/>
    <x v="3"/>
    <n v="50795.86"/>
    <x v="2692"/>
    <n v="457162.7"/>
    <x v="0"/>
    <n v="2025"/>
  </r>
  <r>
    <s v="TXN02695"/>
    <x v="2"/>
    <x v="3"/>
    <x v="15"/>
    <x v="2"/>
    <d v="2024-02-13T00:00:00"/>
    <x v="9"/>
    <n v="731.81"/>
    <n v="20"/>
    <x v="2"/>
    <n v="1463.62"/>
    <x v="2693"/>
    <n v="5854.48"/>
    <x v="2"/>
    <n v="2024"/>
  </r>
  <r>
    <s v="TXN02696"/>
    <x v="10"/>
    <x v="3"/>
    <x v="21"/>
    <x v="1"/>
    <d v="2024-02-13T00:00:00"/>
    <x v="7"/>
    <n v="2454.84"/>
    <n v="5"/>
    <x v="7"/>
    <n v="613.71"/>
    <x v="2694"/>
    <n v="11660.49"/>
    <x v="2"/>
    <n v="2024"/>
  </r>
  <r>
    <s v="TXN02697"/>
    <x v="0"/>
    <x v="3"/>
    <x v="7"/>
    <x v="5"/>
    <d v="2025-02-14T00:00:00"/>
    <x v="5"/>
    <n v="2027.6"/>
    <n v="20"/>
    <x v="0"/>
    <n v="811.04"/>
    <x v="2695"/>
    <n v="3244.16"/>
    <x v="2"/>
    <n v="2025"/>
  </r>
  <r>
    <s v="TXN02698"/>
    <x v="1"/>
    <x v="4"/>
    <x v="18"/>
    <x v="3"/>
    <d v="2024-05-23T00:00:00"/>
    <x v="2"/>
    <n v="11036.6"/>
    <n v="10"/>
    <x v="2"/>
    <n v="8829.2800000000007"/>
    <x v="2696"/>
    <n v="79463.520000000004"/>
    <x v="9"/>
    <n v="2024"/>
  </r>
  <r>
    <s v="TXN02699"/>
    <x v="1"/>
    <x v="2"/>
    <x v="11"/>
    <x v="6"/>
    <d v="2024-08-02T00:00:00"/>
    <x v="3"/>
    <n v="4802.49"/>
    <n v="20"/>
    <x v="0"/>
    <n v="5762.99"/>
    <x v="2697"/>
    <n v="23051.95"/>
    <x v="0"/>
    <n v="2024"/>
  </r>
  <r>
    <s v="TXN02700"/>
    <x v="8"/>
    <x v="0"/>
    <x v="0"/>
    <x v="0"/>
    <d v="2025-03-16T00:00:00"/>
    <x v="5"/>
    <n v="64459.17"/>
    <n v="10"/>
    <x v="5"/>
    <n v="12891.83"/>
    <x v="2698"/>
    <n v="116026.51"/>
    <x v="6"/>
    <n v="2025"/>
  </r>
  <r>
    <s v="TXN02701"/>
    <x v="6"/>
    <x v="4"/>
    <x v="18"/>
    <x v="2"/>
    <d v="2025-01-30T00:00:00"/>
    <x v="4"/>
    <n v="11518.23"/>
    <n v="15"/>
    <x v="5"/>
    <n v="12094.14"/>
    <x v="2699"/>
    <n v="68533.47"/>
    <x v="10"/>
    <n v="2025"/>
  </r>
  <r>
    <s v="TXN02702"/>
    <x v="3"/>
    <x v="2"/>
    <x v="5"/>
    <x v="0"/>
    <d v="2024-04-13T00:00:00"/>
    <x v="4"/>
    <n v="1167.05"/>
    <n v="15"/>
    <x v="7"/>
    <n v="1225.4000000000001"/>
    <x v="2700"/>
    <n v="6943.95"/>
    <x v="1"/>
    <n v="2024"/>
  </r>
  <r>
    <s v="TXN02703"/>
    <x v="8"/>
    <x v="2"/>
    <x v="10"/>
    <x v="4"/>
    <d v="2025-04-27T00:00:00"/>
    <x v="2"/>
    <n v="2363.5700000000002"/>
    <n v="0"/>
    <x v="0"/>
    <n v="0"/>
    <x v="2701"/>
    <n v="18908.560000000001"/>
    <x v="1"/>
    <n v="2025"/>
  </r>
  <r>
    <s v="TXN02704"/>
    <x v="12"/>
    <x v="1"/>
    <x v="8"/>
    <x v="5"/>
    <d v="2025-02-23T00:00:00"/>
    <x v="8"/>
    <n v="39431.15"/>
    <n v="5"/>
    <x v="2"/>
    <n v="1971.56"/>
    <x v="2702"/>
    <n v="37459.589999999997"/>
    <x v="2"/>
    <n v="2025"/>
  </r>
  <r>
    <s v="TXN02705"/>
    <x v="9"/>
    <x v="3"/>
    <x v="7"/>
    <x v="1"/>
    <d v="2024-09-18T00:00:00"/>
    <x v="7"/>
    <n v="1650.91"/>
    <n v="15"/>
    <x v="2"/>
    <n v="1238.18"/>
    <x v="2703"/>
    <n v="7016.37"/>
    <x v="7"/>
    <n v="2024"/>
  </r>
  <r>
    <s v="TXN02706"/>
    <x v="14"/>
    <x v="0"/>
    <x v="0"/>
    <x v="1"/>
    <d v="2024-11-27T00:00:00"/>
    <x v="1"/>
    <n v="70333.87"/>
    <n v="10"/>
    <x v="6"/>
    <n v="28133.55"/>
    <x v="2704"/>
    <n v="253201.93"/>
    <x v="8"/>
    <n v="2024"/>
  </r>
  <r>
    <s v="TXN02707"/>
    <x v="13"/>
    <x v="4"/>
    <x v="19"/>
    <x v="0"/>
    <d v="2024-02-08T00:00:00"/>
    <x v="1"/>
    <n v="8538.56"/>
    <n v="20"/>
    <x v="7"/>
    <n v="6830.85"/>
    <x v="2705"/>
    <n v="27323.39"/>
    <x v="2"/>
    <n v="2024"/>
  </r>
  <r>
    <s v="TXN02708"/>
    <x v="11"/>
    <x v="0"/>
    <x v="6"/>
    <x v="4"/>
    <d v="2024-09-27T00:00:00"/>
    <x v="0"/>
    <n v="25541.29"/>
    <n v="5"/>
    <x v="1"/>
    <n v="3831.19"/>
    <x v="2706"/>
    <n v="72792.679999999993"/>
    <x v="7"/>
    <n v="2024"/>
  </r>
  <r>
    <s v="TXN02709"/>
    <x v="14"/>
    <x v="4"/>
    <x v="18"/>
    <x v="3"/>
    <d v="2024-09-26T00:00:00"/>
    <x v="7"/>
    <n v="12829.3"/>
    <n v="15"/>
    <x v="7"/>
    <n v="9621.98"/>
    <x v="2707"/>
    <n v="54524.52"/>
    <x v="7"/>
    <n v="2024"/>
  </r>
  <r>
    <s v="TXN02710"/>
    <x v="10"/>
    <x v="0"/>
    <x v="1"/>
    <x v="6"/>
    <d v="2025-08-29T00:00:00"/>
    <x v="3"/>
    <n v="3295.69"/>
    <n v="0"/>
    <x v="0"/>
    <n v="0"/>
    <x v="2708"/>
    <n v="19774.14"/>
    <x v="0"/>
    <n v="2025"/>
  </r>
  <r>
    <s v="TXN02711"/>
    <x v="12"/>
    <x v="2"/>
    <x v="9"/>
    <x v="3"/>
    <d v="2025-03-04T00:00:00"/>
    <x v="2"/>
    <n v="4502.3999999999996"/>
    <n v="20"/>
    <x v="1"/>
    <n v="7203.84"/>
    <x v="2709"/>
    <n v="28815.360000000001"/>
    <x v="6"/>
    <n v="2025"/>
  </r>
  <r>
    <s v="TXN02712"/>
    <x v="7"/>
    <x v="0"/>
    <x v="1"/>
    <x v="4"/>
    <d v="2025-09-20T00:00:00"/>
    <x v="6"/>
    <n v="3040.76"/>
    <n v="10"/>
    <x v="4"/>
    <n v="2736.68"/>
    <x v="2710"/>
    <n v="24630.16"/>
    <x v="7"/>
    <n v="2025"/>
  </r>
  <r>
    <s v="TXN02713"/>
    <x v="6"/>
    <x v="3"/>
    <x v="20"/>
    <x v="3"/>
    <d v="2024-12-02T00:00:00"/>
    <x v="6"/>
    <n v="4185.54"/>
    <n v="15"/>
    <x v="0"/>
    <n v="5650.48"/>
    <x v="2711"/>
    <n v="32019.38"/>
    <x v="3"/>
    <n v="2024"/>
  </r>
  <r>
    <s v="TXN02714"/>
    <x v="6"/>
    <x v="1"/>
    <x v="2"/>
    <x v="5"/>
    <d v="2024-07-20T00:00:00"/>
    <x v="8"/>
    <n v="26511.27"/>
    <n v="15"/>
    <x v="4"/>
    <n v="3976.69"/>
    <x v="2712"/>
    <n v="22534.58"/>
    <x v="11"/>
    <n v="2024"/>
  </r>
  <r>
    <s v="TXN02715"/>
    <x v="6"/>
    <x v="2"/>
    <x v="11"/>
    <x v="3"/>
    <d v="2025-01-27T00:00:00"/>
    <x v="7"/>
    <n v="5469.57"/>
    <n v="0"/>
    <x v="7"/>
    <n v="0"/>
    <x v="2713"/>
    <n v="27347.85"/>
    <x v="10"/>
    <n v="2025"/>
  </r>
  <r>
    <s v="TXN02716"/>
    <x v="2"/>
    <x v="1"/>
    <x v="4"/>
    <x v="6"/>
    <d v="2025-06-03T00:00:00"/>
    <x v="2"/>
    <n v="7611.09"/>
    <n v="15"/>
    <x v="7"/>
    <n v="9133.31"/>
    <x v="2714"/>
    <n v="51755.41"/>
    <x v="5"/>
    <n v="2025"/>
  </r>
  <r>
    <s v="TXN02717"/>
    <x v="9"/>
    <x v="4"/>
    <x v="19"/>
    <x v="4"/>
    <d v="2024-08-07T00:00:00"/>
    <x v="4"/>
    <n v="7767.93"/>
    <n v="15"/>
    <x v="0"/>
    <n v="8156.33"/>
    <x v="2715"/>
    <n v="46219.18"/>
    <x v="0"/>
    <n v="2024"/>
  </r>
  <r>
    <s v="TXN02718"/>
    <x v="4"/>
    <x v="4"/>
    <x v="17"/>
    <x v="0"/>
    <d v="2024-08-26T00:00:00"/>
    <x v="8"/>
    <n v="3679.41"/>
    <n v="20"/>
    <x v="7"/>
    <n v="735.88"/>
    <x v="2716"/>
    <n v="2943.53"/>
    <x v="0"/>
    <n v="2024"/>
  </r>
  <r>
    <s v="TXN02719"/>
    <x v="2"/>
    <x v="0"/>
    <x v="3"/>
    <x v="6"/>
    <d v="2024-01-24T00:00:00"/>
    <x v="0"/>
    <n v="18652.28"/>
    <n v="15"/>
    <x v="2"/>
    <n v="8393.5300000000007"/>
    <x v="2717"/>
    <n v="47563.31"/>
    <x v="10"/>
    <n v="2024"/>
  </r>
  <r>
    <s v="TXN02720"/>
    <x v="5"/>
    <x v="1"/>
    <x v="4"/>
    <x v="3"/>
    <d v="2024-02-10T00:00:00"/>
    <x v="7"/>
    <n v="7335.64"/>
    <n v="5"/>
    <x v="3"/>
    <n v="1833.91"/>
    <x v="2718"/>
    <n v="34844.29"/>
    <x v="2"/>
    <n v="2024"/>
  </r>
  <r>
    <s v="TXN02721"/>
    <x v="12"/>
    <x v="1"/>
    <x v="12"/>
    <x v="1"/>
    <d v="2025-04-06T00:00:00"/>
    <x v="2"/>
    <n v="5600.93"/>
    <n v="10"/>
    <x v="5"/>
    <n v="4480.74"/>
    <x v="2719"/>
    <n v="40326.699999999997"/>
    <x v="1"/>
    <n v="2025"/>
  </r>
  <r>
    <s v="TXN02722"/>
    <x v="13"/>
    <x v="3"/>
    <x v="15"/>
    <x v="1"/>
    <d v="2025-12-07T00:00:00"/>
    <x v="9"/>
    <n v="976.55"/>
    <n v="10"/>
    <x v="6"/>
    <n v="976.55"/>
    <x v="2720"/>
    <n v="8788.9500000000007"/>
    <x v="3"/>
    <n v="2025"/>
  </r>
  <r>
    <s v="TXN02723"/>
    <x v="2"/>
    <x v="0"/>
    <x v="1"/>
    <x v="4"/>
    <d v="2025-01-15T00:00:00"/>
    <x v="1"/>
    <n v="3330.14"/>
    <n v="0"/>
    <x v="4"/>
    <n v="0"/>
    <x v="2721"/>
    <n v="13320.56"/>
    <x v="10"/>
    <n v="2025"/>
  </r>
  <r>
    <s v="TXN02724"/>
    <x v="11"/>
    <x v="0"/>
    <x v="1"/>
    <x v="2"/>
    <d v="2024-04-11T00:00:00"/>
    <x v="0"/>
    <n v="2808.15"/>
    <n v="10"/>
    <x v="4"/>
    <n v="842.45"/>
    <x v="2722"/>
    <n v="7582"/>
    <x v="1"/>
    <n v="2024"/>
  </r>
  <r>
    <s v="TXN02725"/>
    <x v="13"/>
    <x v="2"/>
    <x v="9"/>
    <x v="6"/>
    <d v="2024-06-03T00:00:00"/>
    <x v="4"/>
    <n v="5155.83"/>
    <n v="20"/>
    <x v="6"/>
    <n v="7218.16"/>
    <x v="2723"/>
    <n v="28872.65"/>
    <x v="5"/>
    <n v="2024"/>
  </r>
  <r>
    <s v="TXN02726"/>
    <x v="7"/>
    <x v="4"/>
    <x v="18"/>
    <x v="4"/>
    <d v="2024-03-21T00:00:00"/>
    <x v="2"/>
    <n v="13325.95"/>
    <n v="5"/>
    <x v="5"/>
    <n v="5330.38"/>
    <x v="2724"/>
    <n v="101277.22"/>
    <x v="6"/>
    <n v="2024"/>
  </r>
  <r>
    <s v="TXN02727"/>
    <x v="13"/>
    <x v="1"/>
    <x v="4"/>
    <x v="0"/>
    <d v="2024-06-25T00:00:00"/>
    <x v="4"/>
    <n v="7399.36"/>
    <n v="20"/>
    <x v="0"/>
    <n v="10359.1"/>
    <x v="2725"/>
    <n v="41436.42"/>
    <x v="5"/>
    <n v="2024"/>
  </r>
  <r>
    <s v="TXN02728"/>
    <x v="13"/>
    <x v="2"/>
    <x v="10"/>
    <x v="4"/>
    <d v="2025-01-26T00:00:00"/>
    <x v="6"/>
    <n v="2519.7600000000002"/>
    <n v="15"/>
    <x v="4"/>
    <n v="3401.68"/>
    <x v="2726"/>
    <n v="19276.16"/>
    <x v="10"/>
    <n v="2025"/>
  </r>
  <r>
    <s v="TXN02729"/>
    <x v="11"/>
    <x v="1"/>
    <x v="12"/>
    <x v="1"/>
    <d v="2025-07-13T00:00:00"/>
    <x v="4"/>
    <n v="6072.98"/>
    <n v="5"/>
    <x v="3"/>
    <n v="2125.54"/>
    <x v="2727"/>
    <n v="40385.32"/>
    <x v="11"/>
    <n v="2025"/>
  </r>
  <r>
    <s v="TXN02730"/>
    <x v="10"/>
    <x v="0"/>
    <x v="6"/>
    <x v="1"/>
    <d v="2025-08-31T00:00:00"/>
    <x v="3"/>
    <n v="27371.45"/>
    <n v="5"/>
    <x v="1"/>
    <n v="8211.44"/>
    <x v="2728"/>
    <n v="156017.26"/>
    <x v="0"/>
    <n v="2025"/>
  </r>
  <r>
    <s v="TXN02731"/>
    <x v="0"/>
    <x v="4"/>
    <x v="23"/>
    <x v="4"/>
    <d v="2025-08-07T00:00:00"/>
    <x v="3"/>
    <n v="9491.48"/>
    <n v="20"/>
    <x v="7"/>
    <n v="11389.78"/>
    <x v="2729"/>
    <n v="45559.1"/>
    <x v="0"/>
    <n v="2025"/>
  </r>
  <r>
    <s v="TXN02732"/>
    <x v="13"/>
    <x v="2"/>
    <x v="10"/>
    <x v="0"/>
    <d v="2025-05-02T00:00:00"/>
    <x v="9"/>
    <n v="2445.62"/>
    <n v="0"/>
    <x v="6"/>
    <n v="0"/>
    <x v="2730"/>
    <n v="24456.2"/>
    <x v="9"/>
    <n v="2025"/>
  </r>
  <r>
    <s v="TXN02733"/>
    <x v="2"/>
    <x v="0"/>
    <x v="24"/>
    <x v="4"/>
    <d v="2025-07-30T00:00:00"/>
    <x v="8"/>
    <n v="6345.49"/>
    <n v="15"/>
    <x v="5"/>
    <n v="951.82"/>
    <x v="2731"/>
    <n v="5393.67"/>
    <x v="11"/>
    <n v="2025"/>
  </r>
  <r>
    <s v="TXN02734"/>
    <x v="11"/>
    <x v="1"/>
    <x v="8"/>
    <x v="1"/>
    <d v="2024-02-05T00:00:00"/>
    <x v="2"/>
    <n v="37716.65"/>
    <n v="0"/>
    <x v="0"/>
    <n v="0"/>
    <x v="2732"/>
    <n v="301733.2"/>
    <x v="2"/>
    <n v="2024"/>
  </r>
  <r>
    <s v="TXN02735"/>
    <x v="9"/>
    <x v="0"/>
    <x v="6"/>
    <x v="3"/>
    <d v="2025-08-02T00:00:00"/>
    <x v="8"/>
    <n v="27145.279999999999"/>
    <n v="15"/>
    <x v="2"/>
    <n v="4071.79"/>
    <x v="2733"/>
    <n v="23073.49"/>
    <x v="0"/>
    <n v="2025"/>
  </r>
  <r>
    <s v="TXN02736"/>
    <x v="11"/>
    <x v="0"/>
    <x v="24"/>
    <x v="4"/>
    <d v="2024-05-02T00:00:00"/>
    <x v="8"/>
    <n v="7707.46"/>
    <n v="10"/>
    <x v="3"/>
    <n v="770.75"/>
    <x v="2734"/>
    <n v="6936.71"/>
    <x v="9"/>
    <n v="2024"/>
  </r>
  <r>
    <s v="TXN02737"/>
    <x v="0"/>
    <x v="3"/>
    <x v="20"/>
    <x v="5"/>
    <d v="2025-05-22T00:00:00"/>
    <x v="5"/>
    <n v="3648.29"/>
    <n v="20"/>
    <x v="7"/>
    <n v="1459.32"/>
    <x v="2735"/>
    <n v="5837.26"/>
    <x v="9"/>
    <n v="2025"/>
  </r>
  <r>
    <s v="TXN02738"/>
    <x v="4"/>
    <x v="0"/>
    <x v="24"/>
    <x v="1"/>
    <d v="2024-09-19T00:00:00"/>
    <x v="7"/>
    <n v="6728.54"/>
    <n v="0"/>
    <x v="6"/>
    <n v="0"/>
    <x v="2736"/>
    <n v="33642.699999999997"/>
    <x v="7"/>
    <n v="2024"/>
  </r>
  <r>
    <s v="TXN02739"/>
    <x v="10"/>
    <x v="1"/>
    <x v="13"/>
    <x v="0"/>
    <d v="2024-05-14T00:00:00"/>
    <x v="0"/>
    <n v="11881.64"/>
    <n v="0"/>
    <x v="4"/>
    <n v="0"/>
    <x v="2737"/>
    <n v="35644.92"/>
    <x v="9"/>
    <n v="2024"/>
  </r>
  <r>
    <s v="TXN02740"/>
    <x v="7"/>
    <x v="4"/>
    <x v="17"/>
    <x v="0"/>
    <d v="2024-08-07T00:00:00"/>
    <x v="9"/>
    <n v="3386.14"/>
    <n v="0"/>
    <x v="3"/>
    <n v="0"/>
    <x v="2738"/>
    <n v="33861.4"/>
    <x v="0"/>
    <n v="2024"/>
  </r>
  <r>
    <s v="TXN02741"/>
    <x v="12"/>
    <x v="1"/>
    <x v="12"/>
    <x v="0"/>
    <d v="2025-04-01T00:00:00"/>
    <x v="2"/>
    <n v="6724.95"/>
    <n v="15"/>
    <x v="4"/>
    <n v="8069.94"/>
    <x v="2739"/>
    <n v="45729.66"/>
    <x v="1"/>
    <n v="2025"/>
  </r>
  <r>
    <s v="TXN02742"/>
    <x v="2"/>
    <x v="2"/>
    <x v="10"/>
    <x v="2"/>
    <d v="2025-03-06T00:00:00"/>
    <x v="3"/>
    <n v="2447.38"/>
    <n v="5"/>
    <x v="3"/>
    <n v="734.21"/>
    <x v="2740"/>
    <n v="13950.07"/>
    <x v="6"/>
    <n v="2025"/>
  </r>
  <r>
    <s v="TXN02743"/>
    <x v="1"/>
    <x v="1"/>
    <x v="2"/>
    <x v="1"/>
    <d v="2025-09-09T00:00:00"/>
    <x v="7"/>
    <n v="27001.25"/>
    <n v="0"/>
    <x v="6"/>
    <n v="0"/>
    <x v="2741"/>
    <n v="135006.25"/>
    <x v="7"/>
    <n v="2025"/>
  </r>
  <r>
    <s v="TXN02744"/>
    <x v="3"/>
    <x v="1"/>
    <x v="4"/>
    <x v="3"/>
    <d v="2025-08-21T00:00:00"/>
    <x v="6"/>
    <n v="7901.51"/>
    <n v="15"/>
    <x v="5"/>
    <n v="10667.04"/>
    <x v="2742"/>
    <n v="60446.55"/>
    <x v="0"/>
    <n v="2025"/>
  </r>
  <r>
    <s v="TXN02745"/>
    <x v="6"/>
    <x v="0"/>
    <x v="6"/>
    <x v="1"/>
    <d v="2024-11-23T00:00:00"/>
    <x v="6"/>
    <n v="28747.42"/>
    <n v="0"/>
    <x v="7"/>
    <n v="0"/>
    <x v="2743"/>
    <n v="258726.78"/>
    <x v="8"/>
    <n v="2024"/>
  </r>
  <r>
    <s v="TXN02746"/>
    <x v="9"/>
    <x v="1"/>
    <x v="2"/>
    <x v="5"/>
    <d v="2025-09-13T00:00:00"/>
    <x v="6"/>
    <n v="28030.6"/>
    <n v="10"/>
    <x v="4"/>
    <n v="25227.54"/>
    <x v="2744"/>
    <n v="227047.86"/>
    <x v="7"/>
    <n v="2025"/>
  </r>
  <r>
    <s v="TXN02747"/>
    <x v="1"/>
    <x v="4"/>
    <x v="14"/>
    <x v="3"/>
    <d v="2024-05-09T00:00:00"/>
    <x v="1"/>
    <n v="1523.85"/>
    <n v="0"/>
    <x v="2"/>
    <n v="0"/>
    <x v="2745"/>
    <n v="6095.4"/>
    <x v="9"/>
    <n v="2024"/>
  </r>
  <r>
    <s v="TXN02748"/>
    <x v="9"/>
    <x v="0"/>
    <x v="1"/>
    <x v="0"/>
    <d v="2025-04-12T00:00:00"/>
    <x v="7"/>
    <n v="2717.73"/>
    <n v="5"/>
    <x v="4"/>
    <n v="679.43"/>
    <x v="2746"/>
    <n v="12909.22"/>
    <x v="1"/>
    <n v="2025"/>
  </r>
  <r>
    <s v="TXN02749"/>
    <x v="6"/>
    <x v="4"/>
    <x v="14"/>
    <x v="6"/>
    <d v="2025-08-08T00:00:00"/>
    <x v="8"/>
    <n v="1534.01"/>
    <n v="20"/>
    <x v="7"/>
    <n v="306.8"/>
    <x v="2747"/>
    <n v="1227.21"/>
    <x v="0"/>
    <n v="2025"/>
  </r>
  <r>
    <s v="TXN02750"/>
    <x v="6"/>
    <x v="2"/>
    <x v="5"/>
    <x v="5"/>
    <d v="2024-02-14T00:00:00"/>
    <x v="8"/>
    <n v="1201.0999999999999"/>
    <n v="20"/>
    <x v="4"/>
    <n v="240.22"/>
    <x v="2748"/>
    <n v="960.88"/>
    <x v="2"/>
    <n v="2024"/>
  </r>
  <r>
    <s v="TXN02751"/>
    <x v="12"/>
    <x v="1"/>
    <x v="2"/>
    <x v="2"/>
    <d v="2024-07-21T00:00:00"/>
    <x v="3"/>
    <n v="28622.799999999999"/>
    <n v="10"/>
    <x v="3"/>
    <n v="17173.68"/>
    <x v="2749"/>
    <n v="154563.12"/>
    <x v="11"/>
    <n v="2024"/>
  </r>
  <r>
    <s v="TXN02752"/>
    <x v="9"/>
    <x v="2"/>
    <x v="22"/>
    <x v="5"/>
    <d v="2025-04-04T00:00:00"/>
    <x v="8"/>
    <n v="923.44"/>
    <n v="0"/>
    <x v="4"/>
    <n v="0"/>
    <x v="2750"/>
    <n v="923.44"/>
    <x v="1"/>
    <n v="2025"/>
  </r>
  <r>
    <s v="TXN02753"/>
    <x v="9"/>
    <x v="1"/>
    <x v="8"/>
    <x v="5"/>
    <d v="2024-10-07T00:00:00"/>
    <x v="4"/>
    <n v="41662.410000000003"/>
    <n v="0"/>
    <x v="5"/>
    <n v="0"/>
    <x v="2751"/>
    <n v="291636.87"/>
    <x v="4"/>
    <n v="2024"/>
  </r>
  <r>
    <s v="TXN02754"/>
    <x v="7"/>
    <x v="1"/>
    <x v="12"/>
    <x v="4"/>
    <d v="2025-12-03T00:00:00"/>
    <x v="0"/>
    <n v="7369.26"/>
    <n v="10"/>
    <x v="6"/>
    <n v="2210.7800000000002"/>
    <x v="2752"/>
    <n v="19897"/>
    <x v="3"/>
    <n v="2025"/>
  </r>
  <r>
    <s v="TXN02755"/>
    <x v="14"/>
    <x v="3"/>
    <x v="15"/>
    <x v="4"/>
    <d v="2024-01-03T00:00:00"/>
    <x v="8"/>
    <n v="724.12"/>
    <n v="20"/>
    <x v="0"/>
    <n v="144.82"/>
    <x v="2753"/>
    <n v="579.29999999999995"/>
    <x v="10"/>
    <n v="2024"/>
  </r>
  <r>
    <s v="TXN02756"/>
    <x v="2"/>
    <x v="2"/>
    <x v="9"/>
    <x v="3"/>
    <d v="2025-02-16T00:00:00"/>
    <x v="2"/>
    <n v="4319.18"/>
    <n v="0"/>
    <x v="4"/>
    <n v="0"/>
    <x v="2754"/>
    <n v="34553.440000000002"/>
    <x v="2"/>
    <n v="2025"/>
  </r>
  <r>
    <s v="TXN02757"/>
    <x v="13"/>
    <x v="2"/>
    <x v="10"/>
    <x v="6"/>
    <d v="2024-05-04T00:00:00"/>
    <x v="7"/>
    <n v="2324.44"/>
    <n v="0"/>
    <x v="7"/>
    <n v="0"/>
    <x v="2755"/>
    <n v="11622.2"/>
    <x v="9"/>
    <n v="2024"/>
  </r>
  <r>
    <s v="TXN02758"/>
    <x v="4"/>
    <x v="0"/>
    <x v="1"/>
    <x v="3"/>
    <d v="2025-01-28T00:00:00"/>
    <x v="9"/>
    <n v="3264.73"/>
    <n v="5"/>
    <x v="7"/>
    <n v="1632.37"/>
    <x v="2756"/>
    <n v="31014.93"/>
    <x v="10"/>
    <n v="2025"/>
  </r>
  <r>
    <s v="TXN02759"/>
    <x v="8"/>
    <x v="1"/>
    <x v="13"/>
    <x v="5"/>
    <d v="2025-04-12T00:00:00"/>
    <x v="9"/>
    <n v="12819.76"/>
    <n v="20"/>
    <x v="0"/>
    <n v="25639.52"/>
    <x v="2757"/>
    <n v="102558.08"/>
    <x v="1"/>
    <n v="2025"/>
  </r>
  <r>
    <s v="TXN02760"/>
    <x v="13"/>
    <x v="4"/>
    <x v="14"/>
    <x v="5"/>
    <d v="2025-07-08T00:00:00"/>
    <x v="3"/>
    <n v="1462.58"/>
    <n v="0"/>
    <x v="1"/>
    <n v="0"/>
    <x v="2758"/>
    <n v="8775.48"/>
    <x v="11"/>
    <n v="2025"/>
  </r>
  <r>
    <s v="TXN02761"/>
    <x v="11"/>
    <x v="2"/>
    <x v="9"/>
    <x v="0"/>
    <d v="2024-09-07T00:00:00"/>
    <x v="8"/>
    <n v="4106.99"/>
    <n v="20"/>
    <x v="2"/>
    <n v="821.4"/>
    <x v="2759"/>
    <n v="3285.59"/>
    <x v="7"/>
    <n v="2024"/>
  </r>
  <r>
    <s v="TXN02762"/>
    <x v="5"/>
    <x v="2"/>
    <x v="11"/>
    <x v="2"/>
    <d v="2024-09-12T00:00:00"/>
    <x v="4"/>
    <n v="4648.43"/>
    <n v="0"/>
    <x v="0"/>
    <n v="0"/>
    <x v="2760"/>
    <n v="32539.01"/>
    <x v="7"/>
    <n v="2024"/>
  </r>
  <r>
    <s v="TXN02763"/>
    <x v="6"/>
    <x v="1"/>
    <x v="2"/>
    <x v="1"/>
    <d v="2024-11-21T00:00:00"/>
    <x v="5"/>
    <n v="29302.3"/>
    <n v="20"/>
    <x v="7"/>
    <n v="11720.92"/>
    <x v="2761"/>
    <n v="46883.68"/>
    <x v="8"/>
    <n v="2024"/>
  </r>
  <r>
    <s v="TXN02764"/>
    <x v="3"/>
    <x v="3"/>
    <x v="20"/>
    <x v="6"/>
    <d v="2025-08-10T00:00:00"/>
    <x v="7"/>
    <n v="3281.32"/>
    <n v="0"/>
    <x v="3"/>
    <n v="0"/>
    <x v="2762"/>
    <n v="16406.599999999999"/>
    <x v="0"/>
    <n v="2025"/>
  </r>
  <r>
    <s v="TXN02765"/>
    <x v="10"/>
    <x v="1"/>
    <x v="4"/>
    <x v="3"/>
    <d v="2024-03-11T00:00:00"/>
    <x v="3"/>
    <n v="7606.91"/>
    <n v="5"/>
    <x v="1"/>
    <n v="2282.0700000000002"/>
    <x v="2763"/>
    <n v="43359.39"/>
    <x v="6"/>
    <n v="2024"/>
  </r>
  <r>
    <s v="TXN02766"/>
    <x v="1"/>
    <x v="3"/>
    <x v="16"/>
    <x v="1"/>
    <d v="2024-11-25T00:00:00"/>
    <x v="4"/>
    <n v="1874.17"/>
    <n v="20"/>
    <x v="6"/>
    <n v="2623.84"/>
    <x v="2764"/>
    <n v="10495.35"/>
    <x v="8"/>
    <n v="2024"/>
  </r>
  <r>
    <s v="TXN02767"/>
    <x v="5"/>
    <x v="2"/>
    <x v="22"/>
    <x v="6"/>
    <d v="2025-02-18T00:00:00"/>
    <x v="4"/>
    <n v="909.36"/>
    <n v="0"/>
    <x v="4"/>
    <n v="0"/>
    <x v="2765"/>
    <n v="6365.52"/>
    <x v="2"/>
    <n v="2025"/>
  </r>
  <r>
    <s v="TXN02768"/>
    <x v="9"/>
    <x v="0"/>
    <x v="0"/>
    <x v="4"/>
    <d v="2025-10-21T00:00:00"/>
    <x v="8"/>
    <n v="78830.78"/>
    <n v="20"/>
    <x v="4"/>
    <n v="15766.16"/>
    <x v="2766"/>
    <n v="63064.62"/>
    <x v="4"/>
    <n v="2025"/>
  </r>
  <r>
    <s v="TXN02769"/>
    <x v="7"/>
    <x v="0"/>
    <x v="1"/>
    <x v="4"/>
    <d v="2025-06-09T00:00:00"/>
    <x v="2"/>
    <n v="3147.35"/>
    <n v="10"/>
    <x v="0"/>
    <n v="2517.88"/>
    <x v="2767"/>
    <n v="22660.92"/>
    <x v="5"/>
    <n v="2025"/>
  </r>
  <r>
    <s v="TXN02770"/>
    <x v="14"/>
    <x v="0"/>
    <x v="6"/>
    <x v="5"/>
    <d v="2024-02-04T00:00:00"/>
    <x v="6"/>
    <n v="24666.57"/>
    <n v="0"/>
    <x v="3"/>
    <n v="0"/>
    <x v="2768"/>
    <n v="221999.13"/>
    <x v="2"/>
    <n v="2024"/>
  </r>
  <r>
    <s v="TXN02771"/>
    <x v="0"/>
    <x v="4"/>
    <x v="19"/>
    <x v="0"/>
    <d v="2025-04-23T00:00:00"/>
    <x v="1"/>
    <n v="8779.34"/>
    <n v="10"/>
    <x v="3"/>
    <n v="3511.74"/>
    <x v="2769"/>
    <n v="31605.62"/>
    <x v="1"/>
    <n v="2025"/>
  </r>
  <r>
    <s v="TXN02772"/>
    <x v="5"/>
    <x v="1"/>
    <x v="2"/>
    <x v="4"/>
    <d v="2024-12-18T00:00:00"/>
    <x v="2"/>
    <n v="24869.599999999999"/>
    <n v="10"/>
    <x v="0"/>
    <n v="19895.68"/>
    <x v="2770"/>
    <n v="179061.12"/>
    <x v="3"/>
    <n v="2024"/>
  </r>
  <r>
    <s v="TXN02773"/>
    <x v="12"/>
    <x v="0"/>
    <x v="6"/>
    <x v="1"/>
    <d v="2025-07-18T00:00:00"/>
    <x v="3"/>
    <n v="23169.89"/>
    <n v="0"/>
    <x v="3"/>
    <n v="0"/>
    <x v="2771"/>
    <n v="139019.34"/>
    <x v="11"/>
    <n v="2025"/>
  </r>
  <r>
    <s v="TXN02774"/>
    <x v="8"/>
    <x v="4"/>
    <x v="17"/>
    <x v="4"/>
    <d v="2024-12-20T00:00:00"/>
    <x v="9"/>
    <n v="3482.23"/>
    <n v="15"/>
    <x v="5"/>
    <n v="5223.3500000000004"/>
    <x v="2772"/>
    <n v="29598.95"/>
    <x v="3"/>
    <n v="2024"/>
  </r>
  <r>
    <s v="TXN02775"/>
    <x v="13"/>
    <x v="0"/>
    <x v="0"/>
    <x v="5"/>
    <d v="2024-08-12T00:00:00"/>
    <x v="8"/>
    <n v="62798.16"/>
    <n v="15"/>
    <x v="3"/>
    <n v="9419.7199999999993"/>
    <x v="2773"/>
    <n v="53378.44"/>
    <x v="0"/>
    <n v="2024"/>
  </r>
  <r>
    <s v="TXN02776"/>
    <x v="6"/>
    <x v="0"/>
    <x v="0"/>
    <x v="4"/>
    <d v="2025-06-18T00:00:00"/>
    <x v="0"/>
    <n v="65947.070000000007"/>
    <n v="0"/>
    <x v="0"/>
    <n v="0"/>
    <x v="2774"/>
    <n v="197841.21"/>
    <x v="5"/>
    <n v="2025"/>
  </r>
  <r>
    <s v="TXN02777"/>
    <x v="2"/>
    <x v="0"/>
    <x v="6"/>
    <x v="4"/>
    <d v="2024-03-11T00:00:00"/>
    <x v="3"/>
    <n v="23059.82"/>
    <n v="0"/>
    <x v="2"/>
    <n v="0"/>
    <x v="2775"/>
    <n v="138358.92000000001"/>
    <x v="6"/>
    <n v="2024"/>
  </r>
  <r>
    <s v="TXN02778"/>
    <x v="0"/>
    <x v="3"/>
    <x v="21"/>
    <x v="0"/>
    <d v="2025-05-24T00:00:00"/>
    <x v="4"/>
    <n v="2522.02"/>
    <n v="10"/>
    <x v="1"/>
    <n v="1765.41"/>
    <x v="2776"/>
    <n v="15888.73"/>
    <x v="9"/>
    <n v="2025"/>
  </r>
  <r>
    <s v="TXN02779"/>
    <x v="5"/>
    <x v="1"/>
    <x v="4"/>
    <x v="5"/>
    <d v="2024-11-08T00:00:00"/>
    <x v="0"/>
    <n v="9886.43"/>
    <n v="15"/>
    <x v="1"/>
    <n v="4448.8900000000003"/>
    <x v="2777"/>
    <n v="25210.400000000001"/>
    <x v="8"/>
    <n v="2024"/>
  </r>
  <r>
    <s v="TXN02780"/>
    <x v="4"/>
    <x v="4"/>
    <x v="18"/>
    <x v="2"/>
    <d v="2025-01-27T00:00:00"/>
    <x v="8"/>
    <n v="11121.21"/>
    <n v="0"/>
    <x v="4"/>
    <n v="0"/>
    <x v="2778"/>
    <n v="11121.21"/>
    <x v="10"/>
    <n v="2025"/>
  </r>
  <r>
    <s v="TXN02781"/>
    <x v="13"/>
    <x v="3"/>
    <x v="7"/>
    <x v="0"/>
    <d v="2025-10-02T00:00:00"/>
    <x v="1"/>
    <n v="2259.1999999999998"/>
    <n v="10"/>
    <x v="6"/>
    <n v="903.68"/>
    <x v="2779"/>
    <n v="8133.12"/>
    <x v="4"/>
    <n v="2025"/>
  </r>
  <r>
    <s v="TXN02782"/>
    <x v="5"/>
    <x v="4"/>
    <x v="18"/>
    <x v="4"/>
    <d v="2025-07-25T00:00:00"/>
    <x v="4"/>
    <n v="11049.22"/>
    <n v="15"/>
    <x v="5"/>
    <n v="11601.68"/>
    <x v="2780"/>
    <n v="65742.86"/>
    <x v="11"/>
    <n v="2025"/>
  </r>
  <r>
    <s v="TXN02783"/>
    <x v="7"/>
    <x v="2"/>
    <x v="5"/>
    <x v="0"/>
    <d v="2025-11-26T00:00:00"/>
    <x v="0"/>
    <n v="1460.6"/>
    <n v="5"/>
    <x v="7"/>
    <n v="219.09"/>
    <x v="2781"/>
    <n v="4162.71"/>
    <x v="8"/>
    <n v="2025"/>
  </r>
  <r>
    <s v="TXN02784"/>
    <x v="13"/>
    <x v="4"/>
    <x v="23"/>
    <x v="6"/>
    <d v="2025-03-04T00:00:00"/>
    <x v="4"/>
    <n v="11337.37"/>
    <n v="15"/>
    <x v="2"/>
    <n v="11904.24"/>
    <x v="2782"/>
    <n v="67457.350000000006"/>
    <x v="6"/>
    <n v="2025"/>
  </r>
  <r>
    <s v="TXN02785"/>
    <x v="5"/>
    <x v="1"/>
    <x v="13"/>
    <x v="1"/>
    <d v="2025-02-22T00:00:00"/>
    <x v="6"/>
    <n v="12125.99"/>
    <n v="10"/>
    <x v="6"/>
    <n v="10913.39"/>
    <x v="2783"/>
    <n v="98220.52"/>
    <x v="2"/>
    <n v="2025"/>
  </r>
  <r>
    <s v="TXN02786"/>
    <x v="11"/>
    <x v="2"/>
    <x v="22"/>
    <x v="5"/>
    <d v="2025-11-09T00:00:00"/>
    <x v="0"/>
    <n v="1034.0999999999999"/>
    <n v="5"/>
    <x v="7"/>
    <n v="155.12"/>
    <x v="2784"/>
    <n v="2947.18"/>
    <x v="8"/>
    <n v="2025"/>
  </r>
  <r>
    <s v="TXN02787"/>
    <x v="13"/>
    <x v="3"/>
    <x v="15"/>
    <x v="5"/>
    <d v="2025-06-06T00:00:00"/>
    <x v="7"/>
    <n v="820.12"/>
    <n v="15"/>
    <x v="7"/>
    <n v="615.09"/>
    <x v="2785"/>
    <n v="3485.51"/>
    <x v="5"/>
    <n v="2025"/>
  </r>
  <r>
    <s v="TXN02788"/>
    <x v="7"/>
    <x v="3"/>
    <x v="7"/>
    <x v="4"/>
    <d v="2024-10-05T00:00:00"/>
    <x v="1"/>
    <n v="1934.26"/>
    <n v="10"/>
    <x v="5"/>
    <n v="773.7"/>
    <x v="2786"/>
    <n v="6963.34"/>
    <x v="4"/>
    <n v="2024"/>
  </r>
  <r>
    <s v="TXN02789"/>
    <x v="9"/>
    <x v="4"/>
    <x v="23"/>
    <x v="4"/>
    <d v="2024-06-03T00:00:00"/>
    <x v="5"/>
    <n v="9840.7000000000007"/>
    <n v="15"/>
    <x v="7"/>
    <n v="2952.21"/>
    <x v="2787"/>
    <n v="16729.189999999999"/>
    <x v="5"/>
    <n v="2024"/>
  </r>
  <r>
    <s v="TXN02790"/>
    <x v="0"/>
    <x v="3"/>
    <x v="21"/>
    <x v="3"/>
    <d v="2024-06-16T00:00:00"/>
    <x v="3"/>
    <n v="2410.4899999999998"/>
    <n v="5"/>
    <x v="5"/>
    <n v="723.15"/>
    <x v="2788"/>
    <n v="13739.79"/>
    <x v="5"/>
    <n v="2024"/>
  </r>
  <r>
    <s v="TXN02791"/>
    <x v="8"/>
    <x v="0"/>
    <x v="24"/>
    <x v="2"/>
    <d v="2024-10-16T00:00:00"/>
    <x v="5"/>
    <n v="8405.35"/>
    <n v="0"/>
    <x v="4"/>
    <n v="0"/>
    <x v="2789"/>
    <n v="16810.7"/>
    <x v="4"/>
    <n v="2024"/>
  </r>
  <r>
    <s v="TXN02792"/>
    <x v="10"/>
    <x v="2"/>
    <x v="9"/>
    <x v="4"/>
    <d v="2025-06-27T00:00:00"/>
    <x v="0"/>
    <n v="4571.55"/>
    <n v="0"/>
    <x v="7"/>
    <n v="0"/>
    <x v="2790"/>
    <n v="13714.65"/>
    <x v="5"/>
    <n v="2025"/>
  </r>
  <r>
    <s v="TXN02793"/>
    <x v="5"/>
    <x v="4"/>
    <x v="18"/>
    <x v="4"/>
    <d v="2025-11-24T00:00:00"/>
    <x v="9"/>
    <n v="14483.55"/>
    <n v="20"/>
    <x v="5"/>
    <n v="28967.1"/>
    <x v="2791"/>
    <n v="115868.4"/>
    <x v="8"/>
    <n v="2025"/>
  </r>
  <r>
    <s v="TXN02794"/>
    <x v="0"/>
    <x v="2"/>
    <x v="5"/>
    <x v="1"/>
    <d v="2025-08-23T00:00:00"/>
    <x v="4"/>
    <n v="1241.05"/>
    <n v="15"/>
    <x v="4"/>
    <n v="1303.0999999999999"/>
    <x v="2792"/>
    <n v="7384.25"/>
    <x v="0"/>
    <n v="2025"/>
  </r>
  <r>
    <s v="TXN02795"/>
    <x v="4"/>
    <x v="4"/>
    <x v="19"/>
    <x v="3"/>
    <d v="2024-12-21T00:00:00"/>
    <x v="5"/>
    <n v="9716.43"/>
    <n v="0"/>
    <x v="1"/>
    <n v="0"/>
    <x v="2793"/>
    <n v="19432.86"/>
    <x v="3"/>
    <n v="2024"/>
  </r>
  <r>
    <s v="TXN02796"/>
    <x v="7"/>
    <x v="1"/>
    <x v="12"/>
    <x v="3"/>
    <d v="2024-11-14T00:00:00"/>
    <x v="1"/>
    <n v="7023.24"/>
    <n v="10"/>
    <x v="5"/>
    <n v="2809.3"/>
    <x v="2794"/>
    <n v="25283.66"/>
    <x v="8"/>
    <n v="2024"/>
  </r>
  <r>
    <s v="TXN02797"/>
    <x v="2"/>
    <x v="0"/>
    <x v="6"/>
    <x v="3"/>
    <d v="2024-05-01T00:00:00"/>
    <x v="4"/>
    <n v="22818.49"/>
    <n v="20"/>
    <x v="1"/>
    <n v="31945.89"/>
    <x v="2795"/>
    <n v="127783.54"/>
    <x v="9"/>
    <n v="2024"/>
  </r>
  <r>
    <s v="TXN02798"/>
    <x v="13"/>
    <x v="2"/>
    <x v="9"/>
    <x v="3"/>
    <d v="2025-05-23T00:00:00"/>
    <x v="0"/>
    <n v="4163.04"/>
    <n v="20"/>
    <x v="0"/>
    <n v="2497.8200000000002"/>
    <x v="2796"/>
    <n v="9991.2999999999993"/>
    <x v="9"/>
    <n v="2025"/>
  </r>
  <r>
    <s v="TXN02799"/>
    <x v="13"/>
    <x v="4"/>
    <x v="17"/>
    <x v="4"/>
    <d v="2024-03-04T00:00:00"/>
    <x v="1"/>
    <n v="3241.91"/>
    <n v="15"/>
    <x v="3"/>
    <n v="1945.15"/>
    <x v="2797"/>
    <n v="11022.49"/>
    <x v="6"/>
    <n v="2024"/>
  </r>
  <r>
    <s v="TXN02800"/>
    <x v="12"/>
    <x v="2"/>
    <x v="11"/>
    <x v="6"/>
    <d v="2024-03-23T00:00:00"/>
    <x v="5"/>
    <n v="5509.48"/>
    <n v="0"/>
    <x v="1"/>
    <n v="0"/>
    <x v="2798"/>
    <n v="11018.96"/>
    <x v="6"/>
    <n v="2024"/>
  </r>
  <r>
    <s v="TXN02801"/>
    <x v="5"/>
    <x v="0"/>
    <x v="6"/>
    <x v="5"/>
    <d v="2024-09-03T00:00:00"/>
    <x v="5"/>
    <n v="27188.83"/>
    <n v="15"/>
    <x v="7"/>
    <n v="8156.65"/>
    <x v="2799"/>
    <n v="46221.01"/>
    <x v="7"/>
    <n v="2024"/>
  </r>
  <r>
    <s v="TXN02802"/>
    <x v="4"/>
    <x v="0"/>
    <x v="1"/>
    <x v="5"/>
    <d v="2024-02-16T00:00:00"/>
    <x v="5"/>
    <n v="3363.47"/>
    <n v="15"/>
    <x v="2"/>
    <n v="1009.04"/>
    <x v="2800"/>
    <n v="5717.9"/>
    <x v="2"/>
    <n v="2024"/>
  </r>
  <r>
    <s v="TXN02803"/>
    <x v="8"/>
    <x v="1"/>
    <x v="4"/>
    <x v="2"/>
    <d v="2025-06-03T00:00:00"/>
    <x v="7"/>
    <n v="7397.04"/>
    <n v="10"/>
    <x v="1"/>
    <n v="3698.52"/>
    <x v="2801"/>
    <n v="33286.68"/>
    <x v="5"/>
    <n v="2025"/>
  </r>
  <r>
    <s v="TXN02804"/>
    <x v="3"/>
    <x v="4"/>
    <x v="14"/>
    <x v="3"/>
    <d v="2024-01-10T00:00:00"/>
    <x v="5"/>
    <n v="1378.89"/>
    <n v="15"/>
    <x v="5"/>
    <n v="413.67"/>
    <x v="2802"/>
    <n v="2344.11"/>
    <x v="10"/>
    <n v="2024"/>
  </r>
  <r>
    <s v="TXN02805"/>
    <x v="3"/>
    <x v="3"/>
    <x v="7"/>
    <x v="6"/>
    <d v="2025-12-24T00:00:00"/>
    <x v="5"/>
    <n v="1793.2"/>
    <n v="5"/>
    <x v="3"/>
    <n v="179.32"/>
    <x v="2803"/>
    <n v="3407.08"/>
    <x v="3"/>
    <n v="2025"/>
  </r>
  <r>
    <s v="TXN02806"/>
    <x v="8"/>
    <x v="2"/>
    <x v="11"/>
    <x v="3"/>
    <d v="2025-06-19T00:00:00"/>
    <x v="8"/>
    <n v="5089.59"/>
    <n v="15"/>
    <x v="6"/>
    <n v="763.44"/>
    <x v="2804"/>
    <n v="4326.1499999999996"/>
    <x v="5"/>
    <n v="2025"/>
  </r>
  <r>
    <s v="TXN02807"/>
    <x v="0"/>
    <x v="2"/>
    <x v="10"/>
    <x v="4"/>
    <d v="2024-04-24T00:00:00"/>
    <x v="4"/>
    <n v="2316.11"/>
    <n v="0"/>
    <x v="6"/>
    <n v="0"/>
    <x v="2805"/>
    <n v="16212.77"/>
    <x v="1"/>
    <n v="2024"/>
  </r>
  <r>
    <s v="TXN02808"/>
    <x v="6"/>
    <x v="2"/>
    <x v="11"/>
    <x v="3"/>
    <d v="2024-06-07T00:00:00"/>
    <x v="0"/>
    <n v="5617.2"/>
    <n v="20"/>
    <x v="6"/>
    <n v="3370.32"/>
    <x v="2806"/>
    <n v="13481.28"/>
    <x v="5"/>
    <n v="2024"/>
  </r>
  <r>
    <s v="TXN02809"/>
    <x v="5"/>
    <x v="2"/>
    <x v="9"/>
    <x v="5"/>
    <d v="2024-05-03T00:00:00"/>
    <x v="6"/>
    <n v="4272.71"/>
    <n v="10"/>
    <x v="6"/>
    <n v="3845.44"/>
    <x v="2807"/>
    <n v="34608.949999999997"/>
    <x v="9"/>
    <n v="2024"/>
  </r>
  <r>
    <s v="TXN02810"/>
    <x v="11"/>
    <x v="1"/>
    <x v="12"/>
    <x v="5"/>
    <d v="2024-01-08T00:00:00"/>
    <x v="0"/>
    <n v="6597.4"/>
    <n v="20"/>
    <x v="7"/>
    <n v="3958.44"/>
    <x v="2808"/>
    <n v="15833.76"/>
    <x v="10"/>
    <n v="2024"/>
  </r>
  <r>
    <s v="TXN02811"/>
    <x v="3"/>
    <x v="0"/>
    <x v="1"/>
    <x v="3"/>
    <d v="2025-04-21T00:00:00"/>
    <x v="6"/>
    <n v="2723.61"/>
    <n v="5"/>
    <x v="5"/>
    <n v="1225.6199999999999"/>
    <x v="2809"/>
    <n v="23286.87"/>
    <x v="1"/>
    <n v="2025"/>
  </r>
  <r>
    <s v="TXN02812"/>
    <x v="2"/>
    <x v="3"/>
    <x v="20"/>
    <x v="3"/>
    <d v="2024-08-06T00:00:00"/>
    <x v="4"/>
    <n v="3993.51"/>
    <n v="5"/>
    <x v="3"/>
    <n v="1397.73"/>
    <x v="2810"/>
    <n v="26556.84"/>
    <x v="0"/>
    <n v="2024"/>
  </r>
  <r>
    <s v="TXN02813"/>
    <x v="12"/>
    <x v="0"/>
    <x v="24"/>
    <x v="1"/>
    <d v="2025-09-08T00:00:00"/>
    <x v="4"/>
    <n v="7265.1"/>
    <n v="15"/>
    <x v="2"/>
    <n v="7628.35"/>
    <x v="2811"/>
    <n v="43227.35"/>
    <x v="7"/>
    <n v="2025"/>
  </r>
  <r>
    <s v="TXN02814"/>
    <x v="8"/>
    <x v="3"/>
    <x v="16"/>
    <x v="5"/>
    <d v="2025-02-02T00:00:00"/>
    <x v="2"/>
    <n v="1605.84"/>
    <n v="10"/>
    <x v="1"/>
    <n v="1284.67"/>
    <x v="2812"/>
    <n v="11562.05"/>
    <x v="2"/>
    <n v="2025"/>
  </r>
  <r>
    <s v="TXN02815"/>
    <x v="12"/>
    <x v="0"/>
    <x v="24"/>
    <x v="2"/>
    <d v="2024-09-08T00:00:00"/>
    <x v="9"/>
    <n v="7786.98"/>
    <n v="10"/>
    <x v="7"/>
    <n v="7786.98"/>
    <x v="2813"/>
    <n v="70082.820000000007"/>
    <x v="7"/>
    <n v="2024"/>
  </r>
  <r>
    <s v="TXN02816"/>
    <x v="3"/>
    <x v="1"/>
    <x v="12"/>
    <x v="1"/>
    <d v="2025-02-20T00:00:00"/>
    <x v="7"/>
    <n v="6635.18"/>
    <n v="15"/>
    <x v="7"/>
    <n v="4976.3900000000003"/>
    <x v="2814"/>
    <n v="28199.51"/>
    <x v="2"/>
    <n v="2025"/>
  </r>
  <r>
    <s v="TXN02817"/>
    <x v="11"/>
    <x v="0"/>
    <x v="0"/>
    <x v="1"/>
    <d v="2024-07-21T00:00:00"/>
    <x v="3"/>
    <n v="59254.34"/>
    <n v="20"/>
    <x v="0"/>
    <n v="71105.210000000006"/>
    <x v="2815"/>
    <n v="284420.83"/>
    <x v="11"/>
    <n v="2024"/>
  </r>
  <r>
    <s v="TXN02818"/>
    <x v="5"/>
    <x v="3"/>
    <x v="7"/>
    <x v="3"/>
    <d v="2025-12-20T00:00:00"/>
    <x v="5"/>
    <n v="2088.9"/>
    <n v="5"/>
    <x v="0"/>
    <n v="208.89"/>
    <x v="2816"/>
    <n v="3968.91"/>
    <x v="3"/>
    <n v="2025"/>
  </r>
  <r>
    <s v="TXN02819"/>
    <x v="5"/>
    <x v="2"/>
    <x v="5"/>
    <x v="6"/>
    <d v="2025-05-30T00:00:00"/>
    <x v="5"/>
    <n v="1146.1199999999999"/>
    <n v="0"/>
    <x v="4"/>
    <n v="0"/>
    <x v="2817"/>
    <n v="2292.2399999999998"/>
    <x v="9"/>
    <n v="2025"/>
  </r>
  <r>
    <s v="TXN02820"/>
    <x v="0"/>
    <x v="3"/>
    <x v="15"/>
    <x v="5"/>
    <d v="2024-01-16T00:00:00"/>
    <x v="3"/>
    <n v="891.63"/>
    <n v="0"/>
    <x v="7"/>
    <n v="0"/>
    <x v="2818"/>
    <n v="5349.78"/>
    <x v="10"/>
    <n v="2024"/>
  </r>
  <r>
    <s v="TXN02821"/>
    <x v="3"/>
    <x v="1"/>
    <x v="12"/>
    <x v="1"/>
    <d v="2025-05-02T00:00:00"/>
    <x v="3"/>
    <n v="6545.48"/>
    <n v="20"/>
    <x v="2"/>
    <n v="7854.58"/>
    <x v="2819"/>
    <n v="31418.3"/>
    <x v="9"/>
    <n v="2025"/>
  </r>
  <r>
    <s v="TXN02822"/>
    <x v="1"/>
    <x v="4"/>
    <x v="19"/>
    <x v="2"/>
    <d v="2024-08-24T00:00:00"/>
    <x v="9"/>
    <n v="8925"/>
    <n v="5"/>
    <x v="0"/>
    <n v="4462.5"/>
    <x v="2820"/>
    <n v="84787.5"/>
    <x v="0"/>
    <n v="2024"/>
  </r>
  <r>
    <s v="TXN02823"/>
    <x v="6"/>
    <x v="3"/>
    <x v="21"/>
    <x v="1"/>
    <d v="2024-11-29T00:00:00"/>
    <x v="8"/>
    <n v="3038.88"/>
    <n v="10"/>
    <x v="1"/>
    <n v="303.89"/>
    <x v="2821"/>
    <n v="2734.99"/>
    <x v="8"/>
    <n v="2024"/>
  </r>
  <r>
    <s v="TXN02824"/>
    <x v="5"/>
    <x v="4"/>
    <x v="23"/>
    <x v="3"/>
    <d v="2025-05-17T00:00:00"/>
    <x v="6"/>
    <n v="11050.66"/>
    <n v="20"/>
    <x v="3"/>
    <n v="19891.189999999999"/>
    <x v="2822"/>
    <n v="79564.75"/>
    <x v="9"/>
    <n v="2025"/>
  </r>
  <r>
    <s v="TXN02825"/>
    <x v="3"/>
    <x v="4"/>
    <x v="17"/>
    <x v="5"/>
    <d v="2025-07-19T00:00:00"/>
    <x v="3"/>
    <n v="3430.83"/>
    <n v="0"/>
    <x v="0"/>
    <n v="0"/>
    <x v="2823"/>
    <n v="20584.98"/>
    <x v="11"/>
    <n v="2025"/>
  </r>
  <r>
    <s v="TXN02826"/>
    <x v="10"/>
    <x v="1"/>
    <x v="8"/>
    <x v="1"/>
    <d v="2025-05-19T00:00:00"/>
    <x v="3"/>
    <n v="44071.8"/>
    <n v="5"/>
    <x v="6"/>
    <n v="13221.54"/>
    <x v="2824"/>
    <n v="251209.26"/>
    <x v="9"/>
    <n v="2025"/>
  </r>
  <r>
    <s v="TXN02827"/>
    <x v="3"/>
    <x v="1"/>
    <x v="8"/>
    <x v="3"/>
    <d v="2025-06-02T00:00:00"/>
    <x v="5"/>
    <n v="39413.660000000003"/>
    <n v="10"/>
    <x v="6"/>
    <n v="7882.73"/>
    <x v="2825"/>
    <n v="70944.59"/>
    <x v="5"/>
    <n v="2025"/>
  </r>
  <r>
    <s v="TXN02828"/>
    <x v="4"/>
    <x v="1"/>
    <x v="2"/>
    <x v="2"/>
    <d v="2025-11-18T00:00:00"/>
    <x v="9"/>
    <n v="27925.29"/>
    <n v="5"/>
    <x v="1"/>
    <n v="13962.65"/>
    <x v="2826"/>
    <n v="265290.25"/>
    <x v="8"/>
    <n v="2025"/>
  </r>
  <r>
    <s v="TXN02829"/>
    <x v="7"/>
    <x v="4"/>
    <x v="17"/>
    <x v="0"/>
    <d v="2025-03-21T00:00:00"/>
    <x v="3"/>
    <n v="3825.24"/>
    <n v="15"/>
    <x v="4"/>
    <n v="3442.72"/>
    <x v="2827"/>
    <n v="19508.72"/>
    <x v="6"/>
    <n v="2025"/>
  </r>
  <r>
    <s v="TXN02830"/>
    <x v="7"/>
    <x v="4"/>
    <x v="23"/>
    <x v="1"/>
    <d v="2024-03-07T00:00:00"/>
    <x v="2"/>
    <n v="9254.36"/>
    <n v="15"/>
    <x v="5"/>
    <n v="11105.23"/>
    <x v="2828"/>
    <n v="62929.65"/>
    <x v="6"/>
    <n v="2024"/>
  </r>
  <r>
    <s v="TXN02831"/>
    <x v="4"/>
    <x v="1"/>
    <x v="12"/>
    <x v="6"/>
    <d v="2024-05-05T00:00:00"/>
    <x v="3"/>
    <n v="5976.41"/>
    <n v="10"/>
    <x v="6"/>
    <n v="3585.85"/>
    <x v="2829"/>
    <n v="32272.61"/>
    <x v="9"/>
    <n v="2024"/>
  </r>
  <r>
    <s v="TXN02832"/>
    <x v="8"/>
    <x v="4"/>
    <x v="14"/>
    <x v="3"/>
    <d v="2025-05-07T00:00:00"/>
    <x v="8"/>
    <n v="1431.19"/>
    <n v="15"/>
    <x v="0"/>
    <n v="214.68"/>
    <x v="2830"/>
    <n v="1216.51"/>
    <x v="9"/>
    <n v="2025"/>
  </r>
  <r>
    <s v="TXN02833"/>
    <x v="2"/>
    <x v="3"/>
    <x v="20"/>
    <x v="6"/>
    <d v="2024-07-09T00:00:00"/>
    <x v="2"/>
    <n v="3409.44"/>
    <n v="0"/>
    <x v="1"/>
    <n v="0"/>
    <x v="2831"/>
    <n v="27275.52"/>
    <x v="11"/>
    <n v="2024"/>
  </r>
  <r>
    <s v="TXN02834"/>
    <x v="4"/>
    <x v="3"/>
    <x v="21"/>
    <x v="0"/>
    <d v="2025-11-18T00:00:00"/>
    <x v="0"/>
    <n v="2738.53"/>
    <n v="5"/>
    <x v="6"/>
    <n v="410.78"/>
    <x v="2832"/>
    <n v="7804.81"/>
    <x v="8"/>
    <n v="2025"/>
  </r>
  <r>
    <s v="TXN02835"/>
    <x v="3"/>
    <x v="2"/>
    <x v="5"/>
    <x v="0"/>
    <d v="2025-12-02T00:00:00"/>
    <x v="6"/>
    <n v="1320.93"/>
    <n v="5"/>
    <x v="2"/>
    <n v="594.41999999999996"/>
    <x v="2833"/>
    <n v="11293.95"/>
    <x v="3"/>
    <n v="2025"/>
  </r>
  <r>
    <s v="TXN02836"/>
    <x v="9"/>
    <x v="4"/>
    <x v="18"/>
    <x v="6"/>
    <d v="2024-02-16T00:00:00"/>
    <x v="2"/>
    <n v="12049.86"/>
    <n v="10"/>
    <x v="4"/>
    <n v="9639.89"/>
    <x v="2834"/>
    <n v="86758.99"/>
    <x v="2"/>
    <n v="2024"/>
  </r>
  <r>
    <s v="TXN02837"/>
    <x v="11"/>
    <x v="1"/>
    <x v="12"/>
    <x v="2"/>
    <d v="2025-11-30T00:00:00"/>
    <x v="1"/>
    <n v="6177.3"/>
    <n v="0"/>
    <x v="2"/>
    <n v="0"/>
    <x v="2835"/>
    <n v="24709.200000000001"/>
    <x v="8"/>
    <n v="2025"/>
  </r>
  <r>
    <s v="TXN02838"/>
    <x v="2"/>
    <x v="1"/>
    <x v="4"/>
    <x v="2"/>
    <d v="2025-05-02T00:00:00"/>
    <x v="4"/>
    <n v="8583.26"/>
    <n v="10"/>
    <x v="2"/>
    <n v="6008.28"/>
    <x v="2836"/>
    <n v="54074.54"/>
    <x v="9"/>
    <n v="2025"/>
  </r>
  <r>
    <s v="TXN02839"/>
    <x v="2"/>
    <x v="2"/>
    <x v="5"/>
    <x v="6"/>
    <d v="2025-05-31T00:00:00"/>
    <x v="2"/>
    <n v="1262.21"/>
    <n v="15"/>
    <x v="2"/>
    <n v="1514.65"/>
    <x v="2837"/>
    <n v="8583.0300000000007"/>
    <x v="9"/>
    <n v="2025"/>
  </r>
  <r>
    <s v="TXN02840"/>
    <x v="9"/>
    <x v="0"/>
    <x v="3"/>
    <x v="6"/>
    <d v="2025-08-28T00:00:00"/>
    <x v="1"/>
    <n v="16993.64"/>
    <n v="10"/>
    <x v="2"/>
    <n v="6797.46"/>
    <x v="2838"/>
    <n v="61177.1"/>
    <x v="0"/>
    <n v="2025"/>
  </r>
  <r>
    <s v="TXN02841"/>
    <x v="5"/>
    <x v="3"/>
    <x v="7"/>
    <x v="1"/>
    <d v="2024-01-27T00:00:00"/>
    <x v="6"/>
    <n v="2044.62"/>
    <n v="20"/>
    <x v="5"/>
    <n v="3680.32"/>
    <x v="2839"/>
    <n v="14721.26"/>
    <x v="10"/>
    <n v="2024"/>
  </r>
  <r>
    <s v="TXN02842"/>
    <x v="2"/>
    <x v="1"/>
    <x v="2"/>
    <x v="6"/>
    <d v="2024-03-26T00:00:00"/>
    <x v="3"/>
    <n v="26226.13"/>
    <n v="15"/>
    <x v="2"/>
    <n v="23603.52"/>
    <x v="2840"/>
    <n v="133753.26"/>
    <x v="6"/>
    <n v="2024"/>
  </r>
  <r>
    <s v="TXN02843"/>
    <x v="10"/>
    <x v="4"/>
    <x v="19"/>
    <x v="1"/>
    <d v="2024-07-15T00:00:00"/>
    <x v="3"/>
    <n v="8022.99"/>
    <n v="0"/>
    <x v="5"/>
    <n v="0"/>
    <x v="2841"/>
    <n v="48137.94"/>
    <x v="11"/>
    <n v="2024"/>
  </r>
  <r>
    <s v="TXN02844"/>
    <x v="12"/>
    <x v="4"/>
    <x v="14"/>
    <x v="5"/>
    <d v="2025-12-28T00:00:00"/>
    <x v="3"/>
    <n v="1627.01"/>
    <n v="5"/>
    <x v="6"/>
    <n v="488.1"/>
    <x v="2842"/>
    <n v="9273.9599999999991"/>
    <x v="3"/>
    <n v="2025"/>
  </r>
  <r>
    <s v="TXN02845"/>
    <x v="12"/>
    <x v="4"/>
    <x v="17"/>
    <x v="2"/>
    <d v="2024-09-04T00:00:00"/>
    <x v="6"/>
    <n v="3377.21"/>
    <n v="5"/>
    <x v="1"/>
    <n v="1519.74"/>
    <x v="2843"/>
    <n v="28875.15"/>
    <x v="7"/>
    <n v="2024"/>
  </r>
  <r>
    <s v="TXN02846"/>
    <x v="4"/>
    <x v="4"/>
    <x v="18"/>
    <x v="5"/>
    <d v="2025-04-11T00:00:00"/>
    <x v="1"/>
    <n v="11340.79"/>
    <n v="5"/>
    <x v="3"/>
    <n v="2268.16"/>
    <x v="2844"/>
    <n v="43095"/>
    <x v="1"/>
    <n v="2025"/>
  </r>
  <r>
    <s v="TXN02847"/>
    <x v="11"/>
    <x v="1"/>
    <x v="13"/>
    <x v="1"/>
    <d v="2024-03-17T00:00:00"/>
    <x v="2"/>
    <n v="13290.4"/>
    <n v="15"/>
    <x v="7"/>
    <n v="15948.48"/>
    <x v="2845"/>
    <n v="90374.720000000001"/>
    <x v="6"/>
    <n v="2024"/>
  </r>
  <r>
    <s v="TXN02848"/>
    <x v="6"/>
    <x v="4"/>
    <x v="14"/>
    <x v="5"/>
    <d v="2025-03-09T00:00:00"/>
    <x v="0"/>
    <n v="1371.45"/>
    <n v="10"/>
    <x v="7"/>
    <n v="411.44"/>
    <x v="2846"/>
    <n v="3702.91"/>
    <x v="6"/>
    <n v="2025"/>
  </r>
  <r>
    <s v="TXN02849"/>
    <x v="14"/>
    <x v="1"/>
    <x v="8"/>
    <x v="6"/>
    <d v="2024-04-26T00:00:00"/>
    <x v="7"/>
    <n v="38682.050000000003"/>
    <n v="20"/>
    <x v="5"/>
    <n v="38682.050000000003"/>
    <x v="2847"/>
    <n v="154728.20000000001"/>
    <x v="1"/>
    <n v="2024"/>
  </r>
  <r>
    <s v="TXN02850"/>
    <x v="9"/>
    <x v="4"/>
    <x v="14"/>
    <x v="4"/>
    <d v="2025-01-18T00:00:00"/>
    <x v="0"/>
    <n v="1702.5"/>
    <n v="15"/>
    <x v="1"/>
    <n v="766.12"/>
    <x v="2848"/>
    <n v="4341.38"/>
    <x v="10"/>
    <n v="2025"/>
  </r>
  <r>
    <s v="TXN02851"/>
    <x v="2"/>
    <x v="2"/>
    <x v="10"/>
    <x v="6"/>
    <d v="2024-07-10T00:00:00"/>
    <x v="8"/>
    <n v="2811.56"/>
    <n v="15"/>
    <x v="3"/>
    <n v="421.73"/>
    <x v="2849"/>
    <n v="2389.83"/>
    <x v="11"/>
    <n v="2024"/>
  </r>
  <r>
    <s v="TXN02852"/>
    <x v="13"/>
    <x v="2"/>
    <x v="11"/>
    <x v="1"/>
    <d v="2024-07-07T00:00:00"/>
    <x v="4"/>
    <n v="4835.8"/>
    <n v="0"/>
    <x v="4"/>
    <n v="0"/>
    <x v="2850"/>
    <n v="33850.6"/>
    <x v="11"/>
    <n v="2024"/>
  </r>
  <r>
    <s v="TXN02853"/>
    <x v="9"/>
    <x v="0"/>
    <x v="24"/>
    <x v="1"/>
    <d v="2025-04-06T00:00:00"/>
    <x v="2"/>
    <n v="7846.19"/>
    <n v="0"/>
    <x v="7"/>
    <n v="0"/>
    <x v="2851"/>
    <n v="62769.52"/>
    <x v="1"/>
    <n v="2025"/>
  </r>
  <r>
    <s v="TXN02854"/>
    <x v="1"/>
    <x v="1"/>
    <x v="12"/>
    <x v="4"/>
    <d v="2024-02-10T00:00:00"/>
    <x v="3"/>
    <n v="6427.88"/>
    <n v="0"/>
    <x v="6"/>
    <n v="0"/>
    <x v="2852"/>
    <n v="38567.279999999999"/>
    <x v="2"/>
    <n v="2024"/>
  </r>
  <r>
    <s v="TXN02855"/>
    <x v="2"/>
    <x v="3"/>
    <x v="21"/>
    <x v="4"/>
    <d v="2025-02-27T00:00:00"/>
    <x v="2"/>
    <n v="2364.71"/>
    <n v="10"/>
    <x v="3"/>
    <n v="1891.77"/>
    <x v="2853"/>
    <n v="17025.91"/>
    <x v="2"/>
    <n v="2025"/>
  </r>
  <r>
    <s v="TXN02856"/>
    <x v="2"/>
    <x v="4"/>
    <x v="14"/>
    <x v="3"/>
    <d v="2025-03-27T00:00:00"/>
    <x v="0"/>
    <n v="1561.2"/>
    <n v="15"/>
    <x v="7"/>
    <n v="702.54"/>
    <x v="2854"/>
    <n v="3981.06"/>
    <x v="6"/>
    <n v="2025"/>
  </r>
  <r>
    <s v="TXN02857"/>
    <x v="14"/>
    <x v="4"/>
    <x v="18"/>
    <x v="6"/>
    <d v="2025-07-06T00:00:00"/>
    <x v="1"/>
    <n v="13673.71"/>
    <n v="0"/>
    <x v="1"/>
    <n v="0"/>
    <x v="2855"/>
    <n v="54694.84"/>
    <x v="11"/>
    <n v="2025"/>
  </r>
  <r>
    <s v="TXN02858"/>
    <x v="5"/>
    <x v="4"/>
    <x v="19"/>
    <x v="1"/>
    <d v="2024-12-24T00:00:00"/>
    <x v="9"/>
    <n v="9522.76"/>
    <n v="20"/>
    <x v="3"/>
    <n v="19045.52"/>
    <x v="2856"/>
    <n v="76182.080000000002"/>
    <x v="3"/>
    <n v="2024"/>
  </r>
  <r>
    <s v="TXN02859"/>
    <x v="0"/>
    <x v="3"/>
    <x v="15"/>
    <x v="6"/>
    <d v="2025-09-11T00:00:00"/>
    <x v="1"/>
    <n v="745.44"/>
    <n v="5"/>
    <x v="0"/>
    <n v="149.09"/>
    <x v="2857"/>
    <n v="2832.67"/>
    <x v="7"/>
    <n v="2025"/>
  </r>
  <r>
    <s v="TXN02860"/>
    <x v="9"/>
    <x v="4"/>
    <x v="18"/>
    <x v="3"/>
    <d v="2024-06-12T00:00:00"/>
    <x v="9"/>
    <n v="11153.62"/>
    <n v="15"/>
    <x v="7"/>
    <n v="16730.43"/>
    <x v="2858"/>
    <n v="94805.77"/>
    <x v="5"/>
    <n v="2024"/>
  </r>
  <r>
    <s v="TXN02861"/>
    <x v="8"/>
    <x v="1"/>
    <x v="4"/>
    <x v="1"/>
    <d v="2025-07-30T00:00:00"/>
    <x v="4"/>
    <n v="7319"/>
    <n v="15"/>
    <x v="4"/>
    <n v="7684.95"/>
    <x v="2859"/>
    <n v="43548.05"/>
    <x v="11"/>
    <n v="2025"/>
  </r>
  <r>
    <s v="TXN02862"/>
    <x v="1"/>
    <x v="4"/>
    <x v="23"/>
    <x v="2"/>
    <d v="2024-06-24T00:00:00"/>
    <x v="2"/>
    <n v="11157.53"/>
    <n v="20"/>
    <x v="5"/>
    <n v="17852.05"/>
    <x v="2860"/>
    <n v="71408.19"/>
    <x v="5"/>
    <n v="2024"/>
  </r>
  <r>
    <s v="TXN02863"/>
    <x v="2"/>
    <x v="3"/>
    <x v="20"/>
    <x v="6"/>
    <d v="2024-09-28T00:00:00"/>
    <x v="9"/>
    <n v="3805.3"/>
    <n v="20"/>
    <x v="6"/>
    <n v="7610.6"/>
    <x v="2861"/>
    <n v="30442.400000000001"/>
    <x v="7"/>
    <n v="2024"/>
  </r>
  <r>
    <s v="TXN02864"/>
    <x v="11"/>
    <x v="3"/>
    <x v="15"/>
    <x v="2"/>
    <d v="2025-06-01T00:00:00"/>
    <x v="6"/>
    <n v="806.97"/>
    <n v="0"/>
    <x v="1"/>
    <n v="0"/>
    <x v="2862"/>
    <n v="7262.73"/>
    <x v="5"/>
    <n v="2025"/>
  </r>
  <r>
    <s v="TXN02865"/>
    <x v="3"/>
    <x v="4"/>
    <x v="23"/>
    <x v="3"/>
    <d v="2024-01-23T00:00:00"/>
    <x v="0"/>
    <n v="9111.49"/>
    <n v="0"/>
    <x v="2"/>
    <n v="0"/>
    <x v="2863"/>
    <n v="27334.47"/>
    <x v="10"/>
    <n v="2024"/>
  </r>
  <r>
    <s v="TXN02866"/>
    <x v="4"/>
    <x v="0"/>
    <x v="1"/>
    <x v="3"/>
    <d v="2025-09-01T00:00:00"/>
    <x v="8"/>
    <n v="2824.43"/>
    <n v="0"/>
    <x v="3"/>
    <n v="0"/>
    <x v="2864"/>
    <n v="2824.43"/>
    <x v="7"/>
    <n v="2025"/>
  </r>
  <r>
    <s v="TXN02867"/>
    <x v="14"/>
    <x v="3"/>
    <x v="20"/>
    <x v="3"/>
    <d v="2025-09-26T00:00:00"/>
    <x v="8"/>
    <n v="3394.56"/>
    <n v="20"/>
    <x v="0"/>
    <n v="678.91"/>
    <x v="2865"/>
    <n v="2715.65"/>
    <x v="7"/>
    <n v="2025"/>
  </r>
  <r>
    <s v="TXN02868"/>
    <x v="12"/>
    <x v="2"/>
    <x v="10"/>
    <x v="4"/>
    <d v="2024-06-09T00:00:00"/>
    <x v="3"/>
    <n v="2848.2"/>
    <n v="5"/>
    <x v="3"/>
    <n v="854.46"/>
    <x v="2866"/>
    <n v="16234.74"/>
    <x v="5"/>
    <n v="2024"/>
  </r>
  <r>
    <s v="TXN02869"/>
    <x v="13"/>
    <x v="1"/>
    <x v="13"/>
    <x v="4"/>
    <d v="2025-01-01T00:00:00"/>
    <x v="5"/>
    <n v="10922.21"/>
    <n v="10"/>
    <x v="0"/>
    <n v="2184.44"/>
    <x v="2867"/>
    <n v="19659.98"/>
    <x v="10"/>
    <n v="2025"/>
  </r>
  <r>
    <s v="TXN02870"/>
    <x v="4"/>
    <x v="3"/>
    <x v="20"/>
    <x v="1"/>
    <d v="2025-09-25T00:00:00"/>
    <x v="1"/>
    <n v="4015.65"/>
    <n v="10"/>
    <x v="7"/>
    <n v="1606.26"/>
    <x v="2868"/>
    <n v="14456.34"/>
    <x v="7"/>
    <n v="2025"/>
  </r>
  <r>
    <s v="TXN02871"/>
    <x v="2"/>
    <x v="3"/>
    <x v="15"/>
    <x v="3"/>
    <d v="2025-08-17T00:00:00"/>
    <x v="6"/>
    <n v="882.63"/>
    <n v="20"/>
    <x v="2"/>
    <n v="1588.73"/>
    <x v="2869"/>
    <n v="6354.94"/>
    <x v="0"/>
    <n v="2025"/>
  </r>
  <r>
    <s v="TXN02872"/>
    <x v="12"/>
    <x v="3"/>
    <x v="7"/>
    <x v="4"/>
    <d v="2024-07-16T00:00:00"/>
    <x v="0"/>
    <n v="1752.54"/>
    <n v="5"/>
    <x v="0"/>
    <n v="262.88"/>
    <x v="2870"/>
    <n v="4994.74"/>
    <x v="11"/>
    <n v="2024"/>
  </r>
  <r>
    <s v="TXN02873"/>
    <x v="12"/>
    <x v="4"/>
    <x v="18"/>
    <x v="5"/>
    <d v="2024-01-08T00:00:00"/>
    <x v="6"/>
    <n v="10879.96"/>
    <n v="20"/>
    <x v="3"/>
    <n v="19583.93"/>
    <x v="2871"/>
    <n v="78335.710000000006"/>
    <x v="10"/>
    <n v="2024"/>
  </r>
  <r>
    <s v="TXN02874"/>
    <x v="6"/>
    <x v="2"/>
    <x v="5"/>
    <x v="4"/>
    <d v="2024-10-03T00:00:00"/>
    <x v="5"/>
    <n v="1241.3599999999999"/>
    <n v="20"/>
    <x v="4"/>
    <n v="496.54"/>
    <x v="2872"/>
    <n v="1986.18"/>
    <x v="4"/>
    <n v="2024"/>
  </r>
  <r>
    <s v="TXN02875"/>
    <x v="10"/>
    <x v="0"/>
    <x v="24"/>
    <x v="0"/>
    <d v="2024-11-16T00:00:00"/>
    <x v="9"/>
    <n v="8087.2"/>
    <n v="5"/>
    <x v="2"/>
    <n v="4043.6"/>
    <x v="2873"/>
    <n v="76828.399999999994"/>
    <x v="8"/>
    <n v="2024"/>
  </r>
  <r>
    <s v="TXN02876"/>
    <x v="7"/>
    <x v="0"/>
    <x v="0"/>
    <x v="4"/>
    <d v="2025-02-15T00:00:00"/>
    <x v="1"/>
    <n v="59722.879999999997"/>
    <n v="15"/>
    <x v="6"/>
    <n v="35833.730000000003"/>
    <x v="2874"/>
    <n v="203057.79"/>
    <x v="2"/>
    <n v="2025"/>
  </r>
  <r>
    <s v="TXN02877"/>
    <x v="3"/>
    <x v="3"/>
    <x v="21"/>
    <x v="0"/>
    <d v="2024-03-08T00:00:00"/>
    <x v="8"/>
    <n v="2489.96"/>
    <n v="20"/>
    <x v="3"/>
    <n v="497.99"/>
    <x v="2875"/>
    <n v="1991.97"/>
    <x v="6"/>
    <n v="2024"/>
  </r>
  <r>
    <s v="TXN02878"/>
    <x v="12"/>
    <x v="3"/>
    <x v="15"/>
    <x v="4"/>
    <d v="2024-12-16T00:00:00"/>
    <x v="9"/>
    <n v="1008.92"/>
    <n v="0"/>
    <x v="6"/>
    <n v="0"/>
    <x v="2876"/>
    <n v="10089.200000000001"/>
    <x v="3"/>
    <n v="2024"/>
  </r>
  <r>
    <s v="TXN02879"/>
    <x v="7"/>
    <x v="2"/>
    <x v="5"/>
    <x v="5"/>
    <d v="2024-03-18T00:00:00"/>
    <x v="1"/>
    <n v="1109.96"/>
    <n v="10"/>
    <x v="6"/>
    <n v="443.98"/>
    <x v="2877"/>
    <n v="3995.86"/>
    <x v="6"/>
    <n v="2024"/>
  </r>
  <r>
    <s v="TXN02880"/>
    <x v="7"/>
    <x v="1"/>
    <x v="2"/>
    <x v="5"/>
    <d v="2025-04-29T00:00:00"/>
    <x v="3"/>
    <n v="23444.65"/>
    <n v="20"/>
    <x v="4"/>
    <n v="28133.58"/>
    <x v="2878"/>
    <n v="112534.32"/>
    <x v="1"/>
    <n v="2025"/>
  </r>
  <r>
    <s v="TXN02881"/>
    <x v="1"/>
    <x v="4"/>
    <x v="19"/>
    <x v="1"/>
    <d v="2025-12-19T00:00:00"/>
    <x v="8"/>
    <n v="9878.7800000000007"/>
    <n v="15"/>
    <x v="3"/>
    <n v="1481.82"/>
    <x v="2879"/>
    <n v="8396.9599999999991"/>
    <x v="3"/>
    <n v="2025"/>
  </r>
  <r>
    <s v="TXN02882"/>
    <x v="10"/>
    <x v="0"/>
    <x v="24"/>
    <x v="3"/>
    <d v="2024-01-28T00:00:00"/>
    <x v="8"/>
    <n v="7299.39"/>
    <n v="5"/>
    <x v="0"/>
    <n v="364.97"/>
    <x v="2880"/>
    <n v="6934.42"/>
    <x v="10"/>
    <n v="2024"/>
  </r>
  <r>
    <s v="TXN02883"/>
    <x v="3"/>
    <x v="2"/>
    <x v="22"/>
    <x v="3"/>
    <d v="2024-10-03T00:00:00"/>
    <x v="8"/>
    <n v="938.29"/>
    <n v="0"/>
    <x v="3"/>
    <n v="0"/>
    <x v="2881"/>
    <n v="938.29"/>
    <x v="4"/>
    <n v="2024"/>
  </r>
  <r>
    <s v="TXN02884"/>
    <x v="0"/>
    <x v="0"/>
    <x v="3"/>
    <x v="4"/>
    <d v="2024-12-29T00:00:00"/>
    <x v="8"/>
    <n v="19393.09"/>
    <n v="10"/>
    <x v="5"/>
    <n v="1939.31"/>
    <x v="2882"/>
    <n v="17453.78"/>
    <x v="3"/>
    <n v="2024"/>
  </r>
  <r>
    <s v="TXN02885"/>
    <x v="6"/>
    <x v="1"/>
    <x v="13"/>
    <x v="6"/>
    <d v="2024-11-02T00:00:00"/>
    <x v="1"/>
    <n v="14078.43"/>
    <n v="0"/>
    <x v="7"/>
    <n v="0"/>
    <x v="2883"/>
    <n v="56313.72"/>
    <x v="8"/>
    <n v="2024"/>
  </r>
  <r>
    <s v="TXN02886"/>
    <x v="11"/>
    <x v="2"/>
    <x v="9"/>
    <x v="6"/>
    <d v="2025-10-15T00:00:00"/>
    <x v="0"/>
    <n v="4777.8999999999996"/>
    <n v="20"/>
    <x v="6"/>
    <n v="2866.74"/>
    <x v="2884"/>
    <n v="11466.96"/>
    <x v="4"/>
    <n v="2025"/>
  </r>
  <r>
    <s v="TXN02887"/>
    <x v="0"/>
    <x v="1"/>
    <x v="4"/>
    <x v="2"/>
    <d v="2024-05-14T00:00:00"/>
    <x v="0"/>
    <n v="9141.5"/>
    <n v="20"/>
    <x v="4"/>
    <n v="5484.9"/>
    <x v="2885"/>
    <n v="21939.599999999999"/>
    <x v="9"/>
    <n v="2024"/>
  </r>
  <r>
    <s v="TXN02888"/>
    <x v="0"/>
    <x v="2"/>
    <x v="5"/>
    <x v="3"/>
    <d v="2025-10-05T00:00:00"/>
    <x v="3"/>
    <n v="1419.14"/>
    <n v="20"/>
    <x v="4"/>
    <n v="1702.97"/>
    <x v="2886"/>
    <n v="6811.87"/>
    <x v="4"/>
    <n v="2025"/>
  </r>
  <r>
    <s v="TXN02889"/>
    <x v="7"/>
    <x v="0"/>
    <x v="1"/>
    <x v="2"/>
    <d v="2024-11-05T00:00:00"/>
    <x v="6"/>
    <n v="3368.56"/>
    <n v="0"/>
    <x v="1"/>
    <n v="0"/>
    <x v="2887"/>
    <n v="30317.040000000001"/>
    <x v="8"/>
    <n v="2024"/>
  </r>
  <r>
    <s v="TXN02890"/>
    <x v="8"/>
    <x v="4"/>
    <x v="23"/>
    <x v="5"/>
    <d v="2024-08-01T00:00:00"/>
    <x v="1"/>
    <n v="10893.88"/>
    <n v="20"/>
    <x v="0"/>
    <n v="8715.1"/>
    <x v="2888"/>
    <n v="34860.42"/>
    <x v="0"/>
    <n v="2024"/>
  </r>
  <r>
    <s v="TXN02891"/>
    <x v="1"/>
    <x v="2"/>
    <x v="11"/>
    <x v="0"/>
    <d v="2025-01-01T00:00:00"/>
    <x v="9"/>
    <n v="5678.45"/>
    <n v="5"/>
    <x v="7"/>
    <n v="2839.23"/>
    <x v="2889"/>
    <n v="53945.27"/>
    <x v="10"/>
    <n v="2025"/>
  </r>
  <r>
    <s v="TXN02892"/>
    <x v="0"/>
    <x v="3"/>
    <x v="16"/>
    <x v="6"/>
    <d v="2025-03-19T00:00:00"/>
    <x v="7"/>
    <n v="1371.5"/>
    <n v="20"/>
    <x v="4"/>
    <n v="1371.5"/>
    <x v="2890"/>
    <n v="5486"/>
    <x v="6"/>
    <n v="2025"/>
  </r>
  <r>
    <s v="TXN02893"/>
    <x v="10"/>
    <x v="3"/>
    <x v="21"/>
    <x v="3"/>
    <d v="2025-06-23T00:00:00"/>
    <x v="6"/>
    <n v="2370.0700000000002"/>
    <n v="20"/>
    <x v="5"/>
    <n v="4266.13"/>
    <x v="2891"/>
    <n v="17064.5"/>
    <x v="5"/>
    <n v="2025"/>
  </r>
  <r>
    <s v="TXN02894"/>
    <x v="0"/>
    <x v="1"/>
    <x v="4"/>
    <x v="5"/>
    <d v="2024-05-18T00:00:00"/>
    <x v="4"/>
    <n v="8777.07"/>
    <n v="0"/>
    <x v="6"/>
    <n v="0"/>
    <x v="2892"/>
    <n v="61439.49"/>
    <x v="9"/>
    <n v="2024"/>
  </r>
  <r>
    <s v="TXN02895"/>
    <x v="1"/>
    <x v="2"/>
    <x v="22"/>
    <x v="5"/>
    <d v="2025-11-05T00:00:00"/>
    <x v="9"/>
    <n v="1083.78"/>
    <n v="10"/>
    <x v="3"/>
    <n v="1083.78"/>
    <x v="2893"/>
    <n v="9754.02"/>
    <x v="8"/>
    <n v="2025"/>
  </r>
  <r>
    <s v="TXN02896"/>
    <x v="4"/>
    <x v="3"/>
    <x v="7"/>
    <x v="3"/>
    <d v="2025-01-17T00:00:00"/>
    <x v="5"/>
    <n v="1973.58"/>
    <n v="15"/>
    <x v="5"/>
    <n v="592.07000000000005"/>
    <x v="2894"/>
    <n v="3355.09"/>
    <x v="10"/>
    <n v="2025"/>
  </r>
  <r>
    <s v="TXN02897"/>
    <x v="7"/>
    <x v="1"/>
    <x v="8"/>
    <x v="4"/>
    <d v="2024-12-24T00:00:00"/>
    <x v="8"/>
    <n v="47904.800000000003"/>
    <n v="20"/>
    <x v="3"/>
    <n v="9580.9599999999991"/>
    <x v="2895"/>
    <n v="38323.839999999997"/>
    <x v="3"/>
    <n v="2024"/>
  </r>
  <r>
    <s v="TXN02898"/>
    <x v="0"/>
    <x v="1"/>
    <x v="4"/>
    <x v="3"/>
    <d v="2024-06-21T00:00:00"/>
    <x v="7"/>
    <n v="8094.44"/>
    <n v="20"/>
    <x v="2"/>
    <n v="8094.44"/>
    <x v="2896"/>
    <n v="32377.759999999998"/>
    <x v="5"/>
    <n v="2024"/>
  </r>
  <r>
    <s v="TXN02899"/>
    <x v="12"/>
    <x v="4"/>
    <x v="18"/>
    <x v="3"/>
    <d v="2024-07-03T00:00:00"/>
    <x v="8"/>
    <n v="11071.92"/>
    <n v="5"/>
    <x v="4"/>
    <n v="553.6"/>
    <x v="2897"/>
    <n v="10518.32"/>
    <x v="11"/>
    <n v="2024"/>
  </r>
  <r>
    <s v="TXN02900"/>
    <x v="14"/>
    <x v="1"/>
    <x v="13"/>
    <x v="0"/>
    <d v="2024-10-21T00:00:00"/>
    <x v="9"/>
    <n v="13772.21"/>
    <n v="20"/>
    <x v="7"/>
    <n v="27544.42"/>
    <x v="2898"/>
    <n v="110177.68"/>
    <x v="4"/>
    <n v="2024"/>
  </r>
  <r>
    <s v="TXN02901"/>
    <x v="12"/>
    <x v="0"/>
    <x v="0"/>
    <x v="2"/>
    <d v="2025-02-07T00:00:00"/>
    <x v="0"/>
    <n v="72011.47"/>
    <n v="15"/>
    <x v="2"/>
    <n v="32405.16"/>
    <x v="2899"/>
    <n v="183629.25"/>
    <x v="2"/>
    <n v="2025"/>
  </r>
  <r>
    <s v="TXN02902"/>
    <x v="1"/>
    <x v="0"/>
    <x v="6"/>
    <x v="5"/>
    <d v="2024-09-25T00:00:00"/>
    <x v="3"/>
    <n v="27675.200000000001"/>
    <n v="0"/>
    <x v="1"/>
    <n v="0"/>
    <x v="2900"/>
    <n v="166051.20000000001"/>
    <x v="7"/>
    <n v="2024"/>
  </r>
  <r>
    <s v="TXN02903"/>
    <x v="1"/>
    <x v="2"/>
    <x v="22"/>
    <x v="4"/>
    <d v="2024-03-09T00:00:00"/>
    <x v="2"/>
    <n v="998.09"/>
    <n v="0"/>
    <x v="3"/>
    <n v="0"/>
    <x v="2901"/>
    <n v="7984.72"/>
    <x v="6"/>
    <n v="2024"/>
  </r>
  <r>
    <s v="TXN02904"/>
    <x v="12"/>
    <x v="0"/>
    <x v="6"/>
    <x v="1"/>
    <d v="2024-03-27T00:00:00"/>
    <x v="9"/>
    <n v="23872.54"/>
    <n v="10"/>
    <x v="1"/>
    <n v="23872.54"/>
    <x v="2902"/>
    <n v="214852.86"/>
    <x v="6"/>
    <n v="2024"/>
  </r>
  <r>
    <s v="TXN02905"/>
    <x v="12"/>
    <x v="1"/>
    <x v="8"/>
    <x v="4"/>
    <d v="2024-06-13T00:00:00"/>
    <x v="7"/>
    <n v="44363.54"/>
    <n v="0"/>
    <x v="3"/>
    <n v="0"/>
    <x v="2903"/>
    <n v="221817.7"/>
    <x v="5"/>
    <n v="2024"/>
  </r>
  <r>
    <s v="TXN02906"/>
    <x v="2"/>
    <x v="0"/>
    <x v="1"/>
    <x v="5"/>
    <d v="2025-12-12T00:00:00"/>
    <x v="8"/>
    <n v="3316.39"/>
    <n v="0"/>
    <x v="1"/>
    <n v="0"/>
    <x v="2904"/>
    <n v="3316.39"/>
    <x v="3"/>
    <n v="2025"/>
  </r>
  <r>
    <s v="TXN02907"/>
    <x v="11"/>
    <x v="2"/>
    <x v="5"/>
    <x v="5"/>
    <d v="2024-11-24T00:00:00"/>
    <x v="4"/>
    <n v="1280.73"/>
    <n v="0"/>
    <x v="1"/>
    <n v="0"/>
    <x v="2905"/>
    <n v="8965.11"/>
    <x v="8"/>
    <n v="2024"/>
  </r>
  <r>
    <s v="TXN02908"/>
    <x v="11"/>
    <x v="4"/>
    <x v="17"/>
    <x v="5"/>
    <d v="2025-02-04T00:00:00"/>
    <x v="7"/>
    <n v="3341.09"/>
    <n v="20"/>
    <x v="3"/>
    <n v="3341.09"/>
    <x v="2906"/>
    <n v="13364.36"/>
    <x v="2"/>
    <n v="2025"/>
  </r>
  <r>
    <s v="TXN02909"/>
    <x v="13"/>
    <x v="3"/>
    <x v="15"/>
    <x v="6"/>
    <d v="2024-08-21T00:00:00"/>
    <x v="2"/>
    <n v="754.69"/>
    <n v="10"/>
    <x v="5"/>
    <n v="603.75"/>
    <x v="2907"/>
    <n v="5433.77"/>
    <x v="0"/>
    <n v="2024"/>
  </r>
  <r>
    <s v="TXN02910"/>
    <x v="11"/>
    <x v="4"/>
    <x v="17"/>
    <x v="3"/>
    <d v="2025-11-05T00:00:00"/>
    <x v="0"/>
    <n v="4290.24"/>
    <n v="0"/>
    <x v="2"/>
    <n v="0"/>
    <x v="2908"/>
    <n v="12870.72"/>
    <x v="8"/>
    <n v="2025"/>
  </r>
  <r>
    <s v="TXN02911"/>
    <x v="10"/>
    <x v="1"/>
    <x v="13"/>
    <x v="5"/>
    <d v="2024-01-13T00:00:00"/>
    <x v="9"/>
    <n v="11576.93"/>
    <n v="0"/>
    <x v="7"/>
    <n v="0"/>
    <x v="2909"/>
    <n v="115769.3"/>
    <x v="10"/>
    <n v="2024"/>
  </r>
  <r>
    <s v="TXN02912"/>
    <x v="7"/>
    <x v="4"/>
    <x v="19"/>
    <x v="4"/>
    <d v="2025-02-02T00:00:00"/>
    <x v="3"/>
    <n v="7752.04"/>
    <n v="10"/>
    <x v="7"/>
    <n v="4651.22"/>
    <x v="2910"/>
    <n v="41861.019999999997"/>
    <x v="2"/>
    <n v="2025"/>
  </r>
  <r>
    <s v="TXN02913"/>
    <x v="11"/>
    <x v="0"/>
    <x v="6"/>
    <x v="4"/>
    <d v="2025-04-26T00:00:00"/>
    <x v="4"/>
    <n v="25770.99"/>
    <n v="15"/>
    <x v="6"/>
    <n v="27059.54"/>
    <x v="2911"/>
    <n v="153337.39000000001"/>
    <x v="1"/>
    <n v="2025"/>
  </r>
  <r>
    <s v="TXN02914"/>
    <x v="1"/>
    <x v="4"/>
    <x v="17"/>
    <x v="3"/>
    <d v="2024-09-14T00:00:00"/>
    <x v="9"/>
    <n v="3405.78"/>
    <n v="20"/>
    <x v="0"/>
    <n v="6811.56"/>
    <x v="2912"/>
    <n v="27246.240000000002"/>
    <x v="7"/>
    <n v="2024"/>
  </r>
  <r>
    <s v="TXN02915"/>
    <x v="14"/>
    <x v="0"/>
    <x v="3"/>
    <x v="5"/>
    <d v="2025-04-29T00:00:00"/>
    <x v="3"/>
    <n v="20062.57"/>
    <n v="0"/>
    <x v="7"/>
    <n v="0"/>
    <x v="2913"/>
    <n v="120375.42"/>
    <x v="1"/>
    <n v="2025"/>
  </r>
  <r>
    <s v="TXN02916"/>
    <x v="11"/>
    <x v="2"/>
    <x v="11"/>
    <x v="1"/>
    <d v="2025-05-21T00:00:00"/>
    <x v="9"/>
    <n v="5269.37"/>
    <n v="5"/>
    <x v="7"/>
    <n v="2634.68"/>
    <x v="2914"/>
    <n v="50059.02"/>
    <x v="9"/>
    <n v="2025"/>
  </r>
  <r>
    <s v="TXN02917"/>
    <x v="0"/>
    <x v="1"/>
    <x v="4"/>
    <x v="4"/>
    <d v="2024-06-21T00:00:00"/>
    <x v="7"/>
    <n v="8320.7199999999993"/>
    <n v="15"/>
    <x v="1"/>
    <n v="6240.54"/>
    <x v="2915"/>
    <n v="35363.06"/>
    <x v="5"/>
    <n v="2024"/>
  </r>
  <r>
    <s v="TXN02918"/>
    <x v="10"/>
    <x v="3"/>
    <x v="20"/>
    <x v="0"/>
    <d v="2025-05-23T00:00:00"/>
    <x v="0"/>
    <n v="3341.65"/>
    <n v="10"/>
    <x v="7"/>
    <n v="1002.5"/>
    <x v="2916"/>
    <n v="9022.4500000000007"/>
    <x v="9"/>
    <n v="2025"/>
  </r>
  <r>
    <s v="TXN02919"/>
    <x v="10"/>
    <x v="4"/>
    <x v="19"/>
    <x v="4"/>
    <d v="2025-08-09T00:00:00"/>
    <x v="7"/>
    <n v="8097.27"/>
    <n v="0"/>
    <x v="2"/>
    <n v="0"/>
    <x v="2917"/>
    <n v="40486.35"/>
    <x v="0"/>
    <n v="2025"/>
  </r>
  <r>
    <s v="TXN02920"/>
    <x v="4"/>
    <x v="1"/>
    <x v="4"/>
    <x v="0"/>
    <d v="2024-08-18T00:00:00"/>
    <x v="4"/>
    <n v="8884.1299999999992"/>
    <n v="5"/>
    <x v="5"/>
    <n v="3109.45"/>
    <x v="2918"/>
    <n v="59079.46"/>
    <x v="0"/>
    <n v="2024"/>
  </r>
  <r>
    <s v="TXN02921"/>
    <x v="12"/>
    <x v="4"/>
    <x v="14"/>
    <x v="1"/>
    <d v="2025-12-05T00:00:00"/>
    <x v="2"/>
    <n v="1556.34"/>
    <n v="20"/>
    <x v="4"/>
    <n v="2490.14"/>
    <x v="2919"/>
    <n v="9960.58"/>
    <x v="3"/>
    <n v="2025"/>
  </r>
  <r>
    <s v="TXN02922"/>
    <x v="6"/>
    <x v="4"/>
    <x v="19"/>
    <x v="2"/>
    <d v="2024-01-04T00:00:00"/>
    <x v="9"/>
    <n v="7877.81"/>
    <n v="20"/>
    <x v="1"/>
    <n v="15755.62"/>
    <x v="2920"/>
    <n v="63022.48"/>
    <x v="10"/>
    <n v="2024"/>
  </r>
  <r>
    <s v="TXN02923"/>
    <x v="11"/>
    <x v="3"/>
    <x v="20"/>
    <x v="2"/>
    <d v="2024-06-27T00:00:00"/>
    <x v="5"/>
    <n v="3491.96"/>
    <n v="10"/>
    <x v="4"/>
    <n v="698.39"/>
    <x v="2921"/>
    <n v="6285.53"/>
    <x v="5"/>
    <n v="2024"/>
  </r>
  <r>
    <s v="TXN02924"/>
    <x v="10"/>
    <x v="1"/>
    <x v="4"/>
    <x v="6"/>
    <d v="2024-02-03T00:00:00"/>
    <x v="9"/>
    <n v="8762.0300000000007"/>
    <n v="15"/>
    <x v="1"/>
    <n v="13143.05"/>
    <x v="2922"/>
    <n v="74477.25"/>
    <x v="2"/>
    <n v="2024"/>
  </r>
  <r>
    <s v="TXN02925"/>
    <x v="5"/>
    <x v="2"/>
    <x v="10"/>
    <x v="2"/>
    <d v="2024-02-21T00:00:00"/>
    <x v="7"/>
    <n v="2555.46"/>
    <n v="15"/>
    <x v="2"/>
    <n v="1916.59"/>
    <x v="2923"/>
    <n v="10860.71"/>
    <x v="2"/>
    <n v="2024"/>
  </r>
  <r>
    <s v="TXN02926"/>
    <x v="2"/>
    <x v="0"/>
    <x v="3"/>
    <x v="5"/>
    <d v="2024-10-09T00:00:00"/>
    <x v="1"/>
    <n v="20082.330000000002"/>
    <n v="15"/>
    <x v="4"/>
    <n v="12049.4"/>
    <x v="2924"/>
    <n v="68279.92"/>
    <x v="4"/>
    <n v="2024"/>
  </r>
  <r>
    <s v="TXN02927"/>
    <x v="9"/>
    <x v="4"/>
    <x v="17"/>
    <x v="3"/>
    <d v="2025-10-29T00:00:00"/>
    <x v="3"/>
    <n v="4310.53"/>
    <n v="10"/>
    <x v="6"/>
    <n v="2586.3200000000002"/>
    <x v="2925"/>
    <n v="23276.86"/>
    <x v="4"/>
    <n v="2025"/>
  </r>
  <r>
    <s v="TXN02928"/>
    <x v="7"/>
    <x v="4"/>
    <x v="23"/>
    <x v="2"/>
    <d v="2024-08-27T00:00:00"/>
    <x v="4"/>
    <n v="10383.629999999999"/>
    <n v="0"/>
    <x v="2"/>
    <n v="0"/>
    <x v="2926"/>
    <n v="72685.41"/>
    <x v="0"/>
    <n v="2024"/>
  </r>
  <r>
    <s v="TXN02929"/>
    <x v="14"/>
    <x v="3"/>
    <x v="20"/>
    <x v="2"/>
    <d v="2025-06-15T00:00:00"/>
    <x v="3"/>
    <n v="3864.42"/>
    <n v="20"/>
    <x v="7"/>
    <n v="4637.3"/>
    <x v="2927"/>
    <n v="18549.22"/>
    <x v="5"/>
    <n v="2025"/>
  </r>
  <r>
    <s v="TXN02930"/>
    <x v="13"/>
    <x v="2"/>
    <x v="10"/>
    <x v="4"/>
    <d v="2025-05-01T00:00:00"/>
    <x v="0"/>
    <n v="2610.54"/>
    <n v="0"/>
    <x v="6"/>
    <n v="0"/>
    <x v="2928"/>
    <n v="7831.62"/>
    <x v="9"/>
    <n v="2025"/>
  </r>
  <r>
    <s v="TXN02931"/>
    <x v="5"/>
    <x v="0"/>
    <x v="1"/>
    <x v="0"/>
    <d v="2025-12-15T00:00:00"/>
    <x v="2"/>
    <n v="3506.09"/>
    <n v="20"/>
    <x v="1"/>
    <n v="5609.74"/>
    <x v="2929"/>
    <n v="22438.98"/>
    <x v="3"/>
    <n v="2025"/>
  </r>
  <r>
    <s v="TXN02932"/>
    <x v="5"/>
    <x v="4"/>
    <x v="17"/>
    <x v="4"/>
    <d v="2025-02-25T00:00:00"/>
    <x v="4"/>
    <n v="3179.11"/>
    <n v="0"/>
    <x v="5"/>
    <n v="0"/>
    <x v="2930"/>
    <n v="22253.77"/>
    <x v="2"/>
    <n v="2025"/>
  </r>
  <r>
    <s v="TXN02933"/>
    <x v="11"/>
    <x v="1"/>
    <x v="13"/>
    <x v="0"/>
    <d v="2025-08-29T00:00:00"/>
    <x v="6"/>
    <n v="11536.94"/>
    <n v="0"/>
    <x v="2"/>
    <n v="0"/>
    <x v="2931"/>
    <n v="103832.46"/>
    <x v="0"/>
    <n v="2025"/>
  </r>
  <r>
    <s v="TXN02934"/>
    <x v="8"/>
    <x v="4"/>
    <x v="23"/>
    <x v="5"/>
    <d v="2024-01-23T00:00:00"/>
    <x v="4"/>
    <n v="10177.51"/>
    <n v="0"/>
    <x v="0"/>
    <n v="0"/>
    <x v="2932"/>
    <n v="71242.570000000007"/>
    <x v="10"/>
    <n v="2024"/>
  </r>
  <r>
    <s v="TXN02935"/>
    <x v="7"/>
    <x v="2"/>
    <x v="5"/>
    <x v="2"/>
    <d v="2025-03-06T00:00:00"/>
    <x v="4"/>
    <n v="1346.36"/>
    <n v="15"/>
    <x v="3"/>
    <n v="1413.68"/>
    <x v="2933"/>
    <n v="8010.84"/>
    <x v="6"/>
    <n v="2025"/>
  </r>
  <r>
    <s v="TXN02936"/>
    <x v="10"/>
    <x v="2"/>
    <x v="22"/>
    <x v="1"/>
    <d v="2025-06-08T00:00:00"/>
    <x v="2"/>
    <n v="924.32"/>
    <n v="20"/>
    <x v="1"/>
    <n v="1478.91"/>
    <x v="2934"/>
    <n v="5915.65"/>
    <x v="5"/>
    <n v="2025"/>
  </r>
  <r>
    <s v="TXN02937"/>
    <x v="2"/>
    <x v="4"/>
    <x v="19"/>
    <x v="6"/>
    <d v="2025-11-23T00:00:00"/>
    <x v="9"/>
    <n v="9698.34"/>
    <n v="0"/>
    <x v="5"/>
    <n v="0"/>
    <x v="2935"/>
    <n v="96983.4"/>
    <x v="8"/>
    <n v="2025"/>
  </r>
  <r>
    <s v="TXN02938"/>
    <x v="10"/>
    <x v="4"/>
    <x v="23"/>
    <x v="4"/>
    <d v="2024-07-28T00:00:00"/>
    <x v="7"/>
    <n v="10699.34"/>
    <n v="5"/>
    <x v="2"/>
    <n v="2674.84"/>
    <x v="2936"/>
    <n v="50821.86"/>
    <x v="11"/>
    <n v="2024"/>
  </r>
  <r>
    <s v="TXN02939"/>
    <x v="4"/>
    <x v="2"/>
    <x v="11"/>
    <x v="3"/>
    <d v="2025-02-13T00:00:00"/>
    <x v="8"/>
    <n v="5427.36"/>
    <n v="10"/>
    <x v="6"/>
    <n v="542.74"/>
    <x v="2937"/>
    <n v="4884.62"/>
    <x v="2"/>
    <n v="2025"/>
  </r>
  <r>
    <s v="TXN02940"/>
    <x v="4"/>
    <x v="3"/>
    <x v="15"/>
    <x v="2"/>
    <d v="2025-08-07T00:00:00"/>
    <x v="0"/>
    <n v="747.8"/>
    <n v="0"/>
    <x v="4"/>
    <n v="0"/>
    <x v="2938"/>
    <n v="2243.4"/>
    <x v="0"/>
    <n v="2025"/>
  </r>
  <r>
    <s v="TXN02941"/>
    <x v="5"/>
    <x v="4"/>
    <x v="17"/>
    <x v="2"/>
    <d v="2025-12-17T00:00:00"/>
    <x v="5"/>
    <n v="3989.63"/>
    <n v="15"/>
    <x v="2"/>
    <n v="1196.8900000000001"/>
    <x v="2939"/>
    <n v="6782.37"/>
    <x v="3"/>
    <n v="2025"/>
  </r>
  <r>
    <s v="TXN02942"/>
    <x v="1"/>
    <x v="4"/>
    <x v="17"/>
    <x v="5"/>
    <d v="2024-07-10T00:00:00"/>
    <x v="8"/>
    <n v="3817.22"/>
    <n v="15"/>
    <x v="0"/>
    <n v="572.58000000000004"/>
    <x v="2940"/>
    <n v="3244.64"/>
    <x v="11"/>
    <n v="2024"/>
  </r>
  <r>
    <s v="TXN02943"/>
    <x v="14"/>
    <x v="1"/>
    <x v="8"/>
    <x v="2"/>
    <d v="2025-04-30T00:00:00"/>
    <x v="1"/>
    <n v="45435.05"/>
    <n v="20"/>
    <x v="1"/>
    <n v="36348.04"/>
    <x v="2941"/>
    <n v="145392.16"/>
    <x v="1"/>
    <n v="2025"/>
  </r>
  <r>
    <s v="TXN02944"/>
    <x v="10"/>
    <x v="2"/>
    <x v="5"/>
    <x v="3"/>
    <d v="2025-11-20T00:00:00"/>
    <x v="9"/>
    <n v="1457.41"/>
    <n v="5"/>
    <x v="7"/>
    <n v="728.71"/>
    <x v="2942"/>
    <n v="13845.39"/>
    <x v="8"/>
    <n v="2025"/>
  </r>
  <r>
    <s v="TXN02945"/>
    <x v="9"/>
    <x v="4"/>
    <x v="17"/>
    <x v="4"/>
    <d v="2025-12-20T00:00:00"/>
    <x v="3"/>
    <n v="4394.5600000000004"/>
    <n v="5"/>
    <x v="2"/>
    <n v="1318.37"/>
    <x v="2943"/>
    <n v="25048.99"/>
    <x v="3"/>
    <n v="2025"/>
  </r>
  <r>
    <s v="TXN02946"/>
    <x v="6"/>
    <x v="1"/>
    <x v="2"/>
    <x v="5"/>
    <d v="2025-06-30T00:00:00"/>
    <x v="4"/>
    <n v="27639.74"/>
    <n v="10"/>
    <x v="1"/>
    <n v="19347.82"/>
    <x v="2944"/>
    <n v="174130.36"/>
    <x v="5"/>
    <n v="2025"/>
  </r>
  <r>
    <s v="TXN02947"/>
    <x v="7"/>
    <x v="2"/>
    <x v="22"/>
    <x v="5"/>
    <d v="2024-06-10T00:00:00"/>
    <x v="8"/>
    <n v="856.41"/>
    <n v="20"/>
    <x v="4"/>
    <n v="171.28"/>
    <x v="2945"/>
    <n v="685.13"/>
    <x v="5"/>
    <n v="2024"/>
  </r>
  <r>
    <s v="TXN02948"/>
    <x v="14"/>
    <x v="2"/>
    <x v="5"/>
    <x v="1"/>
    <d v="2024-11-30T00:00:00"/>
    <x v="7"/>
    <n v="1414.74"/>
    <n v="20"/>
    <x v="0"/>
    <n v="1414.74"/>
    <x v="2946"/>
    <n v="5658.96"/>
    <x v="8"/>
    <n v="2024"/>
  </r>
  <r>
    <s v="TXN02949"/>
    <x v="5"/>
    <x v="0"/>
    <x v="0"/>
    <x v="0"/>
    <d v="2025-04-05T00:00:00"/>
    <x v="8"/>
    <n v="74650.61"/>
    <n v="20"/>
    <x v="2"/>
    <n v="14930.12"/>
    <x v="2947"/>
    <n v="59720.49"/>
    <x v="1"/>
    <n v="2025"/>
  </r>
  <r>
    <s v="TXN02950"/>
    <x v="12"/>
    <x v="1"/>
    <x v="12"/>
    <x v="0"/>
    <d v="2024-07-13T00:00:00"/>
    <x v="8"/>
    <n v="5951.8"/>
    <n v="20"/>
    <x v="6"/>
    <n v="1190.3599999999999"/>
    <x v="2948"/>
    <n v="4761.4399999999996"/>
    <x v="11"/>
    <n v="2024"/>
  </r>
  <r>
    <s v="TXN02951"/>
    <x v="5"/>
    <x v="2"/>
    <x v="5"/>
    <x v="4"/>
    <d v="2025-11-05T00:00:00"/>
    <x v="1"/>
    <n v="1455.87"/>
    <n v="5"/>
    <x v="4"/>
    <n v="291.17"/>
    <x v="2949"/>
    <n v="5532.31"/>
    <x v="8"/>
    <n v="2025"/>
  </r>
  <r>
    <s v="TXN02952"/>
    <x v="0"/>
    <x v="0"/>
    <x v="24"/>
    <x v="6"/>
    <d v="2025-02-28T00:00:00"/>
    <x v="2"/>
    <n v="7178.5"/>
    <n v="0"/>
    <x v="7"/>
    <n v="0"/>
    <x v="2950"/>
    <n v="57428"/>
    <x v="2"/>
    <n v="2025"/>
  </r>
  <r>
    <s v="TXN02953"/>
    <x v="8"/>
    <x v="4"/>
    <x v="23"/>
    <x v="0"/>
    <d v="2025-11-25T00:00:00"/>
    <x v="5"/>
    <n v="10845.28"/>
    <n v="20"/>
    <x v="0"/>
    <n v="4338.1099999999997"/>
    <x v="2951"/>
    <n v="17352.45"/>
    <x v="8"/>
    <n v="2025"/>
  </r>
  <r>
    <s v="TXN02954"/>
    <x v="6"/>
    <x v="2"/>
    <x v="10"/>
    <x v="5"/>
    <d v="2025-08-17T00:00:00"/>
    <x v="0"/>
    <n v="2813.28"/>
    <n v="20"/>
    <x v="4"/>
    <n v="1687.97"/>
    <x v="2952"/>
    <n v="6751.87"/>
    <x v="0"/>
    <n v="2025"/>
  </r>
  <r>
    <s v="TXN02955"/>
    <x v="13"/>
    <x v="0"/>
    <x v="3"/>
    <x v="4"/>
    <d v="2024-02-17T00:00:00"/>
    <x v="5"/>
    <n v="18341.79"/>
    <n v="20"/>
    <x v="6"/>
    <n v="7336.72"/>
    <x v="2953"/>
    <n v="29346.86"/>
    <x v="2"/>
    <n v="2024"/>
  </r>
  <r>
    <s v="TXN02956"/>
    <x v="8"/>
    <x v="1"/>
    <x v="2"/>
    <x v="0"/>
    <d v="2025-04-01T00:00:00"/>
    <x v="8"/>
    <n v="23772.42"/>
    <n v="20"/>
    <x v="1"/>
    <n v="4754.4799999999996"/>
    <x v="2954"/>
    <n v="19017.939999999999"/>
    <x v="1"/>
    <n v="2025"/>
  </r>
  <r>
    <s v="TXN02957"/>
    <x v="9"/>
    <x v="2"/>
    <x v="10"/>
    <x v="2"/>
    <d v="2025-04-10T00:00:00"/>
    <x v="0"/>
    <n v="2501.3200000000002"/>
    <n v="20"/>
    <x v="7"/>
    <n v="1500.79"/>
    <x v="2955"/>
    <n v="6003.17"/>
    <x v="1"/>
    <n v="2025"/>
  </r>
  <r>
    <s v="TXN02958"/>
    <x v="1"/>
    <x v="1"/>
    <x v="8"/>
    <x v="6"/>
    <d v="2025-10-28T00:00:00"/>
    <x v="7"/>
    <n v="48762.16"/>
    <n v="20"/>
    <x v="3"/>
    <n v="48762.16"/>
    <x v="2956"/>
    <n v="195048.64"/>
    <x v="4"/>
    <n v="2025"/>
  </r>
  <r>
    <s v="TXN02959"/>
    <x v="8"/>
    <x v="3"/>
    <x v="15"/>
    <x v="3"/>
    <d v="2025-04-13T00:00:00"/>
    <x v="0"/>
    <n v="823.27"/>
    <n v="20"/>
    <x v="1"/>
    <n v="493.96"/>
    <x v="2957"/>
    <n v="1975.85"/>
    <x v="1"/>
    <n v="2025"/>
  </r>
  <r>
    <s v="TXN02960"/>
    <x v="7"/>
    <x v="3"/>
    <x v="21"/>
    <x v="2"/>
    <d v="2025-10-08T00:00:00"/>
    <x v="7"/>
    <n v="2536.06"/>
    <n v="15"/>
    <x v="6"/>
    <n v="1902.04"/>
    <x v="2958"/>
    <n v="10778.26"/>
    <x v="4"/>
    <n v="2025"/>
  </r>
  <r>
    <s v="TXN02961"/>
    <x v="1"/>
    <x v="2"/>
    <x v="10"/>
    <x v="6"/>
    <d v="2025-09-06T00:00:00"/>
    <x v="4"/>
    <n v="2786.61"/>
    <n v="5"/>
    <x v="7"/>
    <n v="975.31"/>
    <x v="2959"/>
    <n v="18530.96"/>
    <x v="7"/>
    <n v="2025"/>
  </r>
  <r>
    <s v="TXN02962"/>
    <x v="1"/>
    <x v="4"/>
    <x v="23"/>
    <x v="4"/>
    <d v="2025-07-24T00:00:00"/>
    <x v="8"/>
    <n v="10325.959999999999"/>
    <n v="0"/>
    <x v="1"/>
    <n v="0"/>
    <x v="2960"/>
    <n v="10325.959999999999"/>
    <x v="11"/>
    <n v="2025"/>
  </r>
  <r>
    <s v="TXN02963"/>
    <x v="6"/>
    <x v="1"/>
    <x v="8"/>
    <x v="5"/>
    <d v="2025-10-12T00:00:00"/>
    <x v="0"/>
    <n v="50536.92"/>
    <n v="15"/>
    <x v="1"/>
    <n v="22741.61"/>
    <x v="2961"/>
    <n v="128869.15"/>
    <x v="4"/>
    <n v="2025"/>
  </r>
  <r>
    <s v="TXN02964"/>
    <x v="5"/>
    <x v="1"/>
    <x v="4"/>
    <x v="0"/>
    <d v="2024-11-29T00:00:00"/>
    <x v="9"/>
    <n v="8759.27"/>
    <n v="5"/>
    <x v="0"/>
    <n v="4379.6400000000003"/>
    <x v="2962"/>
    <n v="83213.06"/>
    <x v="8"/>
    <n v="2024"/>
  </r>
  <r>
    <s v="TXN02965"/>
    <x v="9"/>
    <x v="3"/>
    <x v="20"/>
    <x v="2"/>
    <d v="2024-01-07T00:00:00"/>
    <x v="5"/>
    <n v="3306.31"/>
    <n v="10"/>
    <x v="6"/>
    <n v="661.26"/>
    <x v="2963"/>
    <n v="5951.36"/>
    <x v="10"/>
    <n v="2024"/>
  </r>
  <r>
    <s v="TXN02966"/>
    <x v="7"/>
    <x v="1"/>
    <x v="4"/>
    <x v="2"/>
    <d v="2024-08-08T00:00:00"/>
    <x v="4"/>
    <n v="8393.34"/>
    <n v="20"/>
    <x v="5"/>
    <n v="11750.68"/>
    <x v="2964"/>
    <n v="47002.7"/>
    <x v="0"/>
    <n v="2024"/>
  </r>
  <r>
    <s v="TXN02967"/>
    <x v="2"/>
    <x v="0"/>
    <x v="6"/>
    <x v="5"/>
    <d v="2024-09-11T00:00:00"/>
    <x v="8"/>
    <n v="23641.5"/>
    <n v="10"/>
    <x v="5"/>
    <n v="2364.15"/>
    <x v="2965"/>
    <n v="21277.35"/>
    <x v="7"/>
    <n v="2024"/>
  </r>
  <r>
    <s v="TXN02968"/>
    <x v="1"/>
    <x v="2"/>
    <x v="9"/>
    <x v="3"/>
    <d v="2024-09-12T00:00:00"/>
    <x v="9"/>
    <n v="4473.8100000000004"/>
    <n v="15"/>
    <x v="1"/>
    <n v="6710.71"/>
    <x v="2966"/>
    <n v="38027.39"/>
    <x v="7"/>
    <n v="2024"/>
  </r>
  <r>
    <s v="TXN02969"/>
    <x v="14"/>
    <x v="0"/>
    <x v="6"/>
    <x v="3"/>
    <d v="2024-09-05T00:00:00"/>
    <x v="4"/>
    <n v="24489.03"/>
    <n v="10"/>
    <x v="4"/>
    <n v="17142.32"/>
    <x v="2967"/>
    <n v="154280.89000000001"/>
    <x v="7"/>
    <n v="2024"/>
  </r>
  <r>
    <s v="TXN02970"/>
    <x v="3"/>
    <x v="0"/>
    <x v="3"/>
    <x v="4"/>
    <d v="2024-09-18T00:00:00"/>
    <x v="6"/>
    <n v="19592.55"/>
    <n v="20"/>
    <x v="2"/>
    <n v="35266.589999999997"/>
    <x v="2968"/>
    <n v="141066.35999999999"/>
    <x v="7"/>
    <n v="2024"/>
  </r>
  <r>
    <s v="TXN02971"/>
    <x v="10"/>
    <x v="4"/>
    <x v="19"/>
    <x v="0"/>
    <d v="2024-09-05T00:00:00"/>
    <x v="4"/>
    <n v="8854.14"/>
    <n v="10"/>
    <x v="1"/>
    <n v="6197.9"/>
    <x v="2969"/>
    <n v="55781.08"/>
    <x v="7"/>
    <n v="2024"/>
  </r>
  <r>
    <s v="TXN02972"/>
    <x v="7"/>
    <x v="2"/>
    <x v="11"/>
    <x v="1"/>
    <d v="2025-08-06T00:00:00"/>
    <x v="2"/>
    <n v="5747.6"/>
    <n v="5"/>
    <x v="5"/>
    <n v="2299.04"/>
    <x v="2970"/>
    <n v="43681.760000000002"/>
    <x v="0"/>
    <n v="2025"/>
  </r>
  <r>
    <s v="TXN02973"/>
    <x v="5"/>
    <x v="2"/>
    <x v="22"/>
    <x v="2"/>
    <d v="2025-02-24T00:00:00"/>
    <x v="0"/>
    <n v="1034.79"/>
    <n v="5"/>
    <x v="2"/>
    <n v="155.22"/>
    <x v="2971"/>
    <n v="2949.15"/>
    <x v="2"/>
    <n v="2025"/>
  </r>
  <r>
    <s v="TXN02974"/>
    <x v="13"/>
    <x v="1"/>
    <x v="2"/>
    <x v="5"/>
    <d v="2025-04-19T00:00:00"/>
    <x v="9"/>
    <n v="27346.639999999999"/>
    <n v="20"/>
    <x v="2"/>
    <n v="54693.279999999999"/>
    <x v="2972"/>
    <n v="218773.12"/>
    <x v="1"/>
    <n v="2025"/>
  </r>
  <r>
    <s v="TXN02975"/>
    <x v="12"/>
    <x v="4"/>
    <x v="19"/>
    <x v="1"/>
    <d v="2025-01-16T00:00:00"/>
    <x v="9"/>
    <n v="7820.82"/>
    <n v="15"/>
    <x v="3"/>
    <n v="11731.23"/>
    <x v="2973"/>
    <n v="66476.97"/>
    <x v="10"/>
    <n v="2025"/>
  </r>
  <r>
    <s v="TXN02976"/>
    <x v="0"/>
    <x v="1"/>
    <x v="13"/>
    <x v="1"/>
    <d v="2024-07-09T00:00:00"/>
    <x v="9"/>
    <n v="12373.3"/>
    <n v="5"/>
    <x v="4"/>
    <n v="6186.65"/>
    <x v="2974"/>
    <n v="117546.35"/>
    <x v="11"/>
    <n v="2024"/>
  </r>
  <r>
    <s v="TXN02977"/>
    <x v="12"/>
    <x v="1"/>
    <x v="2"/>
    <x v="6"/>
    <d v="2024-01-12T00:00:00"/>
    <x v="4"/>
    <n v="25105.96"/>
    <n v="0"/>
    <x v="3"/>
    <n v="0"/>
    <x v="2975"/>
    <n v="175741.72"/>
    <x v="10"/>
    <n v="2024"/>
  </r>
  <r>
    <s v="TXN02978"/>
    <x v="12"/>
    <x v="4"/>
    <x v="14"/>
    <x v="5"/>
    <d v="2024-07-12T00:00:00"/>
    <x v="3"/>
    <n v="1491.36"/>
    <n v="20"/>
    <x v="3"/>
    <n v="1789.63"/>
    <x v="2976"/>
    <n v="7158.53"/>
    <x v="11"/>
    <n v="2024"/>
  </r>
  <r>
    <s v="TXN02979"/>
    <x v="12"/>
    <x v="2"/>
    <x v="5"/>
    <x v="2"/>
    <d v="2024-08-08T00:00:00"/>
    <x v="3"/>
    <n v="1305.45"/>
    <n v="15"/>
    <x v="0"/>
    <n v="1174.9000000000001"/>
    <x v="2977"/>
    <n v="6657.8"/>
    <x v="0"/>
    <n v="2024"/>
  </r>
  <r>
    <s v="TXN02980"/>
    <x v="9"/>
    <x v="4"/>
    <x v="14"/>
    <x v="5"/>
    <d v="2025-04-06T00:00:00"/>
    <x v="9"/>
    <n v="1420.23"/>
    <n v="15"/>
    <x v="6"/>
    <n v="2130.34"/>
    <x v="2978"/>
    <n v="12071.96"/>
    <x v="1"/>
    <n v="2025"/>
  </r>
  <r>
    <s v="TXN02981"/>
    <x v="6"/>
    <x v="0"/>
    <x v="3"/>
    <x v="4"/>
    <d v="2025-06-21T00:00:00"/>
    <x v="0"/>
    <n v="16419.849999999999"/>
    <n v="10"/>
    <x v="4"/>
    <n v="4925.96"/>
    <x v="2979"/>
    <n v="44333.59"/>
    <x v="5"/>
    <n v="2025"/>
  </r>
  <r>
    <s v="TXN02982"/>
    <x v="6"/>
    <x v="2"/>
    <x v="5"/>
    <x v="0"/>
    <d v="2025-09-09T00:00:00"/>
    <x v="6"/>
    <n v="1303.81"/>
    <n v="20"/>
    <x v="0"/>
    <n v="2346.86"/>
    <x v="2980"/>
    <n v="9387.43"/>
    <x v="7"/>
    <n v="2025"/>
  </r>
  <r>
    <s v="TXN02983"/>
    <x v="7"/>
    <x v="0"/>
    <x v="6"/>
    <x v="5"/>
    <d v="2024-01-31T00:00:00"/>
    <x v="8"/>
    <n v="28105.03"/>
    <n v="10"/>
    <x v="1"/>
    <n v="2810.5"/>
    <x v="2981"/>
    <n v="25294.53"/>
    <x v="10"/>
    <n v="2024"/>
  </r>
  <r>
    <s v="TXN02984"/>
    <x v="8"/>
    <x v="3"/>
    <x v="15"/>
    <x v="2"/>
    <d v="2025-02-12T00:00:00"/>
    <x v="0"/>
    <n v="888.02"/>
    <n v="0"/>
    <x v="6"/>
    <n v="0"/>
    <x v="2982"/>
    <n v="2664.06"/>
    <x v="2"/>
    <n v="2025"/>
  </r>
  <r>
    <s v="TXN02985"/>
    <x v="4"/>
    <x v="3"/>
    <x v="7"/>
    <x v="1"/>
    <d v="2025-07-31T00:00:00"/>
    <x v="5"/>
    <n v="1717.98"/>
    <n v="0"/>
    <x v="4"/>
    <n v="0"/>
    <x v="2983"/>
    <n v="3435.96"/>
    <x v="11"/>
    <n v="2025"/>
  </r>
  <r>
    <s v="TXN02986"/>
    <x v="9"/>
    <x v="0"/>
    <x v="6"/>
    <x v="3"/>
    <d v="2024-11-25T00:00:00"/>
    <x v="0"/>
    <n v="30945.29"/>
    <n v="20"/>
    <x v="6"/>
    <n v="18567.169999999998"/>
    <x v="2984"/>
    <n v="74268.7"/>
    <x v="8"/>
    <n v="2024"/>
  </r>
  <r>
    <s v="TXN02987"/>
    <x v="13"/>
    <x v="4"/>
    <x v="18"/>
    <x v="6"/>
    <d v="2025-10-21T00:00:00"/>
    <x v="3"/>
    <n v="14628.32"/>
    <n v="15"/>
    <x v="2"/>
    <n v="13165.49"/>
    <x v="2985"/>
    <n v="74604.429999999993"/>
    <x v="4"/>
    <n v="2025"/>
  </r>
  <r>
    <s v="TXN02988"/>
    <x v="0"/>
    <x v="3"/>
    <x v="7"/>
    <x v="3"/>
    <d v="2024-10-30T00:00:00"/>
    <x v="8"/>
    <n v="1945.11"/>
    <n v="5"/>
    <x v="3"/>
    <n v="97.26"/>
    <x v="2986"/>
    <n v="1847.85"/>
    <x v="4"/>
    <n v="2024"/>
  </r>
  <r>
    <s v="TXN02989"/>
    <x v="7"/>
    <x v="0"/>
    <x v="1"/>
    <x v="4"/>
    <d v="2024-08-25T00:00:00"/>
    <x v="8"/>
    <n v="3127.67"/>
    <n v="15"/>
    <x v="5"/>
    <n v="469.15"/>
    <x v="2987"/>
    <n v="2658.52"/>
    <x v="0"/>
    <n v="2024"/>
  </r>
  <r>
    <s v="TXN02990"/>
    <x v="12"/>
    <x v="4"/>
    <x v="23"/>
    <x v="3"/>
    <d v="2025-09-29T00:00:00"/>
    <x v="7"/>
    <n v="10396.75"/>
    <n v="20"/>
    <x v="7"/>
    <n v="10396.75"/>
    <x v="2988"/>
    <n v="41587"/>
    <x v="7"/>
    <n v="2025"/>
  </r>
  <r>
    <s v="TXN02991"/>
    <x v="14"/>
    <x v="4"/>
    <x v="18"/>
    <x v="6"/>
    <d v="2025-10-26T00:00:00"/>
    <x v="3"/>
    <n v="13207.58"/>
    <n v="5"/>
    <x v="1"/>
    <n v="3962.27"/>
    <x v="2989"/>
    <n v="75283.210000000006"/>
    <x v="4"/>
    <n v="2025"/>
  </r>
  <r>
    <s v="TXN02992"/>
    <x v="11"/>
    <x v="0"/>
    <x v="0"/>
    <x v="2"/>
    <d v="2024-09-08T00:00:00"/>
    <x v="8"/>
    <n v="65789.259999999995"/>
    <n v="15"/>
    <x v="5"/>
    <n v="9868.39"/>
    <x v="2990"/>
    <n v="55920.87"/>
    <x v="7"/>
    <n v="2024"/>
  </r>
  <r>
    <s v="TXN02993"/>
    <x v="14"/>
    <x v="4"/>
    <x v="17"/>
    <x v="6"/>
    <d v="2025-08-08T00:00:00"/>
    <x v="3"/>
    <n v="4005.9"/>
    <n v="5"/>
    <x v="2"/>
    <n v="1201.77"/>
    <x v="2991"/>
    <n v="22833.63"/>
    <x v="0"/>
    <n v="2025"/>
  </r>
  <r>
    <s v="TXN02994"/>
    <x v="5"/>
    <x v="3"/>
    <x v="15"/>
    <x v="4"/>
    <d v="2025-05-17T00:00:00"/>
    <x v="7"/>
    <n v="744.1"/>
    <n v="5"/>
    <x v="4"/>
    <n v="186.03"/>
    <x v="2992"/>
    <n v="3534.47"/>
    <x v="9"/>
    <n v="2025"/>
  </r>
  <r>
    <s v="TXN02995"/>
    <x v="6"/>
    <x v="3"/>
    <x v="7"/>
    <x v="2"/>
    <d v="2025-05-08T00:00:00"/>
    <x v="9"/>
    <n v="1762.09"/>
    <n v="15"/>
    <x v="0"/>
    <n v="2643.14"/>
    <x v="2993"/>
    <n v="14977.76"/>
    <x v="9"/>
    <n v="2025"/>
  </r>
  <r>
    <s v="TXN02996"/>
    <x v="13"/>
    <x v="0"/>
    <x v="0"/>
    <x v="5"/>
    <d v="2025-05-22T00:00:00"/>
    <x v="1"/>
    <n v="68938.41"/>
    <n v="0"/>
    <x v="6"/>
    <n v="0"/>
    <x v="2994"/>
    <n v="275753.64"/>
    <x v="9"/>
    <n v="2025"/>
  </r>
  <r>
    <s v="TXN02997"/>
    <x v="13"/>
    <x v="4"/>
    <x v="19"/>
    <x v="4"/>
    <d v="2024-03-29T00:00:00"/>
    <x v="9"/>
    <n v="8723.59"/>
    <n v="5"/>
    <x v="2"/>
    <n v="4361.8"/>
    <x v="2995"/>
    <n v="82874.100000000006"/>
    <x v="6"/>
    <n v="2024"/>
  </r>
  <r>
    <s v="TXN02998"/>
    <x v="0"/>
    <x v="0"/>
    <x v="6"/>
    <x v="0"/>
    <d v="2025-08-27T00:00:00"/>
    <x v="1"/>
    <n v="25722.73"/>
    <n v="5"/>
    <x v="7"/>
    <n v="5144.55"/>
    <x v="2996"/>
    <n v="97746.37"/>
    <x v="0"/>
    <n v="2025"/>
  </r>
  <r>
    <s v="TXN02999"/>
    <x v="13"/>
    <x v="1"/>
    <x v="2"/>
    <x v="4"/>
    <d v="2024-07-07T00:00:00"/>
    <x v="7"/>
    <n v="27823.65"/>
    <n v="10"/>
    <x v="4"/>
    <n v="13911.83"/>
    <x v="2997"/>
    <n v="125206.42"/>
    <x v="11"/>
    <n v="2024"/>
  </r>
  <r>
    <s v="TXN03000"/>
    <x v="5"/>
    <x v="3"/>
    <x v="16"/>
    <x v="6"/>
    <d v="2024-10-04T00:00:00"/>
    <x v="2"/>
    <n v="1662.89"/>
    <n v="15"/>
    <x v="1"/>
    <n v="1995.47"/>
    <x v="2998"/>
    <n v="11307.65"/>
    <x v="4"/>
    <n v="2024"/>
  </r>
  <r>
    <s v="TXN03001"/>
    <x v="4"/>
    <x v="2"/>
    <x v="9"/>
    <x v="4"/>
    <d v="2024-11-18T00:00:00"/>
    <x v="5"/>
    <n v="5597.22"/>
    <n v="0"/>
    <x v="0"/>
    <n v="0"/>
    <x v="2999"/>
    <n v="11194.44"/>
    <x v="8"/>
    <n v="2024"/>
  </r>
  <r>
    <s v="TXN03002"/>
    <x v="3"/>
    <x v="4"/>
    <x v="23"/>
    <x v="1"/>
    <d v="2025-04-27T00:00:00"/>
    <x v="8"/>
    <n v="11443.64"/>
    <n v="20"/>
    <x v="7"/>
    <n v="2288.73"/>
    <x v="3000"/>
    <n v="9154.91"/>
    <x v="1"/>
    <n v="2025"/>
  </r>
  <r>
    <s v="TXN03003"/>
    <x v="11"/>
    <x v="3"/>
    <x v="15"/>
    <x v="2"/>
    <d v="2025-11-04T00:00:00"/>
    <x v="0"/>
    <n v="982.05"/>
    <n v="20"/>
    <x v="0"/>
    <n v="589.23"/>
    <x v="3001"/>
    <n v="2356.92"/>
    <x v="8"/>
    <n v="2025"/>
  </r>
  <r>
    <s v="TXN03004"/>
    <x v="5"/>
    <x v="3"/>
    <x v="15"/>
    <x v="0"/>
    <d v="2024-07-16T00:00:00"/>
    <x v="7"/>
    <n v="727.41"/>
    <n v="0"/>
    <x v="2"/>
    <n v="0"/>
    <x v="3002"/>
    <n v="3637.05"/>
    <x v="11"/>
    <n v="2024"/>
  </r>
  <r>
    <s v="TXN03005"/>
    <x v="9"/>
    <x v="2"/>
    <x v="22"/>
    <x v="1"/>
    <d v="2024-12-20T00:00:00"/>
    <x v="6"/>
    <n v="1074.6400000000001"/>
    <n v="0"/>
    <x v="5"/>
    <n v="0"/>
    <x v="3003"/>
    <n v="9671.76"/>
    <x v="3"/>
    <n v="2024"/>
  </r>
  <r>
    <s v="TXN03006"/>
    <x v="5"/>
    <x v="3"/>
    <x v="16"/>
    <x v="0"/>
    <d v="2025-11-16T00:00:00"/>
    <x v="3"/>
    <n v="1587.66"/>
    <n v="0"/>
    <x v="2"/>
    <n v="0"/>
    <x v="3004"/>
    <n v="9525.9599999999991"/>
    <x v="8"/>
    <n v="2025"/>
  </r>
  <r>
    <s v="TXN03007"/>
    <x v="8"/>
    <x v="4"/>
    <x v="17"/>
    <x v="5"/>
    <d v="2024-01-03T00:00:00"/>
    <x v="8"/>
    <n v="3399.42"/>
    <n v="20"/>
    <x v="6"/>
    <n v="679.88"/>
    <x v="3005"/>
    <n v="2719.54"/>
    <x v="10"/>
    <n v="2024"/>
  </r>
  <r>
    <s v="TXN03008"/>
    <x v="0"/>
    <x v="1"/>
    <x v="12"/>
    <x v="0"/>
    <d v="2024-11-15T00:00:00"/>
    <x v="5"/>
    <n v="6830.3"/>
    <n v="0"/>
    <x v="5"/>
    <n v="0"/>
    <x v="3006"/>
    <n v="13660.6"/>
    <x v="8"/>
    <n v="2024"/>
  </r>
  <r>
    <s v="TXN03009"/>
    <x v="14"/>
    <x v="1"/>
    <x v="8"/>
    <x v="3"/>
    <d v="2024-07-01T00:00:00"/>
    <x v="5"/>
    <n v="44042.720000000001"/>
    <n v="0"/>
    <x v="3"/>
    <n v="0"/>
    <x v="3007"/>
    <n v="88085.440000000002"/>
    <x v="11"/>
    <n v="2024"/>
  </r>
  <r>
    <s v="TXN03010"/>
    <x v="1"/>
    <x v="1"/>
    <x v="8"/>
    <x v="5"/>
    <d v="2024-02-10T00:00:00"/>
    <x v="1"/>
    <n v="41137.42"/>
    <n v="20"/>
    <x v="3"/>
    <n v="32909.94"/>
    <x v="3008"/>
    <n v="131639.74"/>
    <x v="2"/>
    <n v="2024"/>
  </r>
  <r>
    <s v="TXN03011"/>
    <x v="8"/>
    <x v="2"/>
    <x v="9"/>
    <x v="0"/>
    <d v="2025-11-06T00:00:00"/>
    <x v="2"/>
    <n v="5116.05"/>
    <n v="0"/>
    <x v="1"/>
    <n v="0"/>
    <x v="3009"/>
    <n v="40928.400000000001"/>
    <x v="8"/>
    <n v="2025"/>
  </r>
  <r>
    <s v="TXN03012"/>
    <x v="3"/>
    <x v="1"/>
    <x v="2"/>
    <x v="4"/>
    <d v="2024-04-02T00:00:00"/>
    <x v="4"/>
    <n v="24265.53"/>
    <n v="15"/>
    <x v="5"/>
    <n v="25478.81"/>
    <x v="3010"/>
    <n v="144379.9"/>
    <x v="1"/>
    <n v="2024"/>
  </r>
  <r>
    <s v="TXN03013"/>
    <x v="4"/>
    <x v="2"/>
    <x v="5"/>
    <x v="4"/>
    <d v="2024-12-16T00:00:00"/>
    <x v="4"/>
    <n v="1231.6099999999999"/>
    <n v="0"/>
    <x v="0"/>
    <n v="0"/>
    <x v="3011"/>
    <n v="8621.27"/>
    <x v="3"/>
    <n v="2024"/>
  </r>
  <r>
    <s v="TXN03014"/>
    <x v="11"/>
    <x v="1"/>
    <x v="8"/>
    <x v="0"/>
    <d v="2024-01-22T00:00:00"/>
    <x v="6"/>
    <n v="45078.83"/>
    <n v="0"/>
    <x v="4"/>
    <n v="0"/>
    <x v="3012"/>
    <n v="405709.47"/>
    <x v="10"/>
    <n v="2024"/>
  </r>
  <r>
    <s v="TXN03015"/>
    <x v="13"/>
    <x v="4"/>
    <x v="23"/>
    <x v="6"/>
    <d v="2024-02-13T00:00:00"/>
    <x v="9"/>
    <n v="9420.4699999999993"/>
    <n v="0"/>
    <x v="6"/>
    <n v="0"/>
    <x v="3013"/>
    <n v="94204.7"/>
    <x v="2"/>
    <n v="2024"/>
  </r>
  <r>
    <s v="TXN03016"/>
    <x v="6"/>
    <x v="2"/>
    <x v="11"/>
    <x v="6"/>
    <d v="2024-08-15T00:00:00"/>
    <x v="5"/>
    <n v="4614.84"/>
    <n v="5"/>
    <x v="4"/>
    <n v="461.48"/>
    <x v="3014"/>
    <n v="8768.2000000000007"/>
    <x v="0"/>
    <n v="2024"/>
  </r>
  <r>
    <s v="TXN03017"/>
    <x v="6"/>
    <x v="4"/>
    <x v="23"/>
    <x v="1"/>
    <d v="2025-07-04T00:00:00"/>
    <x v="7"/>
    <n v="10383.86"/>
    <n v="20"/>
    <x v="5"/>
    <n v="10383.86"/>
    <x v="3015"/>
    <n v="41535.440000000002"/>
    <x v="11"/>
    <n v="2025"/>
  </r>
  <r>
    <s v="TXN03018"/>
    <x v="7"/>
    <x v="0"/>
    <x v="3"/>
    <x v="3"/>
    <d v="2024-09-03T00:00:00"/>
    <x v="0"/>
    <n v="19161.63"/>
    <n v="0"/>
    <x v="2"/>
    <n v="0"/>
    <x v="3016"/>
    <n v="57484.89"/>
    <x v="7"/>
    <n v="2024"/>
  </r>
  <r>
    <s v="TXN03019"/>
    <x v="13"/>
    <x v="2"/>
    <x v="9"/>
    <x v="0"/>
    <d v="2025-12-01T00:00:00"/>
    <x v="0"/>
    <n v="4636.59"/>
    <n v="10"/>
    <x v="6"/>
    <n v="1390.98"/>
    <x v="3017"/>
    <n v="12518.79"/>
    <x v="3"/>
    <n v="2025"/>
  </r>
  <r>
    <s v="TXN03020"/>
    <x v="14"/>
    <x v="1"/>
    <x v="8"/>
    <x v="5"/>
    <d v="2025-05-02T00:00:00"/>
    <x v="2"/>
    <n v="45519.73"/>
    <n v="10"/>
    <x v="1"/>
    <n v="36415.78"/>
    <x v="3018"/>
    <n v="327742.06"/>
    <x v="9"/>
    <n v="2025"/>
  </r>
  <r>
    <s v="TXN03021"/>
    <x v="11"/>
    <x v="3"/>
    <x v="20"/>
    <x v="2"/>
    <d v="2025-06-28T00:00:00"/>
    <x v="0"/>
    <n v="3953.72"/>
    <n v="5"/>
    <x v="1"/>
    <n v="593.05999999999995"/>
    <x v="3019"/>
    <n v="11268.1"/>
    <x v="5"/>
    <n v="2025"/>
  </r>
  <r>
    <s v="TXN03022"/>
    <x v="10"/>
    <x v="0"/>
    <x v="24"/>
    <x v="1"/>
    <d v="2025-02-03T00:00:00"/>
    <x v="5"/>
    <n v="7740.03"/>
    <n v="20"/>
    <x v="4"/>
    <n v="3096.01"/>
    <x v="3020"/>
    <n v="12384.05"/>
    <x v="2"/>
    <n v="2025"/>
  </r>
  <r>
    <s v="TXN03023"/>
    <x v="12"/>
    <x v="3"/>
    <x v="7"/>
    <x v="0"/>
    <d v="2025-05-12T00:00:00"/>
    <x v="4"/>
    <n v="2069.0100000000002"/>
    <n v="5"/>
    <x v="2"/>
    <n v="724.15"/>
    <x v="3021"/>
    <n v="13758.92"/>
    <x v="9"/>
    <n v="2025"/>
  </r>
  <r>
    <s v="TXN03024"/>
    <x v="2"/>
    <x v="4"/>
    <x v="18"/>
    <x v="0"/>
    <d v="2024-01-03T00:00:00"/>
    <x v="3"/>
    <n v="11496.27"/>
    <n v="0"/>
    <x v="2"/>
    <n v="0"/>
    <x v="3022"/>
    <n v="68977.62"/>
    <x v="10"/>
    <n v="2024"/>
  </r>
  <r>
    <s v="TXN03025"/>
    <x v="6"/>
    <x v="1"/>
    <x v="2"/>
    <x v="2"/>
    <d v="2024-01-17T00:00:00"/>
    <x v="0"/>
    <n v="24837.31"/>
    <n v="20"/>
    <x v="4"/>
    <n v="14902.39"/>
    <x v="3023"/>
    <n v="59609.54"/>
    <x v="10"/>
    <n v="2024"/>
  </r>
  <r>
    <s v="TXN03026"/>
    <x v="2"/>
    <x v="4"/>
    <x v="17"/>
    <x v="5"/>
    <d v="2024-02-19T00:00:00"/>
    <x v="3"/>
    <n v="3962.11"/>
    <n v="0"/>
    <x v="2"/>
    <n v="0"/>
    <x v="3024"/>
    <n v="23772.66"/>
    <x v="2"/>
    <n v="2024"/>
  </r>
  <r>
    <s v="TXN03027"/>
    <x v="13"/>
    <x v="4"/>
    <x v="18"/>
    <x v="5"/>
    <d v="2024-09-01T00:00:00"/>
    <x v="4"/>
    <n v="13287.71"/>
    <n v="10"/>
    <x v="2"/>
    <n v="9301.4"/>
    <x v="3025"/>
    <n v="83712.570000000007"/>
    <x v="7"/>
    <n v="2024"/>
  </r>
  <r>
    <s v="TXN03028"/>
    <x v="0"/>
    <x v="0"/>
    <x v="6"/>
    <x v="6"/>
    <d v="2025-10-24T00:00:00"/>
    <x v="4"/>
    <n v="26578.63"/>
    <n v="0"/>
    <x v="7"/>
    <n v="0"/>
    <x v="3026"/>
    <n v="186050.41"/>
    <x v="4"/>
    <n v="2025"/>
  </r>
  <r>
    <s v="TXN03029"/>
    <x v="12"/>
    <x v="2"/>
    <x v="11"/>
    <x v="1"/>
    <d v="2024-08-09T00:00:00"/>
    <x v="9"/>
    <n v="4554.75"/>
    <n v="0"/>
    <x v="1"/>
    <n v="0"/>
    <x v="3027"/>
    <n v="45547.5"/>
    <x v="0"/>
    <n v="2024"/>
  </r>
  <r>
    <s v="TXN03030"/>
    <x v="10"/>
    <x v="1"/>
    <x v="12"/>
    <x v="2"/>
    <d v="2025-10-16T00:00:00"/>
    <x v="8"/>
    <n v="6176.22"/>
    <n v="5"/>
    <x v="0"/>
    <n v="308.81"/>
    <x v="3028"/>
    <n v="5867.41"/>
    <x v="4"/>
    <n v="2025"/>
  </r>
  <r>
    <s v="TXN03031"/>
    <x v="5"/>
    <x v="0"/>
    <x v="1"/>
    <x v="0"/>
    <d v="2025-12-06T00:00:00"/>
    <x v="1"/>
    <n v="3603.1"/>
    <n v="15"/>
    <x v="3"/>
    <n v="2161.86"/>
    <x v="3029"/>
    <n v="12250.54"/>
    <x v="3"/>
    <n v="2025"/>
  </r>
  <r>
    <s v="TXN03032"/>
    <x v="11"/>
    <x v="3"/>
    <x v="21"/>
    <x v="2"/>
    <d v="2024-08-24T00:00:00"/>
    <x v="5"/>
    <n v="2609.0500000000002"/>
    <n v="5"/>
    <x v="5"/>
    <n v="260.91000000000003"/>
    <x v="3030"/>
    <n v="4957.1899999999996"/>
    <x v="0"/>
    <n v="2024"/>
  </r>
  <r>
    <s v="TXN03033"/>
    <x v="13"/>
    <x v="4"/>
    <x v="17"/>
    <x v="6"/>
    <d v="2024-02-14T00:00:00"/>
    <x v="0"/>
    <n v="3905.16"/>
    <n v="15"/>
    <x v="2"/>
    <n v="1757.32"/>
    <x v="3031"/>
    <n v="9958.16"/>
    <x v="2"/>
    <n v="2024"/>
  </r>
  <r>
    <s v="TXN03034"/>
    <x v="14"/>
    <x v="3"/>
    <x v="16"/>
    <x v="0"/>
    <d v="2024-09-20T00:00:00"/>
    <x v="7"/>
    <n v="1718.06"/>
    <n v="20"/>
    <x v="5"/>
    <n v="1718.06"/>
    <x v="3032"/>
    <n v="6872.24"/>
    <x v="7"/>
    <n v="2024"/>
  </r>
  <r>
    <s v="TXN03035"/>
    <x v="3"/>
    <x v="1"/>
    <x v="12"/>
    <x v="0"/>
    <d v="2025-12-11T00:00:00"/>
    <x v="7"/>
    <n v="7467.45"/>
    <n v="5"/>
    <x v="4"/>
    <n v="1866.86"/>
    <x v="3033"/>
    <n v="35470.39"/>
    <x v="3"/>
    <n v="2025"/>
  </r>
  <r>
    <s v="TXN03036"/>
    <x v="6"/>
    <x v="2"/>
    <x v="10"/>
    <x v="6"/>
    <d v="2025-10-07T00:00:00"/>
    <x v="6"/>
    <n v="2558.0300000000002"/>
    <n v="20"/>
    <x v="1"/>
    <n v="4604.45"/>
    <x v="3034"/>
    <n v="18417.82"/>
    <x v="4"/>
    <n v="2025"/>
  </r>
  <r>
    <s v="TXN03037"/>
    <x v="3"/>
    <x v="2"/>
    <x v="9"/>
    <x v="2"/>
    <d v="2025-06-26T00:00:00"/>
    <x v="1"/>
    <n v="4368.82"/>
    <n v="10"/>
    <x v="5"/>
    <n v="1747.53"/>
    <x v="3035"/>
    <n v="15727.75"/>
    <x v="5"/>
    <n v="2025"/>
  </r>
  <r>
    <s v="TXN03038"/>
    <x v="1"/>
    <x v="3"/>
    <x v="16"/>
    <x v="4"/>
    <d v="2025-09-03T00:00:00"/>
    <x v="3"/>
    <n v="1406.03"/>
    <n v="15"/>
    <x v="3"/>
    <n v="1265.43"/>
    <x v="3036"/>
    <n v="7170.75"/>
    <x v="7"/>
    <n v="2025"/>
  </r>
  <r>
    <s v="TXN03039"/>
    <x v="13"/>
    <x v="2"/>
    <x v="9"/>
    <x v="0"/>
    <d v="2025-01-24T00:00:00"/>
    <x v="8"/>
    <n v="4314.08"/>
    <n v="15"/>
    <x v="2"/>
    <n v="647.11"/>
    <x v="3037"/>
    <n v="3666.97"/>
    <x v="10"/>
    <n v="2025"/>
  </r>
  <r>
    <s v="TXN03040"/>
    <x v="4"/>
    <x v="0"/>
    <x v="24"/>
    <x v="4"/>
    <d v="2025-07-08T00:00:00"/>
    <x v="4"/>
    <n v="6353.35"/>
    <n v="0"/>
    <x v="4"/>
    <n v="0"/>
    <x v="3038"/>
    <n v="44473.45"/>
    <x v="11"/>
    <n v="2025"/>
  </r>
  <r>
    <s v="TXN03041"/>
    <x v="4"/>
    <x v="3"/>
    <x v="16"/>
    <x v="2"/>
    <d v="2025-03-07T00:00:00"/>
    <x v="4"/>
    <n v="1356.01"/>
    <n v="5"/>
    <x v="3"/>
    <n v="474.6"/>
    <x v="3039"/>
    <n v="9017.4699999999993"/>
    <x v="6"/>
    <n v="2025"/>
  </r>
  <r>
    <s v="TXN03042"/>
    <x v="3"/>
    <x v="3"/>
    <x v="15"/>
    <x v="6"/>
    <d v="2024-01-28T00:00:00"/>
    <x v="5"/>
    <n v="794.89"/>
    <n v="5"/>
    <x v="5"/>
    <n v="79.489999999999995"/>
    <x v="3040"/>
    <n v="1510.29"/>
    <x v="10"/>
    <n v="2024"/>
  </r>
  <r>
    <s v="TXN03043"/>
    <x v="11"/>
    <x v="0"/>
    <x v="0"/>
    <x v="4"/>
    <d v="2025-03-09T00:00:00"/>
    <x v="2"/>
    <n v="71645.649999999994"/>
    <n v="10"/>
    <x v="7"/>
    <n v="57316.52"/>
    <x v="3041"/>
    <n v="515848.68"/>
    <x v="6"/>
    <n v="2025"/>
  </r>
  <r>
    <s v="TXN03044"/>
    <x v="3"/>
    <x v="4"/>
    <x v="17"/>
    <x v="6"/>
    <d v="2025-08-08T00:00:00"/>
    <x v="8"/>
    <n v="3476.74"/>
    <n v="5"/>
    <x v="6"/>
    <n v="173.84"/>
    <x v="3042"/>
    <n v="3302.9"/>
    <x v="0"/>
    <n v="2025"/>
  </r>
  <r>
    <s v="TXN03045"/>
    <x v="6"/>
    <x v="3"/>
    <x v="20"/>
    <x v="4"/>
    <d v="2025-08-27T00:00:00"/>
    <x v="3"/>
    <n v="3419.14"/>
    <n v="20"/>
    <x v="0"/>
    <n v="4102.97"/>
    <x v="3043"/>
    <n v="16411.87"/>
    <x v="0"/>
    <n v="2025"/>
  </r>
  <r>
    <s v="TXN03046"/>
    <x v="0"/>
    <x v="3"/>
    <x v="15"/>
    <x v="5"/>
    <d v="2025-01-09T00:00:00"/>
    <x v="1"/>
    <n v="739.41"/>
    <n v="10"/>
    <x v="4"/>
    <n v="295.76"/>
    <x v="3044"/>
    <n v="2661.88"/>
    <x v="10"/>
    <n v="2025"/>
  </r>
  <r>
    <s v="TXN03047"/>
    <x v="13"/>
    <x v="4"/>
    <x v="14"/>
    <x v="0"/>
    <d v="2024-05-06T00:00:00"/>
    <x v="9"/>
    <n v="1700.09"/>
    <n v="0"/>
    <x v="6"/>
    <n v="0"/>
    <x v="3045"/>
    <n v="17000.900000000001"/>
    <x v="9"/>
    <n v="2024"/>
  </r>
  <r>
    <s v="TXN03048"/>
    <x v="9"/>
    <x v="2"/>
    <x v="11"/>
    <x v="5"/>
    <d v="2024-11-03T00:00:00"/>
    <x v="4"/>
    <n v="5748.51"/>
    <n v="15"/>
    <x v="2"/>
    <n v="6035.94"/>
    <x v="3046"/>
    <n v="34203.629999999997"/>
    <x v="8"/>
    <n v="2024"/>
  </r>
  <r>
    <s v="TXN03049"/>
    <x v="14"/>
    <x v="3"/>
    <x v="16"/>
    <x v="1"/>
    <d v="2024-07-18T00:00:00"/>
    <x v="3"/>
    <n v="1617.56"/>
    <n v="15"/>
    <x v="0"/>
    <n v="1455.8"/>
    <x v="3047"/>
    <n v="8249.56"/>
    <x v="11"/>
    <n v="2024"/>
  </r>
  <r>
    <s v="TXN03050"/>
    <x v="11"/>
    <x v="3"/>
    <x v="21"/>
    <x v="5"/>
    <d v="2025-01-18T00:00:00"/>
    <x v="2"/>
    <n v="2280.7399999999998"/>
    <n v="5"/>
    <x v="1"/>
    <n v="912.3"/>
    <x v="3048"/>
    <n v="17333.62"/>
    <x v="10"/>
    <n v="2025"/>
  </r>
  <r>
    <s v="TXN03051"/>
    <x v="4"/>
    <x v="1"/>
    <x v="2"/>
    <x v="5"/>
    <d v="2025-07-09T00:00:00"/>
    <x v="7"/>
    <n v="24027.25"/>
    <n v="0"/>
    <x v="7"/>
    <n v="0"/>
    <x v="3049"/>
    <n v="120136.25"/>
    <x v="11"/>
    <n v="2025"/>
  </r>
  <r>
    <s v="TXN03052"/>
    <x v="7"/>
    <x v="0"/>
    <x v="1"/>
    <x v="4"/>
    <d v="2025-09-09T00:00:00"/>
    <x v="3"/>
    <n v="3024.36"/>
    <n v="5"/>
    <x v="1"/>
    <n v="907.31"/>
    <x v="3050"/>
    <n v="17238.849999999999"/>
    <x v="7"/>
    <n v="2025"/>
  </r>
  <r>
    <s v="TXN03053"/>
    <x v="4"/>
    <x v="1"/>
    <x v="13"/>
    <x v="3"/>
    <d v="2025-12-07T00:00:00"/>
    <x v="9"/>
    <n v="14185.39"/>
    <n v="5"/>
    <x v="3"/>
    <n v="7092.69"/>
    <x v="3051"/>
    <n v="134761.21"/>
    <x v="3"/>
    <n v="2025"/>
  </r>
  <r>
    <s v="TXN03054"/>
    <x v="12"/>
    <x v="1"/>
    <x v="13"/>
    <x v="3"/>
    <d v="2024-10-23T00:00:00"/>
    <x v="7"/>
    <n v="12011.73"/>
    <n v="20"/>
    <x v="2"/>
    <n v="12011.73"/>
    <x v="3052"/>
    <n v="48046.92"/>
    <x v="4"/>
    <n v="2024"/>
  </r>
  <r>
    <s v="TXN03055"/>
    <x v="2"/>
    <x v="1"/>
    <x v="4"/>
    <x v="3"/>
    <d v="2025-02-08T00:00:00"/>
    <x v="2"/>
    <n v="7952.12"/>
    <n v="20"/>
    <x v="3"/>
    <n v="12723.39"/>
    <x v="3053"/>
    <n v="50893.57"/>
    <x v="2"/>
    <n v="2025"/>
  </r>
  <r>
    <s v="TXN03056"/>
    <x v="7"/>
    <x v="1"/>
    <x v="4"/>
    <x v="5"/>
    <d v="2024-08-30T00:00:00"/>
    <x v="9"/>
    <n v="9066.1"/>
    <n v="5"/>
    <x v="6"/>
    <n v="4533.05"/>
    <x v="3054"/>
    <n v="86127.95"/>
    <x v="0"/>
    <n v="2024"/>
  </r>
  <r>
    <s v="TXN03057"/>
    <x v="4"/>
    <x v="1"/>
    <x v="8"/>
    <x v="0"/>
    <d v="2024-02-17T00:00:00"/>
    <x v="0"/>
    <n v="38382.980000000003"/>
    <n v="5"/>
    <x v="3"/>
    <n v="5757.45"/>
    <x v="3055"/>
    <n v="109391.49"/>
    <x v="2"/>
    <n v="2024"/>
  </r>
  <r>
    <s v="TXN03058"/>
    <x v="6"/>
    <x v="0"/>
    <x v="1"/>
    <x v="0"/>
    <d v="2024-03-07T00:00:00"/>
    <x v="4"/>
    <n v="3162.64"/>
    <n v="5"/>
    <x v="1"/>
    <n v="1106.92"/>
    <x v="3056"/>
    <n v="21031.56"/>
    <x v="6"/>
    <n v="2024"/>
  </r>
  <r>
    <s v="TXN03059"/>
    <x v="5"/>
    <x v="1"/>
    <x v="8"/>
    <x v="0"/>
    <d v="2024-08-05T00:00:00"/>
    <x v="7"/>
    <n v="40946.44"/>
    <n v="0"/>
    <x v="3"/>
    <n v="0"/>
    <x v="3057"/>
    <n v="204732.2"/>
    <x v="0"/>
    <n v="2024"/>
  </r>
  <r>
    <s v="TXN03060"/>
    <x v="9"/>
    <x v="2"/>
    <x v="11"/>
    <x v="4"/>
    <d v="2025-11-19T00:00:00"/>
    <x v="2"/>
    <n v="5405.67"/>
    <n v="10"/>
    <x v="1"/>
    <n v="4324.54"/>
    <x v="3058"/>
    <n v="38920.82"/>
    <x v="8"/>
    <n v="2025"/>
  </r>
  <r>
    <s v="TXN03061"/>
    <x v="4"/>
    <x v="0"/>
    <x v="3"/>
    <x v="0"/>
    <d v="2024-05-09T00:00:00"/>
    <x v="4"/>
    <n v="16459.11"/>
    <n v="15"/>
    <x v="5"/>
    <n v="17282.07"/>
    <x v="3059"/>
    <n v="97931.7"/>
    <x v="9"/>
    <n v="2024"/>
  </r>
  <r>
    <s v="TXN03062"/>
    <x v="12"/>
    <x v="3"/>
    <x v="16"/>
    <x v="2"/>
    <d v="2024-07-25T00:00:00"/>
    <x v="6"/>
    <n v="1709.77"/>
    <n v="0"/>
    <x v="7"/>
    <n v="0"/>
    <x v="3060"/>
    <n v="15387.93"/>
    <x v="11"/>
    <n v="2024"/>
  </r>
  <r>
    <s v="TXN03063"/>
    <x v="0"/>
    <x v="0"/>
    <x v="0"/>
    <x v="3"/>
    <d v="2024-10-18T00:00:00"/>
    <x v="1"/>
    <n v="68165.31"/>
    <n v="5"/>
    <x v="2"/>
    <n v="13633.06"/>
    <x v="3061"/>
    <n v="259028.18"/>
    <x v="4"/>
    <n v="2024"/>
  </r>
  <r>
    <s v="TXN03064"/>
    <x v="8"/>
    <x v="1"/>
    <x v="2"/>
    <x v="2"/>
    <d v="2024-05-11T00:00:00"/>
    <x v="2"/>
    <n v="25308.75"/>
    <n v="15"/>
    <x v="3"/>
    <n v="30370.5"/>
    <x v="3062"/>
    <n v="172099.5"/>
    <x v="9"/>
    <n v="2024"/>
  </r>
  <r>
    <s v="TXN03065"/>
    <x v="6"/>
    <x v="1"/>
    <x v="13"/>
    <x v="5"/>
    <d v="2025-02-11T00:00:00"/>
    <x v="4"/>
    <n v="13585.74"/>
    <n v="15"/>
    <x v="1"/>
    <n v="14265.03"/>
    <x v="3063"/>
    <n v="80835.149999999994"/>
    <x v="2"/>
    <n v="2025"/>
  </r>
  <r>
    <s v="TXN03066"/>
    <x v="13"/>
    <x v="0"/>
    <x v="24"/>
    <x v="4"/>
    <d v="2024-02-23T00:00:00"/>
    <x v="1"/>
    <n v="6962.29"/>
    <n v="0"/>
    <x v="5"/>
    <n v="0"/>
    <x v="3064"/>
    <n v="27849.16"/>
    <x v="2"/>
    <n v="2024"/>
  </r>
  <r>
    <s v="TXN03067"/>
    <x v="3"/>
    <x v="3"/>
    <x v="21"/>
    <x v="4"/>
    <d v="2024-05-18T00:00:00"/>
    <x v="7"/>
    <n v="2303.0100000000002"/>
    <n v="0"/>
    <x v="4"/>
    <n v="0"/>
    <x v="3065"/>
    <n v="11515.05"/>
    <x v="9"/>
    <n v="2024"/>
  </r>
  <r>
    <s v="TXN03068"/>
    <x v="0"/>
    <x v="4"/>
    <x v="19"/>
    <x v="1"/>
    <d v="2025-05-22T00:00:00"/>
    <x v="7"/>
    <n v="7237.01"/>
    <n v="15"/>
    <x v="3"/>
    <n v="5427.76"/>
    <x v="3066"/>
    <n v="30757.29"/>
    <x v="9"/>
    <n v="2025"/>
  </r>
  <r>
    <s v="TXN03069"/>
    <x v="9"/>
    <x v="4"/>
    <x v="19"/>
    <x v="4"/>
    <d v="2025-04-09T00:00:00"/>
    <x v="4"/>
    <n v="7475.44"/>
    <n v="20"/>
    <x v="2"/>
    <n v="10465.620000000001"/>
    <x v="3067"/>
    <n v="41862.46"/>
    <x v="1"/>
    <n v="2025"/>
  </r>
  <r>
    <s v="TXN03070"/>
    <x v="4"/>
    <x v="0"/>
    <x v="24"/>
    <x v="4"/>
    <d v="2024-02-10T00:00:00"/>
    <x v="1"/>
    <n v="7536.53"/>
    <n v="5"/>
    <x v="1"/>
    <n v="1507.31"/>
    <x v="3068"/>
    <n v="28638.81"/>
    <x v="2"/>
    <n v="2024"/>
  </r>
  <r>
    <s v="TXN03071"/>
    <x v="8"/>
    <x v="2"/>
    <x v="22"/>
    <x v="3"/>
    <d v="2024-09-25T00:00:00"/>
    <x v="4"/>
    <n v="974.01"/>
    <n v="10"/>
    <x v="2"/>
    <n v="681.81"/>
    <x v="3069"/>
    <n v="6136.26"/>
    <x v="7"/>
    <n v="2024"/>
  </r>
  <r>
    <s v="TXN03072"/>
    <x v="5"/>
    <x v="2"/>
    <x v="9"/>
    <x v="0"/>
    <d v="2025-10-23T00:00:00"/>
    <x v="9"/>
    <n v="4713.47"/>
    <n v="20"/>
    <x v="6"/>
    <n v="9426.94"/>
    <x v="3070"/>
    <n v="37707.760000000002"/>
    <x v="4"/>
    <n v="2025"/>
  </r>
  <r>
    <s v="TXN03073"/>
    <x v="0"/>
    <x v="1"/>
    <x v="8"/>
    <x v="3"/>
    <d v="2025-08-11T00:00:00"/>
    <x v="6"/>
    <n v="43080.67"/>
    <n v="20"/>
    <x v="6"/>
    <n v="77545.210000000006"/>
    <x v="3071"/>
    <n v="310180.82"/>
    <x v="0"/>
    <n v="2025"/>
  </r>
  <r>
    <s v="TXN03074"/>
    <x v="12"/>
    <x v="0"/>
    <x v="3"/>
    <x v="2"/>
    <d v="2024-02-05T00:00:00"/>
    <x v="9"/>
    <n v="19530.419999999998"/>
    <n v="10"/>
    <x v="2"/>
    <n v="19530.419999999998"/>
    <x v="3072"/>
    <n v="175773.78"/>
    <x v="2"/>
    <n v="2024"/>
  </r>
  <r>
    <s v="TXN03075"/>
    <x v="4"/>
    <x v="3"/>
    <x v="15"/>
    <x v="0"/>
    <d v="2024-05-26T00:00:00"/>
    <x v="4"/>
    <n v="875.02"/>
    <n v="15"/>
    <x v="0"/>
    <n v="918.77"/>
    <x v="3073"/>
    <n v="5206.37"/>
    <x v="9"/>
    <n v="2024"/>
  </r>
  <r>
    <s v="TXN03076"/>
    <x v="7"/>
    <x v="3"/>
    <x v="7"/>
    <x v="4"/>
    <d v="2025-08-27T00:00:00"/>
    <x v="7"/>
    <n v="2021.93"/>
    <n v="0"/>
    <x v="0"/>
    <n v="0"/>
    <x v="3074"/>
    <n v="10109.65"/>
    <x v="0"/>
    <n v="2025"/>
  </r>
  <r>
    <s v="TXN03077"/>
    <x v="7"/>
    <x v="1"/>
    <x v="12"/>
    <x v="2"/>
    <d v="2025-11-07T00:00:00"/>
    <x v="5"/>
    <n v="6483.75"/>
    <n v="10"/>
    <x v="7"/>
    <n v="1296.75"/>
    <x v="3075"/>
    <n v="11670.75"/>
    <x v="8"/>
    <n v="2025"/>
  </r>
  <r>
    <s v="TXN03078"/>
    <x v="2"/>
    <x v="2"/>
    <x v="22"/>
    <x v="0"/>
    <d v="2024-01-05T00:00:00"/>
    <x v="5"/>
    <n v="851.05"/>
    <n v="15"/>
    <x v="1"/>
    <n v="255.31"/>
    <x v="3076"/>
    <n v="1446.79"/>
    <x v="10"/>
    <n v="2024"/>
  </r>
  <r>
    <s v="TXN03079"/>
    <x v="7"/>
    <x v="4"/>
    <x v="18"/>
    <x v="4"/>
    <d v="2025-05-24T00:00:00"/>
    <x v="7"/>
    <n v="11317.87"/>
    <n v="5"/>
    <x v="4"/>
    <n v="2829.47"/>
    <x v="3077"/>
    <n v="53759.88"/>
    <x v="9"/>
    <n v="2025"/>
  </r>
  <r>
    <s v="TXN03080"/>
    <x v="0"/>
    <x v="3"/>
    <x v="16"/>
    <x v="5"/>
    <d v="2024-03-06T00:00:00"/>
    <x v="6"/>
    <n v="1640.38"/>
    <n v="20"/>
    <x v="6"/>
    <n v="2952.68"/>
    <x v="3078"/>
    <n v="11810.74"/>
    <x v="6"/>
    <n v="2024"/>
  </r>
  <r>
    <s v="TXN03081"/>
    <x v="2"/>
    <x v="1"/>
    <x v="13"/>
    <x v="5"/>
    <d v="2024-02-29T00:00:00"/>
    <x v="3"/>
    <n v="12771.79"/>
    <n v="10"/>
    <x v="6"/>
    <n v="7663.07"/>
    <x v="3079"/>
    <n v="68967.67"/>
    <x v="2"/>
    <n v="2024"/>
  </r>
  <r>
    <s v="TXN03082"/>
    <x v="9"/>
    <x v="0"/>
    <x v="24"/>
    <x v="1"/>
    <d v="2025-12-15T00:00:00"/>
    <x v="5"/>
    <n v="8830.84"/>
    <n v="5"/>
    <x v="2"/>
    <n v="883.08"/>
    <x v="3080"/>
    <n v="16778.599999999999"/>
    <x v="3"/>
    <n v="2025"/>
  </r>
  <r>
    <s v="TXN03083"/>
    <x v="8"/>
    <x v="3"/>
    <x v="21"/>
    <x v="0"/>
    <d v="2024-11-09T00:00:00"/>
    <x v="2"/>
    <n v="2988.97"/>
    <n v="20"/>
    <x v="2"/>
    <n v="4782.3500000000004"/>
    <x v="3081"/>
    <n v="19129.41"/>
    <x v="8"/>
    <n v="2024"/>
  </r>
  <r>
    <s v="TXN03084"/>
    <x v="4"/>
    <x v="2"/>
    <x v="11"/>
    <x v="0"/>
    <d v="2024-01-26T00:00:00"/>
    <x v="3"/>
    <n v="5144.1400000000003"/>
    <n v="15"/>
    <x v="2"/>
    <n v="4629.7299999999996"/>
    <x v="3082"/>
    <n v="26235.11"/>
    <x v="10"/>
    <n v="2024"/>
  </r>
  <r>
    <s v="TXN03085"/>
    <x v="12"/>
    <x v="2"/>
    <x v="22"/>
    <x v="3"/>
    <d v="2024-07-16T00:00:00"/>
    <x v="6"/>
    <n v="864.32"/>
    <n v="0"/>
    <x v="2"/>
    <n v="0"/>
    <x v="3083"/>
    <n v="7778.88"/>
    <x v="11"/>
    <n v="2024"/>
  </r>
  <r>
    <s v="TXN03086"/>
    <x v="7"/>
    <x v="2"/>
    <x v="9"/>
    <x v="4"/>
    <d v="2024-05-02T00:00:00"/>
    <x v="8"/>
    <n v="4994.34"/>
    <n v="0"/>
    <x v="2"/>
    <n v="0"/>
    <x v="3084"/>
    <n v="4994.34"/>
    <x v="9"/>
    <n v="2024"/>
  </r>
  <r>
    <s v="TXN03087"/>
    <x v="1"/>
    <x v="2"/>
    <x v="5"/>
    <x v="1"/>
    <d v="2025-02-14T00:00:00"/>
    <x v="0"/>
    <n v="1082.22"/>
    <n v="15"/>
    <x v="2"/>
    <n v="487"/>
    <x v="3085"/>
    <n v="2759.66"/>
    <x v="2"/>
    <n v="2025"/>
  </r>
  <r>
    <s v="TXN03088"/>
    <x v="14"/>
    <x v="3"/>
    <x v="20"/>
    <x v="0"/>
    <d v="2025-12-01T00:00:00"/>
    <x v="6"/>
    <n v="3856.11"/>
    <n v="10"/>
    <x v="6"/>
    <n v="3470.5"/>
    <x v="3086"/>
    <n v="31234.49"/>
    <x v="3"/>
    <n v="2025"/>
  </r>
  <r>
    <s v="TXN03089"/>
    <x v="8"/>
    <x v="3"/>
    <x v="16"/>
    <x v="6"/>
    <d v="2024-11-26T00:00:00"/>
    <x v="3"/>
    <n v="1795.04"/>
    <n v="10"/>
    <x v="2"/>
    <n v="1077.02"/>
    <x v="3087"/>
    <n v="9693.2199999999993"/>
    <x v="8"/>
    <n v="2024"/>
  </r>
  <r>
    <s v="TXN03090"/>
    <x v="6"/>
    <x v="4"/>
    <x v="19"/>
    <x v="4"/>
    <d v="2025-04-26T00:00:00"/>
    <x v="4"/>
    <n v="7749.19"/>
    <n v="0"/>
    <x v="4"/>
    <n v="0"/>
    <x v="3088"/>
    <n v="54244.33"/>
    <x v="1"/>
    <n v="2025"/>
  </r>
  <r>
    <s v="TXN03091"/>
    <x v="9"/>
    <x v="0"/>
    <x v="24"/>
    <x v="5"/>
    <d v="2025-06-17T00:00:00"/>
    <x v="4"/>
    <n v="7714.62"/>
    <n v="5"/>
    <x v="5"/>
    <n v="2700.12"/>
    <x v="3089"/>
    <n v="51302.22"/>
    <x v="5"/>
    <n v="2025"/>
  </r>
  <r>
    <s v="TXN03092"/>
    <x v="3"/>
    <x v="3"/>
    <x v="15"/>
    <x v="1"/>
    <d v="2025-01-26T00:00:00"/>
    <x v="3"/>
    <n v="771.07"/>
    <n v="0"/>
    <x v="2"/>
    <n v="0"/>
    <x v="3090"/>
    <n v="4626.42"/>
    <x v="10"/>
    <n v="2025"/>
  </r>
  <r>
    <s v="TXN03093"/>
    <x v="14"/>
    <x v="1"/>
    <x v="13"/>
    <x v="0"/>
    <d v="2024-09-23T00:00:00"/>
    <x v="5"/>
    <n v="13109.52"/>
    <n v="20"/>
    <x v="4"/>
    <n v="5243.81"/>
    <x v="3091"/>
    <n v="20975.23"/>
    <x v="7"/>
    <n v="2024"/>
  </r>
  <r>
    <s v="TXN03094"/>
    <x v="14"/>
    <x v="2"/>
    <x v="9"/>
    <x v="0"/>
    <d v="2024-05-27T00:00:00"/>
    <x v="1"/>
    <n v="4276.79"/>
    <n v="15"/>
    <x v="1"/>
    <n v="2566.0700000000002"/>
    <x v="3092"/>
    <n v="14541.09"/>
    <x v="9"/>
    <n v="2024"/>
  </r>
  <r>
    <s v="TXN03095"/>
    <x v="13"/>
    <x v="2"/>
    <x v="9"/>
    <x v="6"/>
    <d v="2024-11-21T00:00:00"/>
    <x v="2"/>
    <n v="5528.24"/>
    <n v="0"/>
    <x v="0"/>
    <n v="0"/>
    <x v="3093"/>
    <n v="44225.919999999998"/>
    <x v="8"/>
    <n v="2024"/>
  </r>
  <r>
    <s v="TXN03096"/>
    <x v="2"/>
    <x v="4"/>
    <x v="17"/>
    <x v="5"/>
    <d v="2024-02-16T00:00:00"/>
    <x v="9"/>
    <n v="3411.01"/>
    <n v="10"/>
    <x v="0"/>
    <n v="3411.01"/>
    <x v="3094"/>
    <n v="30699.09"/>
    <x v="2"/>
    <n v="2024"/>
  </r>
  <r>
    <s v="TXN03097"/>
    <x v="9"/>
    <x v="1"/>
    <x v="13"/>
    <x v="2"/>
    <d v="2024-03-03T00:00:00"/>
    <x v="0"/>
    <n v="10935.67"/>
    <n v="10"/>
    <x v="2"/>
    <n v="3280.7"/>
    <x v="3095"/>
    <n v="29526.31"/>
    <x v="6"/>
    <n v="2024"/>
  </r>
  <r>
    <s v="TXN03098"/>
    <x v="12"/>
    <x v="0"/>
    <x v="1"/>
    <x v="2"/>
    <d v="2024-02-01T00:00:00"/>
    <x v="9"/>
    <n v="3282.64"/>
    <n v="10"/>
    <x v="0"/>
    <n v="3282.64"/>
    <x v="3096"/>
    <n v="29543.759999999998"/>
    <x v="2"/>
    <n v="2024"/>
  </r>
  <r>
    <s v="TXN03099"/>
    <x v="5"/>
    <x v="0"/>
    <x v="6"/>
    <x v="2"/>
    <d v="2025-08-20T00:00:00"/>
    <x v="4"/>
    <n v="26487.31"/>
    <n v="20"/>
    <x v="1"/>
    <n v="37082.230000000003"/>
    <x v="3097"/>
    <n v="148328.94"/>
    <x v="0"/>
    <n v="2025"/>
  </r>
  <r>
    <s v="TXN03100"/>
    <x v="11"/>
    <x v="4"/>
    <x v="14"/>
    <x v="3"/>
    <d v="2024-05-18T00:00:00"/>
    <x v="7"/>
    <n v="1476.24"/>
    <n v="5"/>
    <x v="6"/>
    <n v="369.06"/>
    <x v="3098"/>
    <n v="7012.14"/>
    <x v="9"/>
    <n v="2024"/>
  </r>
  <r>
    <s v="TXN03101"/>
    <x v="6"/>
    <x v="2"/>
    <x v="22"/>
    <x v="4"/>
    <d v="2025-02-02T00:00:00"/>
    <x v="9"/>
    <n v="870.82"/>
    <n v="0"/>
    <x v="5"/>
    <n v="0"/>
    <x v="3099"/>
    <n v="8708.2000000000007"/>
    <x v="2"/>
    <n v="2025"/>
  </r>
  <r>
    <s v="TXN03102"/>
    <x v="14"/>
    <x v="3"/>
    <x v="20"/>
    <x v="1"/>
    <d v="2024-07-28T00:00:00"/>
    <x v="3"/>
    <n v="3809.32"/>
    <n v="15"/>
    <x v="6"/>
    <n v="3428.39"/>
    <x v="3100"/>
    <n v="19427.53"/>
    <x v="11"/>
    <n v="2024"/>
  </r>
  <r>
    <s v="TXN03103"/>
    <x v="9"/>
    <x v="4"/>
    <x v="19"/>
    <x v="1"/>
    <d v="2025-05-25T00:00:00"/>
    <x v="1"/>
    <n v="8346.07"/>
    <n v="0"/>
    <x v="5"/>
    <n v="0"/>
    <x v="3101"/>
    <n v="33384.28"/>
    <x v="9"/>
    <n v="2025"/>
  </r>
  <r>
    <s v="TXN03104"/>
    <x v="4"/>
    <x v="3"/>
    <x v="21"/>
    <x v="2"/>
    <d v="2024-05-23T00:00:00"/>
    <x v="4"/>
    <n v="2250.6799999999998"/>
    <n v="20"/>
    <x v="1"/>
    <n v="3150.95"/>
    <x v="3102"/>
    <n v="12603.81"/>
    <x v="9"/>
    <n v="2024"/>
  </r>
  <r>
    <s v="TXN03105"/>
    <x v="7"/>
    <x v="3"/>
    <x v="20"/>
    <x v="2"/>
    <d v="2024-08-26T00:00:00"/>
    <x v="5"/>
    <n v="3459.55"/>
    <n v="20"/>
    <x v="1"/>
    <n v="1383.82"/>
    <x v="3103"/>
    <n v="5535.28"/>
    <x v="0"/>
    <n v="2024"/>
  </r>
  <r>
    <s v="TXN03106"/>
    <x v="3"/>
    <x v="2"/>
    <x v="5"/>
    <x v="6"/>
    <d v="2025-09-17T00:00:00"/>
    <x v="8"/>
    <n v="1220.5899999999999"/>
    <n v="10"/>
    <x v="4"/>
    <n v="122.06"/>
    <x v="3104"/>
    <n v="1098.53"/>
    <x v="7"/>
    <n v="2025"/>
  </r>
  <r>
    <s v="TXN03107"/>
    <x v="2"/>
    <x v="1"/>
    <x v="12"/>
    <x v="1"/>
    <d v="2025-11-11T00:00:00"/>
    <x v="2"/>
    <n v="6717.42"/>
    <n v="20"/>
    <x v="6"/>
    <n v="10747.87"/>
    <x v="3105"/>
    <n v="42991.49"/>
    <x v="8"/>
    <n v="2025"/>
  </r>
  <r>
    <s v="TXN03108"/>
    <x v="3"/>
    <x v="4"/>
    <x v="23"/>
    <x v="6"/>
    <d v="2024-04-26T00:00:00"/>
    <x v="7"/>
    <n v="9166.73"/>
    <n v="15"/>
    <x v="5"/>
    <n v="6875.05"/>
    <x v="3106"/>
    <n v="38958.6"/>
    <x v="1"/>
    <n v="2024"/>
  </r>
  <r>
    <s v="TXN03109"/>
    <x v="0"/>
    <x v="3"/>
    <x v="21"/>
    <x v="4"/>
    <d v="2024-01-04T00:00:00"/>
    <x v="6"/>
    <n v="2576.2399999999998"/>
    <n v="5"/>
    <x v="0"/>
    <n v="1159.31"/>
    <x v="3107"/>
    <n v="22026.85"/>
    <x v="10"/>
    <n v="2024"/>
  </r>
  <r>
    <s v="TXN03110"/>
    <x v="10"/>
    <x v="2"/>
    <x v="22"/>
    <x v="2"/>
    <d v="2025-12-14T00:00:00"/>
    <x v="6"/>
    <n v="1090.48"/>
    <n v="10"/>
    <x v="2"/>
    <n v="981.43"/>
    <x v="3108"/>
    <n v="8832.89"/>
    <x v="3"/>
    <n v="2025"/>
  </r>
  <r>
    <s v="TXN03111"/>
    <x v="1"/>
    <x v="0"/>
    <x v="1"/>
    <x v="4"/>
    <d v="2025-10-24T00:00:00"/>
    <x v="1"/>
    <n v="3108.86"/>
    <n v="15"/>
    <x v="0"/>
    <n v="1865.32"/>
    <x v="3109"/>
    <n v="10570.12"/>
    <x v="4"/>
    <n v="2025"/>
  </r>
  <r>
    <s v="TXN03112"/>
    <x v="0"/>
    <x v="0"/>
    <x v="3"/>
    <x v="6"/>
    <d v="2025-09-29T00:00:00"/>
    <x v="7"/>
    <n v="16945.86"/>
    <n v="15"/>
    <x v="2"/>
    <n v="12709.4"/>
    <x v="3110"/>
    <n v="72019.899999999994"/>
    <x v="7"/>
    <n v="2025"/>
  </r>
  <r>
    <s v="TXN03113"/>
    <x v="14"/>
    <x v="4"/>
    <x v="19"/>
    <x v="6"/>
    <d v="2024-04-11T00:00:00"/>
    <x v="2"/>
    <n v="7584.94"/>
    <n v="0"/>
    <x v="0"/>
    <n v="0"/>
    <x v="3111"/>
    <n v="60679.519999999997"/>
    <x v="1"/>
    <n v="2024"/>
  </r>
  <r>
    <s v="TXN03114"/>
    <x v="7"/>
    <x v="4"/>
    <x v="23"/>
    <x v="3"/>
    <d v="2025-11-03T00:00:00"/>
    <x v="5"/>
    <n v="10921.71"/>
    <n v="20"/>
    <x v="0"/>
    <n v="4368.68"/>
    <x v="3112"/>
    <n v="17474.740000000002"/>
    <x v="8"/>
    <n v="2025"/>
  </r>
  <r>
    <s v="TXN03115"/>
    <x v="9"/>
    <x v="0"/>
    <x v="24"/>
    <x v="6"/>
    <d v="2024-10-28T00:00:00"/>
    <x v="0"/>
    <n v="8636.23"/>
    <n v="10"/>
    <x v="3"/>
    <n v="2590.87"/>
    <x v="3113"/>
    <n v="23317.82"/>
    <x v="4"/>
    <n v="2024"/>
  </r>
  <r>
    <s v="TXN03116"/>
    <x v="5"/>
    <x v="3"/>
    <x v="21"/>
    <x v="5"/>
    <d v="2025-03-06T00:00:00"/>
    <x v="0"/>
    <n v="2397.23"/>
    <n v="15"/>
    <x v="1"/>
    <n v="1078.75"/>
    <x v="3114"/>
    <n v="6112.94"/>
    <x v="6"/>
    <n v="2025"/>
  </r>
  <r>
    <s v="TXN03117"/>
    <x v="8"/>
    <x v="1"/>
    <x v="13"/>
    <x v="5"/>
    <d v="2025-04-06T00:00:00"/>
    <x v="9"/>
    <n v="12307.76"/>
    <n v="20"/>
    <x v="7"/>
    <n v="24615.52"/>
    <x v="3115"/>
    <n v="98462.080000000002"/>
    <x v="1"/>
    <n v="2025"/>
  </r>
  <r>
    <s v="TXN03118"/>
    <x v="14"/>
    <x v="0"/>
    <x v="6"/>
    <x v="4"/>
    <d v="2025-04-27T00:00:00"/>
    <x v="9"/>
    <n v="22853.84"/>
    <n v="15"/>
    <x v="0"/>
    <n v="34280.76"/>
    <x v="3116"/>
    <n v="194257.64"/>
    <x v="1"/>
    <n v="2025"/>
  </r>
  <r>
    <s v="TXN03119"/>
    <x v="4"/>
    <x v="3"/>
    <x v="20"/>
    <x v="3"/>
    <d v="2024-02-26T00:00:00"/>
    <x v="6"/>
    <n v="3395.5"/>
    <n v="15"/>
    <x v="6"/>
    <n v="4583.93"/>
    <x v="3117"/>
    <n v="25975.57"/>
    <x v="2"/>
    <n v="2024"/>
  </r>
  <r>
    <s v="TXN03120"/>
    <x v="3"/>
    <x v="4"/>
    <x v="14"/>
    <x v="2"/>
    <d v="2024-03-13T00:00:00"/>
    <x v="2"/>
    <n v="1507.77"/>
    <n v="10"/>
    <x v="4"/>
    <n v="1206.22"/>
    <x v="3118"/>
    <n v="10855.94"/>
    <x v="6"/>
    <n v="2024"/>
  </r>
  <r>
    <s v="TXN03121"/>
    <x v="12"/>
    <x v="3"/>
    <x v="7"/>
    <x v="6"/>
    <d v="2025-07-11T00:00:00"/>
    <x v="6"/>
    <n v="1900.94"/>
    <n v="0"/>
    <x v="7"/>
    <n v="0"/>
    <x v="3119"/>
    <n v="17108.46"/>
    <x v="11"/>
    <n v="2025"/>
  </r>
  <r>
    <s v="TXN03122"/>
    <x v="11"/>
    <x v="4"/>
    <x v="18"/>
    <x v="6"/>
    <d v="2024-12-27T00:00:00"/>
    <x v="9"/>
    <n v="12093.85"/>
    <n v="15"/>
    <x v="7"/>
    <n v="18140.77"/>
    <x v="3120"/>
    <n v="102797.73"/>
    <x v="3"/>
    <n v="2024"/>
  </r>
  <r>
    <s v="TXN03123"/>
    <x v="9"/>
    <x v="2"/>
    <x v="10"/>
    <x v="6"/>
    <d v="2025-01-13T00:00:00"/>
    <x v="6"/>
    <n v="2867.23"/>
    <n v="15"/>
    <x v="4"/>
    <n v="3870.76"/>
    <x v="3121"/>
    <n v="21934.31"/>
    <x v="10"/>
    <n v="2025"/>
  </r>
  <r>
    <s v="TXN03124"/>
    <x v="4"/>
    <x v="1"/>
    <x v="2"/>
    <x v="6"/>
    <d v="2025-06-01T00:00:00"/>
    <x v="7"/>
    <n v="25940.59"/>
    <n v="15"/>
    <x v="0"/>
    <n v="19455.439999999999"/>
    <x v="3122"/>
    <n v="110247.51"/>
    <x v="5"/>
    <n v="2025"/>
  </r>
  <r>
    <s v="TXN03125"/>
    <x v="9"/>
    <x v="4"/>
    <x v="18"/>
    <x v="1"/>
    <d v="2024-01-18T00:00:00"/>
    <x v="2"/>
    <n v="11995.78"/>
    <n v="5"/>
    <x v="3"/>
    <n v="4798.3100000000004"/>
    <x v="3123"/>
    <n v="91167.93"/>
    <x v="10"/>
    <n v="2024"/>
  </r>
  <r>
    <s v="TXN03126"/>
    <x v="1"/>
    <x v="1"/>
    <x v="8"/>
    <x v="2"/>
    <d v="2024-07-03T00:00:00"/>
    <x v="5"/>
    <n v="45356.54"/>
    <n v="20"/>
    <x v="7"/>
    <n v="18142.62"/>
    <x v="3124"/>
    <n v="72570.460000000006"/>
    <x v="11"/>
    <n v="2024"/>
  </r>
  <r>
    <s v="TXN03127"/>
    <x v="0"/>
    <x v="0"/>
    <x v="3"/>
    <x v="1"/>
    <d v="2024-06-07T00:00:00"/>
    <x v="9"/>
    <n v="19111.68"/>
    <n v="20"/>
    <x v="7"/>
    <n v="38223.360000000001"/>
    <x v="3125"/>
    <n v="152893.44"/>
    <x v="5"/>
    <n v="2024"/>
  </r>
  <r>
    <s v="TXN03128"/>
    <x v="4"/>
    <x v="2"/>
    <x v="9"/>
    <x v="2"/>
    <d v="2025-06-07T00:00:00"/>
    <x v="0"/>
    <n v="4967.41"/>
    <n v="0"/>
    <x v="7"/>
    <n v="0"/>
    <x v="3126"/>
    <n v="14902.23"/>
    <x v="5"/>
    <n v="2025"/>
  </r>
  <r>
    <s v="TXN03129"/>
    <x v="14"/>
    <x v="4"/>
    <x v="17"/>
    <x v="5"/>
    <d v="2025-09-02T00:00:00"/>
    <x v="8"/>
    <n v="3913.94"/>
    <n v="0"/>
    <x v="2"/>
    <n v="0"/>
    <x v="3127"/>
    <n v="3913.94"/>
    <x v="7"/>
    <n v="2025"/>
  </r>
  <r>
    <s v="TXN03130"/>
    <x v="7"/>
    <x v="4"/>
    <x v="14"/>
    <x v="4"/>
    <d v="2024-05-30T00:00:00"/>
    <x v="9"/>
    <n v="1558.06"/>
    <n v="15"/>
    <x v="6"/>
    <n v="2337.09"/>
    <x v="3128"/>
    <n v="13243.51"/>
    <x v="9"/>
    <n v="2024"/>
  </r>
  <r>
    <s v="TXN03131"/>
    <x v="14"/>
    <x v="2"/>
    <x v="11"/>
    <x v="4"/>
    <d v="2024-10-08T00:00:00"/>
    <x v="6"/>
    <n v="5861.29"/>
    <n v="15"/>
    <x v="0"/>
    <n v="7912.74"/>
    <x v="3129"/>
    <n v="44838.87"/>
    <x v="4"/>
    <n v="2024"/>
  </r>
  <r>
    <s v="TXN03132"/>
    <x v="14"/>
    <x v="3"/>
    <x v="21"/>
    <x v="5"/>
    <d v="2024-09-05T00:00:00"/>
    <x v="3"/>
    <n v="2277.65"/>
    <n v="15"/>
    <x v="1"/>
    <n v="2049.88"/>
    <x v="3130"/>
    <n v="11616.02"/>
    <x v="7"/>
    <n v="2024"/>
  </r>
  <r>
    <s v="TXN03133"/>
    <x v="9"/>
    <x v="3"/>
    <x v="16"/>
    <x v="6"/>
    <d v="2025-06-15T00:00:00"/>
    <x v="1"/>
    <n v="1723.7"/>
    <n v="5"/>
    <x v="2"/>
    <n v="344.74"/>
    <x v="3131"/>
    <n v="6550.06"/>
    <x v="5"/>
    <n v="2025"/>
  </r>
  <r>
    <s v="TXN03134"/>
    <x v="0"/>
    <x v="3"/>
    <x v="20"/>
    <x v="5"/>
    <d v="2025-05-13T00:00:00"/>
    <x v="2"/>
    <n v="3356.61"/>
    <n v="0"/>
    <x v="1"/>
    <n v="0"/>
    <x v="3132"/>
    <n v="26852.880000000001"/>
    <x v="9"/>
    <n v="2025"/>
  </r>
  <r>
    <s v="TXN03135"/>
    <x v="6"/>
    <x v="1"/>
    <x v="13"/>
    <x v="0"/>
    <d v="2024-12-14T00:00:00"/>
    <x v="8"/>
    <n v="14128.44"/>
    <n v="10"/>
    <x v="5"/>
    <n v="1412.84"/>
    <x v="3133"/>
    <n v="12715.6"/>
    <x v="3"/>
    <n v="2024"/>
  </r>
  <r>
    <s v="TXN03136"/>
    <x v="3"/>
    <x v="4"/>
    <x v="17"/>
    <x v="4"/>
    <d v="2025-06-21T00:00:00"/>
    <x v="2"/>
    <n v="3690.63"/>
    <n v="5"/>
    <x v="7"/>
    <n v="1476.25"/>
    <x v="3134"/>
    <n v="28048.79"/>
    <x v="5"/>
    <n v="2025"/>
  </r>
  <r>
    <s v="TXN03137"/>
    <x v="0"/>
    <x v="2"/>
    <x v="22"/>
    <x v="3"/>
    <d v="2024-09-26T00:00:00"/>
    <x v="8"/>
    <n v="880.02"/>
    <n v="20"/>
    <x v="4"/>
    <n v="176"/>
    <x v="3135"/>
    <n v="704.02"/>
    <x v="7"/>
    <n v="2024"/>
  </r>
  <r>
    <s v="TXN03138"/>
    <x v="6"/>
    <x v="2"/>
    <x v="5"/>
    <x v="1"/>
    <d v="2024-03-06T00:00:00"/>
    <x v="7"/>
    <n v="1346.33"/>
    <n v="0"/>
    <x v="4"/>
    <n v="0"/>
    <x v="3136"/>
    <n v="6731.65"/>
    <x v="6"/>
    <n v="2024"/>
  </r>
  <r>
    <s v="TXN03139"/>
    <x v="14"/>
    <x v="0"/>
    <x v="6"/>
    <x v="4"/>
    <d v="2024-02-20T00:00:00"/>
    <x v="1"/>
    <n v="25003.73"/>
    <n v="15"/>
    <x v="5"/>
    <n v="15002.24"/>
    <x v="3137"/>
    <n v="85012.68"/>
    <x v="2"/>
    <n v="2024"/>
  </r>
  <r>
    <s v="TXN03140"/>
    <x v="8"/>
    <x v="0"/>
    <x v="3"/>
    <x v="3"/>
    <d v="2025-06-30T00:00:00"/>
    <x v="9"/>
    <n v="16535.919999999998"/>
    <n v="0"/>
    <x v="2"/>
    <n v="0"/>
    <x v="3138"/>
    <n v="165359.20000000001"/>
    <x v="5"/>
    <n v="2025"/>
  </r>
  <r>
    <s v="TXN03141"/>
    <x v="14"/>
    <x v="2"/>
    <x v="9"/>
    <x v="3"/>
    <d v="2025-09-24T00:00:00"/>
    <x v="2"/>
    <n v="4654.9399999999996"/>
    <n v="5"/>
    <x v="6"/>
    <n v="1861.98"/>
    <x v="3139"/>
    <n v="35377.54"/>
    <x v="7"/>
    <n v="2025"/>
  </r>
  <r>
    <s v="TXN03142"/>
    <x v="10"/>
    <x v="1"/>
    <x v="4"/>
    <x v="3"/>
    <d v="2024-12-31T00:00:00"/>
    <x v="4"/>
    <n v="9047.23"/>
    <n v="10"/>
    <x v="4"/>
    <n v="6333.06"/>
    <x v="3140"/>
    <n v="56997.55"/>
    <x v="3"/>
    <n v="2024"/>
  </r>
  <r>
    <s v="TXN03143"/>
    <x v="12"/>
    <x v="4"/>
    <x v="23"/>
    <x v="3"/>
    <d v="2024-01-26T00:00:00"/>
    <x v="1"/>
    <n v="11048.51"/>
    <n v="15"/>
    <x v="4"/>
    <n v="6629.11"/>
    <x v="3141"/>
    <n v="37564.93"/>
    <x v="10"/>
    <n v="2024"/>
  </r>
  <r>
    <s v="TXN03144"/>
    <x v="4"/>
    <x v="4"/>
    <x v="19"/>
    <x v="1"/>
    <d v="2025-03-18T00:00:00"/>
    <x v="1"/>
    <n v="9075.26"/>
    <n v="20"/>
    <x v="7"/>
    <n v="7260.21"/>
    <x v="3142"/>
    <n v="29040.83"/>
    <x v="6"/>
    <n v="2025"/>
  </r>
  <r>
    <s v="TXN03145"/>
    <x v="2"/>
    <x v="3"/>
    <x v="16"/>
    <x v="3"/>
    <d v="2025-06-02T00:00:00"/>
    <x v="1"/>
    <n v="1675.73"/>
    <n v="10"/>
    <x v="6"/>
    <n v="670.29"/>
    <x v="3143"/>
    <n v="6032.63"/>
    <x v="5"/>
    <n v="2025"/>
  </r>
  <r>
    <s v="TXN03146"/>
    <x v="3"/>
    <x v="2"/>
    <x v="9"/>
    <x v="5"/>
    <d v="2025-09-07T00:00:00"/>
    <x v="0"/>
    <n v="4795.3599999999997"/>
    <n v="5"/>
    <x v="3"/>
    <n v="719.3"/>
    <x v="3144"/>
    <n v="13666.78"/>
    <x v="7"/>
    <n v="2025"/>
  </r>
  <r>
    <s v="TXN03147"/>
    <x v="1"/>
    <x v="0"/>
    <x v="1"/>
    <x v="6"/>
    <d v="2025-12-28T00:00:00"/>
    <x v="8"/>
    <n v="3082.78"/>
    <n v="0"/>
    <x v="0"/>
    <n v="0"/>
    <x v="3145"/>
    <n v="3082.78"/>
    <x v="3"/>
    <n v="2025"/>
  </r>
  <r>
    <s v="TXN03148"/>
    <x v="3"/>
    <x v="3"/>
    <x v="21"/>
    <x v="2"/>
    <d v="2025-10-19T00:00:00"/>
    <x v="0"/>
    <n v="3159.7"/>
    <n v="5"/>
    <x v="4"/>
    <n v="473.96"/>
    <x v="3146"/>
    <n v="9005.14"/>
    <x v="4"/>
    <n v="2025"/>
  </r>
  <r>
    <s v="TXN03149"/>
    <x v="5"/>
    <x v="1"/>
    <x v="13"/>
    <x v="1"/>
    <d v="2025-01-16T00:00:00"/>
    <x v="5"/>
    <n v="12449.97"/>
    <n v="10"/>
    <x v="2"/>
    <n v="2489.9899999999998"/>
    <x v="3147"/>
    <n v="22409.95"/>
    <x v="10"/>
    <n v="2025"/>
  </r>
  <r>
    <s v="TXN03150"/>
    <x v="12"/>
    <x v="2"/>
    <x v="5"/>
    <x v="5"/>
    <d v="2024-01-25T00:00:00"/>
    <x v="2"/>
    <n v="1353.11"/>
    <n v="10"/>
    <x v="2"/>
    <n v="1082.49"/>
    <x v="3148"/>
    <n v="9742.39"/>
    <x v="10"/>
    <n v="2024"/>
  </r>
  <r>
    <s v="TXN03151"/>
    <x v="4"/>
    <x v="3"/>
    <x v="16"/>
    <x v="5"/>
    <d v="2025-02-02T00:00:00"/>
    <x v="0"/>
    <n v="1622.68"/>
    <n v="10"/>
    <x v="4"/>
    <n v="486.8"/>
    <x v="3149"/>
    <n v="4381.24"/>
    <x v="2"/>
    <n v="2025"/>
  </r>
  <r>
    <s v="TXN03152"/>
    <x v="9"/>
    <x v="2"/>
    <x v="22"/>
    <x v="0"/>
    <d v="2025-10-04T00:00:00"/>
    <x v="2"/>
    <n v="957.26"/>
    <n v="20"/>
    <x v="7"/>
    <n v="1531.62"/>
    <x v="3150"/>
    <n v="6126.46"/>
    <x v="4"/>
    <n v="2025"/>
  </r>
  <r>
    <s v="TXN03153"/>
    <x v="6"/>
    <x v="0"/>
    <x v="24"/>
    <x v="5"/>
    <d v="2024-12-10T00:00:00"/>
    <x v="8"/>
    <n v="8755.49"/>
    <n v="5"/>
    <x v="1"/>
    <n v="437.77"/>
    <x v="3151"/>
    <n v="8317.7199999999993"/>
    <x v="3"/>
    <n v="2024"/>
  </r>
  <r>
    <s v="TXN03154"/>
    <x v="8"/>
    <x v="0"/>
    <x v="1"/>
    <x v="1"/>
    <d v="2025-08-01T00:00:00"/>
    <x v="6"/>
    <n v="2753.85"/>
    <n v="10"/>
    <x v="2"/>
    <n v="2478.4699999999998"/>
    <x v="3152"/>
    <n v="22306.18"/>
    <x v="0"/>
    <n v="2025"/>
  </r>
  <r>
    <s v="TXN03155"/>
    <x v="10"/>
    <x v="0"/>
    <x v="6"/>
    <x v="3"/>
    <d v="2024-10-07T00:00:00"/>
    <x v="2"/>
    <n v="27407.9"/>
    <n v="0"/>
    <x v="4"/>
    <n v="0"/>
    <x v="3153"/>
    <n v="219263.2"/>
    <x v="4"/>
    <n v="2024"/>
  </r>
  <r>
    <s v="TXN03156"/>
    <x v="4"/>
    <x v="2"/>
    <x v="22"/>
    <x v="6"/>
    <d v="2025-12-11T00:00:00"/>
    <x v="2"/>
    <n v="1091.69"/>
    <n v="10"/>
    <x v="0"/>
    <n v="873.35"/>
    <x v="3154"/>
    <n v="7860.17"/>
    <x v="3"/>
    <n v="2025"/>
  </r>
  <r>
    <s v="TXN03157"/>
    <x v="12"/>
    <x v="0"/>
    <x v="6"/>
    <x v="3"/>
    <d v="2025-07-02T00:00:00"/>
    <x v="4"/>
    <n v="24303.85"/>
    <n v="5"/>
    <x v="3"/>
    <n v="8506.35"/>
    <x v="3155"/>
    <n v="161620.6"/>
    <x v="11"/>
    <n v="2025"/>
  </r>
  <r>
    <s v="TXN03158"/>
    <x v="10"/>
    <x v="1"/>
    <x v="12"/>
    <x v="4"/>
    <d v="2025-10-11T00:00:00"/>
    <x v="3"/>
    <n v="7539.25"/>
    <n v="0"/>
    <x v="2"/>
    <n v="0"/>
    <x v="3156"/>
    <n v="45235.5"/>
    <x v="4"/>
    <n v="2025"/>
  </r>
  <r>
    <s v="TXN03159"/>
    <x v="1"/>
    <x v="2"/>
    <x v="11"/>
    <x v="2"/>
    <d v="2024-04-29T00:00:00"/>
    <x v="6"/>
    <n v="5613.36"/>
    <n v="15"/>
    <x v="3"/>
    <n v="7578.04"/>
    <x v="3157"/>
    <n v="42942.2"/>
    <x v="1"/>
    <n v="2024"/>
  </r>
  <r>
    <s v="TXN03160"/>
    <x v="11"/>
    <x v="4"/>
    <x v="23"/>
    <x v="1"/>
    <d v="2025-03-01T00:00:00"/>
    <x v="4"/>
    <n v="10088.77"/>
    <n v="0"/>
    <x v="2"/>
    <n v="0"/>
    <x v="3158"/>
    <n v="70621.39"/>
    <x v="6"/>
    <n v="2025"/>
  </r>
  <r>
    <s v="TXN03161"/>
    <x v="3"/>
    <x v="0"/>
    <x v="6"/>
    <x v="2"/>
    <d v="2024-09-03T00:00:00"/>
    <x v="7"/>
    <n v="23586.85"/>
    <n v="0"/>
    <x v="2"/>
    <n v="0"/>
    <x v="3159"/>
    <n v="117934.25"/>
    <x v="7"/>
    <n v="2024"/>
  </r>
  <r>
    <s v="TXN03162"/>
    <x v="7"/>
    <x v="1"/>
    <x v="13"/>
    <x v="2"/>
    <d v="2024-10-02T00:00:00"/>
    <x v="9"/>
    <n v="13821.66"/>
    <n v="0"/>
    <x v="0"/>
    <n v="0"/>
    <x v="3160"/>
    <n v="138216.6"/>
    <x v="4"/>
    <n v="2024"/>
  </r>
  <r>
    <s v="TXN03163"/>
    <x v="0"/>
    <x v="0"/>
    <x v="6"/>
    <x v="5"/>
    <d v="2025-07-21T00:00:00"/>
    <x v="1"/>
    <n v="28069.4"/>
    <n v="15"/>
    <x v="2"/>
    <n v="16841.64"/>
    <x v="3161"/>
    <n v="95435.96"/>
    <x v="11"/>
    <n v="2025"/>
  </r>
  <r>
    <s v="TXN03164"/>
    <x v="0"/>
    <x v="3"/>
    <x v="21"/>
    <x v="1"/>
    <d v="2025-04-30T00:00:00"/>
    <x v="2"/>
    <n v="2633.92"/>
    <n v="10"/>
    <x v="7"/>
    <n v="2107.14"/>
    <x v="3162"/>
    <n v="18964.22"/>
    <x v="1"/>
    <n v="2025"/>
  </r>
  <r>
    <s v="TXN03165"/>
    <x v="5"/>
    <x v="1"/>
    <x v="4"/>
    <x v="3"/>
    <d v="2024-05-03T00:00:00"/>
    <x v="7"/>
    <n v="7787.53"/>
    <n v="20"/>
    <x v="2"/>
    <n v="7787.53"/>
    <x v="3163"/>
    <n v="31150.12"/>
    <x v="9"/>
    <n v="2024"/>
  </r>
  <r>
    <s v="TXN03166"/>
    <x v="2"/>
    <x v="1"/>
    <x v="13"/>
    <x v="3"/>
    <d v="2024-03-05T00:00:00"/>
    <x v="2"/>
    <n v="11712.14"/>
    <n v="15"/>
    <x v="5"/>
    <n v="14054.57"/>
    <x v="3164"/>
    <n v="79642.55"/>
    <x v="6"/>
    <n v="2024"/>
  </r>
  <r>
    <s v="TXN03167"/>
    <x v="14"/>
    <x v="3"/>
    <x v="16"/>
    <x v="0"/>
    <d v="2025-01-20T00:00:00"/>
    <x v="8"/>
    <n v="1391.27"/>
    <n v="15"/>
    <x v="3"/>
    <n v="208.69"/>
    <x v="3165"/>
    <n v="1182.58"/>
    <x v="10"/>
    <n v="2025"/>
  </r>
  <r>
    <s v="TXN03168"/>
    <x v="10"/>
    <x v="1"/>
    <x v="2"/>
    <x v="4"/>
    <d v="2024-08-11T00:00:00"/>
    <x v="5"/>
    <n v="26047.57"/>
    <n v="10"/>
    <x v="2"/>
    <n v="5209.51"/>
    <x v="3166"/>
    <n v="46885.63"/>
    <x v="0"/>
    <n v="2024"/>
  </r>
  <r>
    <s v="TXN03169"/>
    <x v="8"/>
    <x v="4"/>
    <x v="14"/>
    <x v="0"/>
    <d v="2025-08-19T00:00:00"/>
    <x v="0"/>
    <n v="1589.76"/>
    <n v="15"/>
    <x v="5"/>
    <n v="715.39"/>
    <x v="3167"/>
    <n v="4053.89"/>
    <x v="0"/>
    <n v="2025"/>
  </r>
  <r>
    <s v="TXN03170"/>
    <x v="4"/>
    <x v="4"/>
    <x v="23"/>
    <x v="0"/>
    <d v="2024-11-01T00:00:00"/>
    <x v="9"/>
    <n v="10023.700000000001"/>
    <n v="5"/>
    <x v="7"/>
    <n v="5011.8500000000004"/>
    <x v="3168"/>
    <n v="95225.15"/>
    <x v="8"/>
    <n v="2024"/>
  </r>
  <r>
    <s v="TXN03171"/>
    <x v="13"/>
    <x v="2"/>
    <x v="22"/>
    <x v="4"/>
    <d v="2024-12-17T00:00:00"/>
    <x v="5"/>
    <n v="1071.33"/>
    <n v="5"/>
    <x v="5"/>
    <n v="107.13"/>
    <x v="3169"/>
    <n v="2035.53"/>
    <x v="3"/>
    <n v="2024"/>
  </r>
  <r>
    <s v="TXN03172"/>
    <x v="14"/>
    <x v="3"/>
    <x v="20"/>
    <x v="2"/>
    <d v="2025-07-16T00:00:00"/>
    <x v="4"/>
    <n v="3570.97"/>
    <n v="5"/>
    <x v="4"/>
    <n v="1249.8399999999999"/>
    <x v="3170"/>
    <n v="23746.95"/>
    <x v="11"/>
    <n v="2025"/>
  </r>
  <r>
    <s v="TXN03173"/>
    <x v="2"/>
    <x v="2"/>
    <x v="11"/>
    <x v="6"/>
    <d v="2024-11-03T00:00:00"/>
    <x v="2"/>
    <n v="5988.16"/>
    <n v="5"/>
    <x v="1"/>
    <n v="2395.2600000000002"/>
    <x v="3171"/>
    <n v="45510.02"/>
    <x v="8"/>
    <n v="2024"/>
  </r>
  <r>
    <s v="TXN03174"/>
    <x v="14"/>
    <x v="0"/>
    <x v="3"/>
    <x v="0"/>
    <d v="2025-01-22T00:00:00"/>
    <x v="5"/>
    <n v="17882.060000000001"/>
    <n v="15"/>
    <x v="4"/>
    <n v="5364.62"/>
    <x v="3172"/>
    <n v="30399.5"/>
    <x v="10"/>
    <n v="2025"/>
  </r>
  <r>
    <s v="TXN03175"/>
    <x v="4"/>
    <x v="3"/>
    <x v="21"/>
    <x v="4"/>
    <d v="2025-01-01T00:00:00"/>
    <x v="5"/>
    <n v="2321.54"/>
    <n v="20"/>
    <x v="3"/>
    <n v="928.62"/>
    <x v="3173"/>
    <n v="3714.46"/>
    <x v="10"/>
    <n v="2025"/>
  </r>
  <r>
    <s v="TXN03176"/>
    <x v="9"/>
    <x v="4"/>
    <x v="14"/>
    <x v="5"/>
    <d v="2024-08-06T00:00:00"/>
    <x v="5"/>
    <n v="1400.25"/>
    <n v="0"/>
    <x v="5"/>
    <n v="0"/>
    <x v="3174"/>
    <n v="2800.5"/>
    <x v="0"/>
    <n v="2024"/>
  </r>
  <r>
    <s v="TXN03177"/>
    <x v="12"/>
    <x v="3"/>
    <x v="15"/>
    <x v="0"/>
    <d v="2024-09-06T00:00:00"/>
    <x v="2"/>
    <n v="819.11"/>
    <n v="15"/>
    <x v="4"/>
    <n v="982.93"/>
    <x v="3175"/>
    <n v="5569.95"/>
    <x v="7"/>
    <n v="2024"/>
  </r>
  <r>
    <s v="TXN03178"/>
    <x v="9"/>
    <x v="4"/>
    <x v="17"/>
    <x v="4"/>
    <d v="2025-12-16T00:00:00"/>
    <x v="6"/>
    <n v="4239.2299999999996"/>
    <n v="20"/>
    <x v="1"/>
    <n v="7630.61"/>
    <x v="3176"/>
    <n v="30522.46"/>
    <x v="3"/>
    <n v="2025"/>
  </r>
  <r>
    <s v="TXN03179"/>
    <x v="6"/>
    <x v="0"/>
    <x v="0"/>
    <x v="2"/>
    <d v="2024-09-06T00:00:00"/>
    <x v="5"/>
    <n v="63570.32"/>
    <n v="20"/>
    <x v="6"/>
    <n v="25428.13"/>
    <x v="3177"/>
    <n v="101712.51"/>
    <x v="7"/>
    <n v="2024"/>
  </r>
  <r>
    <s v="TXN03180"/>
    <x v="6"/>
    <x v="0"/>
    <x v="3"/>
    <x v="1"/>
    <d v="2024-08-22T00:00:00"/>
    <x v="4"/>
    <n v="18366.21"/>
    <n v="15"/>
    <x v="4"/>
    <n v="19284.52"/>
    <x v="3178"/>
    <n v="109278.95"/>
    <x v="0"/>
    <n v="2024"/>
  </r>
  <r>
    <s v="TXN03181"/>
    <x v="10"/>
    <x v="1"/>
    <x v="12"/>
    <x v="1"/>
    <d v="2025-07-15T00:00:00"/>
    <x v="5"/>
    <n v="6223.19"/>
    <n v="0"/>
    <x v="6"/>
    <n v="0"/>
    <x v="3179"/>
    <n v="12446.38"/>
    <x v="11"/>
    <n v="2025"/>
  </r>
  <r>
    <s v="TXN03182"/>
    <x v="8"/>
    <x v="0"/>
    <x v="1"/>
    <x v="5"/>
    <d v="2025-03-09T00:00:00"/>
    <x v="7"/>
    <n v="2796.66"/>
    <n v="15"/>
    <x v="5"/>
    <n v="2097.4899999999998"/>
    <x v="3180"/>
    <n v="11885.81"/>
    <x v="6"/>
    <n v="2025"/>
  </r>
  <r>
    <s v="TXN03183"/>
    <x v="8"/>
    <x v="0"/>
    <x v="24"/>
    <x v="6"/>
    <d v="2024-05-26T00:00:00"/>
    <x v="4"/>
    <n v="7738.44"/>
    <n v="5"/>
    <x v="1"/>
    <n v="2708.45"/>
    <x v="3181"/>
    <n v="51460.63"/>
    <x v="9"/>
    <n v="2024"/>
  </r>
  <r>
    <s v="TXN03184"/>
    <x v="3"/>
    <x v="1"/>
    <x v="12"/>
    <x v="0"/>
    <d v="2025-12-24T00:00:00"/>
    <x v="1"/>
    <n v="5960.19"/>
    <n v="0"/>
    <x v="3"/>
    <n v="0"/>
    <x v="3182"/>
    <n v="23840.76"/>
    <x v="3"/>
    <n v="2025"/>
  </r>
  <r>
    <s v="TXN03185"/>
    <x v="2"/>
    <x v="0"/>
    <x v="6"/>
    <x v="1"/>
    <d v="2025-05-29T00:00:00"/>
    <x v="4"/>
    <n v="27964.240000000002"/>
    <n v="10"/>
    <x v="3"/>
    <n v="19574.97"/>
    <x v="3183"/>
    <n v="176174.71"/>
    <x v="9"/>
    <n v="2025"/>
  </r>
  <r>
    <s v="TXN03186"/>
    <x v="14"/>
    <x v="0"/>
    <x v="3"/>
    <x v="3"/>
    <d v="2024-06-21T00:00:00"/>
    <x v="7"/>
    <n v="19534.05"/>
    <n v="0"/>
    <x v="3"/>
    <n v="0"/>
    <x v="3184"/>
    <n v="97670.25"/>
    <x v="5"/>
    <n v="2024"/>
  </r>
  <r>
    <s v="TXN03187"/>
    <x v="13"/>
    <x v="3"/>
    <x v="7"/>
    <x v="5"/>
    <d v="2025-05-06T00:00:00"/>
    <x v="8"/>
    <n v="1666.39"/>
    <n v="0"/>
    <x v="2"/>
    <n v="0"/>
    <x v="3185"/>
    <n v="1666.39"/>
    <x v="9"/>
    <n v="2025"/>
  </r>
  <r>
    <s v="TXN03188"/>
    <x v="0"/>
    <x v="3"/>
    <x v="20"/>
    <x v="6"/>
    <d v="2024-01-20T00:00:00"/>
    <x v="5"/>
    <n v="4010.22"/>
    <n v="15"/>
    <x v="3"/>
    <n v="1203.07"/>
    <x v="3186"/>
    <n v="6817.37"/>
    <x v="10"/>
    <n v="2024"/>
  </r>
  <r>
    <s v="TXN03189"/>
    <x v="2"/>
    <x v="4"/>
    <x v="18"/>
    <x v="3"/>
    <d v="2024-05-11T00:00:00"/>
    <x v="0"/>
    <n v="13358.64"/>
    <n v="10"/>
    <x v="3"/>
    <n v="4007.59"/>
    <x v="3187"/>
    <n v="36068.33"/>
    <x v="9"/>
    <n v="2024"/>
  </r>
  <r>
    <s v="TXN03190"/>
    <x v="3"/>
    <x v="0"/>
    <x v="0"/>
    <x v="4"/>
    <d v="2024-07-07T00:00:00"/>
    <x v="0"/>
    <n v="59266.86"/>
    <n v="15"/>
    <x v="3"/>
    <n v="26670.09"/>
    <x v="3188"/>
    <n v="151130.49"/>
    <x v="11"/>
    <n v="2024"/>
  </r>
  <r>
    <s v="TXN03191"/>
    <x v="6"/>
    <x v="1"/>
    <x v="12"/>
    <x v="2"/>
    <d v="2024-03-18T00:00:00"/>
    <x v="5"/>
    <n v="6537.25"/>
    <n v="10"/>
    <x v="1"/>
    <n v="1307.45"/>
    <x v="3189"/>
    <n v="11767.05"/>
    <x v="6"/>
    <n v="2024"/>
  </r>
  <r>
    <s v="TXN03192"/>
    <x v="2"/>
    <x v="2"/>
    <x v="22"/>
    <x v="4"/>
    <d v="2024-07-16T00:00:00"/>
    <x v="1"/>
    <n v="954.39"/>
    <n v="10"/>
    <x v="7"/>
    <n v="381.76"/>
    <x v="3190"/>
    <n v="3435.8"/>
    <x v="11"/>
    <n v="2024"/>
  </r>
  <r>
    <s v="TXN03193"/>
    <x v="1"/>
    <x v="1"/>
    <x v="8"/>
    <x v="1"/>
    <d v="2024-06-11T00:00:00"/>
    <x v="1"/>
    <n v="43329.37"/>
    <n v="10"/>
    <x v="0"/>
    <n v="17331.75"/>
    <x v="3191"/>
    <n v="155985.73000000001"/>
    <x v="5"/>
    <n v="2024"/>
  </r>
  <r>
    <s v="TXN03194"/>
    <x v="8"/>
    <x v="3"/>
    <x v="16"/>
    <x v="0"/>
    <d v="2024-05-09T00:00:00"/>
    <x v="1"/>
    <n v="1464.1"/>
    <n v="20"/>
    <x v="5"/>
    <n v="1171.28"/>
    <x v="3192"/>
    <n v="4685.12"/>
    <x v="9"/>
    <n v="2024"/>
  </r>
  <r>
    <s v="TXN03195"/>
    <x v="10"/>
    <x v="4"/>
    <x v="19"/>
    <x v="3"/>
    <d v="2025-09-16T00:00:00"/>
    <x v="2"/>
    <n v="8056.39"/>
    <n v="0"/>
    <x v="4"/>
    <n v="0"/>
    <x v="3193"/>
    <n v="64451.12"/>
    <x v="7"/>
    <n v="2025"/>
  </r>
  <r>
    <s v="TXN03196"/>
    <x v="12"/>
    <x v="1"/>
    <x v="4"/>
    <x v="6"/>
    <d v="2025-03-15T00:00:00"/>
    <x v="1"/>
    <n v="7735.25"/>
    <n v="0"/>
    <x v="2"/>
    <n v="0"/>
    <x v="3194"/>
    <n v="30941"/>
    <x v="6"/>
    <n v="2025"/>
  </r>
  <r>
    <s v="TXN03197"/>
    <x v="2"/>
    <x v="2"/>
    <x v="22"/>
    <x v="5"/>
    <d v="2025-10-13T00:00:00"/>
    <x v="2"/>
    <n v="1045.71"/>
    <n v="5"/>
    <x v="6"/>
    <n v="418.28"/>
    <x v="3195"/>
    <n v="7947.4"/>
    <x v="4"/>
    <n v="2025"/>
  </r>
  <r>
    <s v="TXN03198"/>
    <x v="9"/>
    <x v="3"/>
    <x v="21"/>
    <x v="2"/>
    <d v="2024-06-30T00:00:00"/>
    <x v="9"/>
    <n v="2544.94"/>
    <n v="5"/>
    <x v="5"/>
    <n v="1272.47"/>
    <x v="3196"/>
    <n v="24176.93"/>
    <x v="5"/>
    <n v="2024"/>
  </r>
  <r>
    <s v="TXN03199"/>
    <x v="4"/>
    <x v="3"/>
    <x v="16"/>
    <x v="3"/>
    <d v="2024-12-08T00:00:00"/>
    <x v="0"/>
    <n v="1896.38"/>
    <n v="15"/>
    <x v="7"/>
    <n v="853.37"/>
    <x v="3197"/>
    <n v="4835.7700000000004"/>
    <x v="3"/>
    <n v="2024"/>
  </r>
  <r>
    <s v="TXN03200"/>
    <x v="12"/>
    <x v="3"/>
    <x v="20"/>
    <x v="3"/>
    <d v="2024-09-30T00:00:00"/>
    <x v="2"/>
    <n v="3818.53"/>
    <n v="15"/>
    <x v="7"/>
    <n v="4582.24"/>
    <x v="3198"/>
    <n v="25966"/>
    <x v="7"/>
    <n v="2024"/>
  </r>
  <r>
    <s v="TXN03201"/>
    <x v="10"/>
    <x v="1"/>
    <x v="4"/>
    <x v="4"/>
    <d v="2025-09-26T00:00:00"/>
    <x v="4"/>
    <n v="8032.98"/>
    <n v="0"/>
    <x v="1"/>
    <n v="0"/>
    <x v="3199"/>
    <n v="56230.86"/>
    <x v="7"/>
    <n v="2025"/>
  </r>
  <r>
    <s v="TXN03202"/>
    <x v="10"/>
    <x v="3"/>
    <x v="16"/>
    <x v="0"/>
    <d v="2024-09-12T00:00:00"/>
    <x v="4"/>
    <n v="1668.37"/>
    <n v="10"/>
    <x v="0"/>
    <n v="1167.8599999999999"/>
    <x v="3200"/>
    <n v="10510.73"/>
    <x v="7"/>
    <n v="2024"/>
  </r>
  <r>
    <s v="TXN03203"/>
    <x v="14"/>
    <x v="1"/>
    <x v="4"/>
    <x v="5"/>
    <d v="2025-02-07T00:00:00"/>
    <x v="4"/>
    <n v="8639.36"/>
    <n v="5"/>
    <x v="4"/>
    <n v="3023.78"/>
    <x v="3201"/>
    <n v="57451.74"/>
    <x v="2"/>
    <n v="2025"/>
  </r>
  <r>
    <s v="TXN03204"/>
    <x v="9"/>
    <x v="3"/>
    <x v="7"/>
    <x v="6"/>
    <d v="2024-05-10T00:00:00"/>
    <x v="9"/>
    <n v="1868.15"/>
    <n v="10"/>
    <x v="2"/>
    <n v="1868.15"/>
    <x v="3202"/>
    <n v="16813.349999999999"/>
    <x v="9"/>
    <n v="2024"/>
  </r>
  <r>
    <s v="TXN03205"/>
    <x v="5"/>
    <x v="1"/>
    <x v="13"/>
    <x v="4"/>
    <d v="2025-05-20T00:00:00"/>
    <x v="9"/>
    <n v="11252.2"/>
    <n v="0"/>
    <x v="2"/>
    <n v="0"/>
    <x v="3203"/>
    <n v="112522"/>
    <x v="9"/>
    <n v="2025"/>
  </r>
  <r>
    <s v="TXN03206"/>
    <x v="6"/>
    <x v="3"/>
    <x v="16"/>
    <x v="4"/>
    <d v="2025-10-22T00:00:00"/>
    <x v="4"/>
    <n v="1877.25"/>
    <n v="20"/>
    <x v="6"/>
    <n v="2628.15"/>
    <x v="3204"/>
    <n v="10512.6"/>
    <x v="4"/>
    <n v="2025"/>
  </r>
  <r>
    <s v="TXN03207"/>
    <x v="5"/>
    <x v="1"/>
    <x v="4"/>
    <x v="4"/>
    <d v="2025-02-24T00:00:00"/>
    <x v="6"/>
    <n v="7857.05"/>
    <n v="15"/>
    <x v="4"/>
    <n v="10607.02"/>
    <x v="3205"/>
    <n v="60106.43"/>
    <x v="2"/>
    <n v="2025"/>
  </r>
  <r>
    <s v="TXN03208"/>
    <x v="13"/>
    <x v="1"/>
    <x v="8"/>
    <x v="5"/>
    <d v="2025-02-06T00:00:00"/>
    <x v="6"/>
    <n v="37471.15"/>
    <n v="20"/>
    <x v="7"/>
    <n v="67448.070000000007"/>
    <x v="3206"/>
    <n v="269792.28000000003"/>
    <x v="2"/>
    <n v="2025"/>
  </r>
  <r>
    <s v="TXN03209"/>
    <x v="8"/>
    <x v="4"/>
    <x v="14"/>
    <x v="4"/>
    <d v="2025-03-01T00:00:00"/>
    <x v="5"/>
    <n v="1482.93"/>
    <n v="5"/>
    <x v="7"/>
    <n v="148.29"/>
    <x v="3207"/>
    <n v="2817.57"/>
    <x v="6"/>
    <n v="2025"/>
  </r>
  <r>
    <s v="TXN03210"/>
    <x v="6"/>
    <x v="2"/>
    <x v="10"/>
    <x v="5"/>
    <d v="2025-12-12T00:00:00"/>
    <x v="2"/>
    <n v="2535.7600000000002"/>
    <n v="5"/>
    <x v="0"/>
    <n v="1014.3"/>
    <x v="3208"/>
    <n v="19271.78"/>
    <x v="3"/>
    <n v="2025"/>
  </r>
  <r>
    <s v="TXN03211"/>
    <x v="10"/>
    <x v="0"/>
    <x v="24"/>
    <x v="4"/>
    <d v="2024-05-13T00:00:00"/>
    <x v="4"/>
    <n v="6403.13"/>
    <n v="5"/>
    <x v="6"/>
    <n v="2241.1"/>
    <x v="3209"/>
    <n v="42580.81"/>
    <x v="9"/>
    <n v="2024"/>
  </r>
  <r>
    <s v="TXN03212"/>
    <x v="5"/>
    <x v="0"/>
    <x v="0"/>
    <x v="6"/>
    <d v="2025-05-08T00:00:00"/>
    <x v="6"/>
    <n v="73187.33"/>
    <n v="0"/>
    <x v="2"/>
    <n v="0"/>
    <x v="3210"/>
    <n v="658685.97"/>
    <x v="9"/>
    <n v="2025"/>
  </r>
  <r>
    <s v="TXN03213"/>
    <x v="1"/>
    <x v="2"/>
    <x v="5"/>
    <x v="2"/>
    <d v="2025-08-10T00:00:00"/>
    <x v="1"/>
    <n v="1115.3499999999999"/>
    <n v="0"/>
    <x v="4"/>
    <n v="0"/>
    <x v="3211"/>
    <n v="4461.3999999999996"/>
    <x v="0"/>
    <n v="2025"/>
  </r>
  <r>
    <s v="TXN03214"/>
    <x v="10"/>
    <x v="3"/>
    <x v="16"/>
    <x v="4"/>
    <d v="2025-03-28T00:00:00"/>
    <x v="4"/>
    <n v="1418.98"/>
    <n v="10"/>
    <x v="4"/>
    <n v="993.29"/>
    <x v="3212"/>
    <n v="8939.57"/>
    <x v="6"/>
    <n v="2025"/>
  </r>
  <r>
    <s v="TXN03215"/>
    <x v="4"/>
    <x v="1"/>
    <x v="8"/>
    <x v="2"/>
    <d v="2025-02-01T00:00:00"/>
    <x v="7"/>
    <n v="39444.730000000003"/>
    <n v="15"/>
    <x v="3"/>
    <n v="29583.55"/>
    <x v="3213"/>
    <n v="167640.1"/>
    <x v="2"/>
    <n v="2025"/>
  </r>
  <r>
    <s v="TXN03216"/>
    <x v="12"/>
    <x v="1"/>
    <x v="13"/>
    <x v="1"/>
    <d v="2024-05-22T00:00:00"/>
    <x v="9"/>
    <n v="13381.72"/>
    <n v="20"/>
    <x v="6"/>
    <n v="26763.439999999999"/>
    <x v="3214"/>
    <n v="107053.75999999999"/>
    <x v="9"/>
    <n v="2024"/>
  </r>
  <r>
    <s v="TXN03217"/>
    <x v="2"/>
    <x v="3"/>
    <x v="15"/>
    <x v="5"/>
    <d v="2025-06-01T00:00:00"/>
    <x v="5"/>
    <n v="918.7"/>
    <n v="0"/>
    <x v="4"/>
    <n v="0"/>
    <x v="3215"/>
    <n v="1837.4"/>
    <x v="5"/>
    <n v="2025"/>
  </r>
  <r>
    <s v="TXN03218"/>
    <x v="0"/>
    <x v="1"/>
    <x v="2"/>
    <x v="5"/>
    <d v="2025-08-03T00:00:00"/>
    <x v="2"/>
    <n v="23052.69"/>
    <n v="15"/>
    <x v="4"/>
    <n v="27663.23"/>
    <x v="3216"/>
    <n v="156758.29"/>
    <x v="0"/>
    <n v="2025"/>
  </r>
  <r>
    <s v="TXN03219"/>
    <x v="1"/>
    <x v="4"/>
    <x v="17"/>
    <x v="2"/>
    <d v="2024-08-11T00:00:00"/>
    <x v="3"/>
    <n v="3343.09"/>
    <n v="0"/>
    <x v="0"/>
    <n v="0"/>
    <x v="3217"/>
    <n v="20058.54"/>
    <x v="0"/>
    <n v="2024"/>
  </r>
  <r>
    <s v="TXN03220"/>
    <x v="1"/>
    <x v="0"/>
    <x v="0"/>
    <x v="1"/>
    <d v="2024-12-24T00:00:00"/>
    <x v="9"/>
    <n v="64842.28"/>
    <n v="15"/>
    <x v="3"/>
    <n v="97263.42"/>
    <x v="3218"/>
    <n v="551159.38"/>
    <x v="3"/>
    <n v="2024"/>
  </r>
  <r>
    <s v="TXN03221"/>
    <x v="12"/>
    <x v="1"/>
    <x v="8"/>
    <x v="0"/>
    <d v="2024-03-24T00:00:00"/>
    <x v="1"/>
    <n v="38264.21"/>
    <n v="10"/>
    <x v="1"/>
    <n v="15305.68"/>
    <x v="3219"/>
    <n v="137751.16"/>
    <x v="6"/>
    <n v="2024"/>
  </r>
  <r>
    <s v="TXN03222"/>
    <x v="11"/>
    <x v="3"/>
    <x v="7"/>
    <x v="2"/>
    <d v="2025-05-08T00:00:00"/>
    <x v="1"/>
    <n v="2050.65"/>
    <n v="10"/>
    <x v="2"/>
    <n v="820.26"/>
    <x v="3220"/>
    <n v="7382.34"/>
    <x v="9"/>
    <n v="2025"/>
  </r>
  <r>
    <s v="TXN03223"/>
    <x v="5"/>
    <x v="2"/>
    <x v="10"/>
    <x v="1"/>
    <d v="2024-03-31T00:00:00"/>
    <x v="8"/>
    <n v="2846.88"/>
    <n v="15"/>
    <x v="4"/>
    <n v="427.03"/>
    <x v="3221"/>
    <n v="2419.85"/>
    <x v="6"/>
    <n v="2024"/>
  </r>
  <r>
    <s v="TXN03224"/>
    <x v="2"/>
    <x v="4"/>
    <x v="14"/>
    <x v="1"/>
    <d v="2024-09-14T00:00:00"/>
    <x v="6"/>
    <n v="1384.18"/>
    <n v="15"/>
    <x v="7"/>
    <n v="1868.64"/>
    <x v="3222"/>
    <n v="10588.98"/>
    <x v="7"/>
    <n v="2024"/>
  </r>
  <r>
    <s v="TXN03225"/>
    <x v="12"/>
    <x v="0"/>
    <x v="3"/>
    <x v="2"/>
    <d v="2024-01-26T00:00:00"/>
    <x v="8"/>
    <n v="20017.89"/>
    <n v="5"/>
    <x v="7"/>
    <n v="1000.89"/>
    <x v="3223"/>
    <n v="19017"/>
    <x v="10"/>
    <n v="2024"/>
  </r>
  <r>
    <s v="TXN03226"/>
    <x v="9"/>
    <x v="0"/>
    <x v="6"/>
    <x v="6"/>
    <d v="2025-03-03T00:00:00"/>
    <x v="5"/>
    <n v="25026.240000000002"/>
    <n v="20"/>
    <x v="2"/>
    <n v="10010.5"/>
    <x v="3224"/>
    <n v="40041.980000000003"/>
    <x v="6"/>
    <n v="2025"/>
  </r>
  <r>
    <s v="TXN03227"/>
    <x v="14"/>
    <x v="0"/>
    <x v="0"/>
    <x v="6"/>
    <d v="2024-09-09T00:00:00"/>
    <x v="7"/>
    <n v="60846.17"/>
    <n v="5"/>
    <x v="1"/>
    <n v="15211.54"/>
    <x v="3225"/>
    <n v="289019.31"/>
    <x v="7"/>
    <n v="2024"/>
  </r>
  <r>
    <s v="TXN03228"/>
    <x v="14"/>
    <x v="3"/>
    <x v="21"/>
    <x v="2"/>
    <d v="2024-11-05T00:00:00"/>
    <x v="6"/>
    <n v="2654.53"/>
    <n v="5"/>
    <x v="5"/>
    <n v="1194.54"/>
    <x v="3226"/>
    <n v="22696.23"/>
    <x v="8"/>
    <n v="2024"/>
  </r>
  <r>
    <s v="TXN03229"/>
    <x v="3"/>
    <x v="0"/>
    <x v="6"/>
    <x v="4"/>
    <d v="2025-03-11T00:00:00"/>
    <x v="8"/>
    <n v="26845.99"/>
    <n v="20"/>
    <x v="7"/>
    <n v="5369.2"/>
    <x v="3227"/>
    <n v="21476.79"/>
    <x v="6"/>
    <n v="2025"/>
  </r>
  <r>
    <s v="TXN03230"/>
    <x v="4"/>
    <x v="0"/>
    <x v="24"/>
    <x v="6"/>
    <d v="2024-07-29T00:00:00"/>
    <x v="6"/>
    <n v="6968.78"/>
    <n v="0"/>
    <x v="7"/>
    <n v="0"/>
    <x v="3228"/>
    <n v="62719.02"/>
    <x v="11"/>
    <n v="2024"/>
  </r>
  <r>
    <s v="TXN03231"/>
    <x v="6"/>
    <x v="3"/>
    <x v="16"/>
    <x v="3"/>
    <d v="2025-05-22T00:00:00"/>
    <x v="5"/>
    <n v="1426.23"/>
    <n v="5"/>
    <x v="7"/>
    <n v="142.62"/>
    <x v="3229"/>
    <n v="2709.84"/>
    <x v="9"/>
    <n v="2025"/>
  </r>
  <r>
    <s v="TXN03232"/>
    <x v="8"/>
    <x v="0"/>
    <x v="1"/>
    <x v="0"/>
    <d v="2024-05-18T00:00:00"/>
    <x v="7"/>
    <n v="3379.66"/>
    <n v="0"/>
    <x v="1"/>
    <n v="0"/>
    <x v="3230"/>
    <n v="16898.3"/>
    <x v="9"/>
    <n v="2024"/>
  </r>
  <r>
    <s v="TXN03233"/>
    <x v="9"/>
    <x v="1"/>
    <x v="8"/>
    <x v="3"/>
    <d v="2024-10-23T00:00:00"/>
    <x v="5"/>
    <n v="40911.54"/>
    <n v="20"/>
    <x v="7"/>
    <n v="16364.62"/>
    <x v="3231"/>
    <n v="65458.46"/>
    <x v="4"/>
    <n v="2024"/>
  </r>
  <r>
    <s v="TXN03234"/>
    <x v="3"/>
    <x v="4"/>
    <x v="19"/>
    <x v="4"/>
    <d v="2025-12-14T00:00:00"/>
    <x v="5"/>
    <n v="9619.74"/>
    <n v="20"/>
    <x v="6"/>
    <n v="3847.9"/>
    <x v="3232"/>
    <n v="15391.58"/>
    <x v="3"/>
    <n v="2025"/>
  </r>
  <r>
    <s v="TXN03235"/>
    <x v="11"/>
    <x v="1"/>
    <x v="2"/>
    <x v="3"/>
    <d v="2025-05-17T00:00:00"/>
    <x v="4"/>
    <n v="24341.03"/>
    <n v="15"/>
    <x v="5"/>
    <n v="25558.080000000002"/>
    <x v="3233"/>
    <n v="144829.13"/>
    <x v="9"/>
    <n v="2025"/>
  </r>
  <r>
    <s v="TXN03236"/>
    <x v="6"/>
    <x v="1"/>
    <x v="8"/>
    <x v="4"/>
    <d v="2024-02-08T00:00:00"/>
    <x v="2"/>
    <n v="39016.65"/>
    <n v="0"/>
    <x v="7"/>
    <n v="0"/>
    <x v="3234"/>
    <n v="312133.2"/>
    <x v="2"/>
    <n v="2024"/>
  </r>
  <r>
    <s v="TXN03237"/>
    <x v="10"/>
    <x v="4"/>
    <x v="17"/>
    <x v="6"/>
    <d v="2024-06-22T00:00:00"/>
    <x v="1"/>
    <n v="3711.24"/>
    <n v="0"/>
    <x v="4"/>
    <n v="0"/>
    <x v="3235"/>
    <n v="14844.96"/>
    <x v="5"/>
    <n v="2024"/>
  </r>
  <r>
    <s v="TXN03238"/>
    <x v="14"/>
    <x v="3"/>
    <x v="20"/>
    <x v="1"/>
    <d v="2025-12-28T00:00:00"/>
    <x v="1"/>
    <n v="3544.31"/>
    <n v="10"/>
    <x v="7"/>
    <n v="1417.72"/>
    <x v="3236"/>
    <n v="12759.52"/>
    <x v="3"/>
    <n v="2025"/>
  </r>
  <r>
    <s v="TXN03239"/>
    <x v="13"/>
    <x v="1"/>
    <x v="4"/>
    <x v="5"/>
    <d v="2025-11-08T00:00:00"/>
    <x v="0"/>
    <n v="8774.7800000000007"/>
    <n v="15"/>
    <x v="2"/>
    <n v="3948.65"/>
    <x v="3237"/>
    <n v="22375.69"/>
    <x v="8"/>
    <n v="2025"/>
  </r>
  <r>
    <s v="TXN03240"/>
    <x v="4"/>
    <x v="2"/>
    <x v="22"/>
    <x v="0"/>
    <d v="2024-06-20T00:00:00"/>
    <x v="3"/>
    <n v="849.49"/>
    <n v="15"/>
    <x v="5"/>
    <n v="764.54"/>
    <x v="3238"/>
    <n v="4332.3999999999996"/>
    <x v="5"/>
    <n v="2024"/>
  </r>
  <r>
    <s v="TXN03241"/>
    <x v="13"/>
    <x v="3"/>
    <x v="15"/>
    <x v="4"/>
    <d v="2024-10-16T00:00:00"/>
    <x v="2"/>
    <n v="950.55"/>
    <n v="0"/>
    <x v="5"/>
    <n v="0"/>
    <x v="3239"/>
    <n v="7604.4"/>
    <x v="4"/>
    <n v="2024"/>
  </r>
  <r>
    <s v="TXN03242"/>
    <x v="9"/>
    <x v="4"/>
    <x v="14"/>
    <x v="6"/>
    <d v="2025-06-17T00:00:00"/>
    <x v="6"/>
    <n v="1693.09"/>
    <n v="10"/>
    <x v="4"/>
    <n v="1523.78"/>
    <x v="3240"/>
    <n v="13714.03"/>
    <x v="5"/>
    <n v="2025"/>
  </r>
  <r>
    <s v="TXN03243"/>
    <x v="12"/>
    <x v="4"/>
    <x v="23"/>
    <x v="0"/>
    <d v="2024-02-29T00:00:00"/>
    <x v="8"/>
    <n v="9923.11"/>
    <n v="20"/>
    <x v="0"/>
    <n v="1984.62"/>
    <x v="3241"/>
    <n v="7938.49"/>
    <x v="2"/>
    <n v="2024"/>
  </r>
  <r>
    <s v="TXN03244"/>
    <x v="11"/>
    <x v="3"/>
    <x v="16"/>
    <x v="0"/>
    <d v="2024-08-01T00:00:00"/>
    <x v="3"/>
    <n v="1486.52"/>
    <n v="20"/>
    <x v="2"/>
    <n v="1783.82"/>
    <x v="3242"/>
    <n v="7135.3"/>
    <x v="0"/>
    <n v="2024"/>
  </r>
  <r>
    <s v="TXN03245"/>
    <x v="4"/>
    <x v="3"/>
    <x v="7"/>
    <x v="4"/>
    <d v="2025-10-15T00:00:00"/>
    <x v="5"/>
    <n v="2007.56"/>
    <n v="15"/>
    <x v="6"/>
    <n v="602.27"/>
    <x v="3243"/>
    <n v="3412.85"/>
    <x v="4"/>
    <n v="2025"/>
  </r>
  <r>
    <s v="TXN03246"/>
    <x v="10"/>
    <x v="4"/>
    <x v="18"/>
    <x v="2"/>
    <d v="2025-02-18T00:00:00"/>
    <x v="3"/>
    <n v="10877.67"/>
    <n v="15"/>
    <x v="5"/>
    <n v="9789.9"/>
    <x v="3244"/>
    <n v="55476.12"/>
    <x v="2"/>
    <n v="2025"/>
  </r>
  <r>
    <s v="TXN03247"/>
    <x v="13"/>
    <x v="0"/>
    <x v="24"/>
    <x v="2"/>
    <d v="2024-03-25T00:00:00"/>
    <x v="7"/>
    <n v="7803.29"/>
    <n v="10"/>
    <x v="1"/>
    <n v="3901.64"/>
    <x v="3245"/>
    <n v="35114.81"/>
    <x v="6"/>
    <n v="2024"/>
  </r>
  <r>
    <s v="TXN03248"/>
    <x v="13"/>
    <x v="0"/>
    <x v="6"/>
    <x v="3"/>
    <d v="2025-06-05T00:00:00"/>
    <x v="4"/>
    <n v="27882.16"/>
    <n v="10"/>
    <x v="2"/>
    <n v="19517.509999999998"/>
    <x v="3246"/>
    <n v="175657.61"/>
    <x v="5"/>
    <n v="2025"/>
  </r>
  <r>
    <s v="TXN03249"/>
    <x v="11"/>
    <x v="0"/>
    <x v="1"/>
    <x v="3"/>
    <d v="2024-01-06T00:00:00"/>
    <x v="8"/>
    <n v="3426.31"/>
    <n v="15"/>
    <x v="7"/>
    <n v="513.95000000000005"/>
    <x v="3247"/>
    <n v="2912.36"/>
    <x v="10"/>
    <n v="2024"/>
  </r>
  <r>
    <s v="TXN03250"/>
    <x v="12"/>
    <x v="4"/>
    <x v="14"/>
    <x v="1"/>
    <d v="2024-04-12T00:00:00"/>
    <x v="2"/>
    <n v="1400.84"/>
    <n v="5"/>
    <x v="4"/>
    <n v="560.34"/>
    <x v="3248"/>
    <n v="10646.38"/>
    <x v="1"/>
    <n v="2024"/>
  </r>
  <r>
    <s v="TXN03251"/>
    <x v="1"/>
    <x v="0"/>
    <x v="24"/>
    <x v="4"/>
    <d v="2025-05-28T00:00:00"/>
    <x v="5"/>
    <n v="6513"/>
    <n v="5"/>
    <x v="0"/>
    <n v="651.29999999999995"/>
    <x v="3249"/>
    <n v="12374.7"/>
    <x v="9"/>
    <n v="2025"/>
  </r>
  <r>
    <s v="TXN03252"/>
    <x v="7"/>
    <x v="1"/>
    <x v="13"/>
    <x v="6"/>
    <d v="2024-07-04T00:00:00"/>
    <x v="0"/>
    <n v="12468.2"/>
    <n v="10"/>
    <x v="3"/>
    <n v="3740.46"/>
    <x v="3250"/>
    <n v="33664.14"/>
    <x v="11"/>
    <n v="2024"/>
  </r>
  <r>
    <s v="TXN03253"/>
    <x v="5"/>
    <x v="0"/>
    <x v="1"/>
    <x v="5"/>
    <d v="2024-06-08T00:00:00"/>
    <x v="6"/>
    <n v="2844.45"/>
    <n v="20"/>
    <x v="5"/>
    <n v="5120.01"/>
    <x v="3251"/>
    <n v="20480.04"/>
    <x v="5"/>
    <n v="2024"/>
  </r>
  <r>
    <s v="TXN03254"/>
    <x v="5"/>
    <x v="2"/>
    <x v="11"/>
    <x v="1"/>
    <d v="2024-10-06T00:00:00"/>
    <x v="5"/>
    <n v="5003.6400000000003"/>
    <n v="20"/>
    <x v="1"/>
    <n v="2001.46"/>
    <x v="3252"/>
    <n v="8005.82"/>
    <x v="4"/>
    <n v="2024"/>
  </r>
  <r>
    <s v="TXN03255"/>
    <x v="12"/>
    <x v="3"/>
    <x v="16"/>
    <x v="3"/>
    <d v="2024-08-21T00:00:00"/>
    <x v="3"/>
    <n v="1683.72"/>
    <n v="0"/>
    <x v="7"/>
    <n v="0"/>
    <x v="3253"/>
    <n v="10102.32"/>
    <x v="0"/>
    <n v="2024"/>
  </r>
  <r>
    <s v="TXN03256"/>
    <x v="3"/>
    <x v="0"/>
    <x v="6"/>
    <x v="2"/>
    <d v="2024-11-17T00:00:00"/>
    <x v="1"/>
    <n v="26940.959999999999"/>
    <n v="15"/>
    <x v="1"/>
    <n v="16164.58"/>
    <x v="3254"/>
    <n v="91599.26"/>
    <x v="8"/>
    <n v="2024"/>
  </r>
  <r>
    <s v="TXN03257"/>
    <x v="10"/>
    <x v="1"/>
    <x v="13"/>
    <x v="2"/>
    <d v="2024-01-08T00:00:00"/>
    <x v="4"/>
    <n v="11667.8"/>
    <n v="10"/>
    <x v="3"/>
    <n v="8167.46"/>
    <x v="3255"/>
    <n v="73507.14"/>
    <x v="10"/>
    <n v="2024"/>
  </r>
  <r>
    <s v="TXN03258"/>
    <x v="13"/>
    <x v="4"/>
    <x v="14"/>
    <x v="6"/>
    <d v="2025-06-20T00:00:00"/>
    <x v="1"/>
    <n v="1360.95"/>
    <n v="20"/>
    <x v="6"/>
    <n v="1088.76"/>
    <x v="3256"/>
    <n v="4355.04"/>
    <x v="5"/>
    <n v="2025"/>
  </r>
  <r>
    <s v="TXN03259"/>
    <x v="13"/>
    <x v="0"/>
    <x v="0"/>
    <x v="0"/>
    <d v="2025-09-28T00:00:00"/>
    <x v="7"/>
    <n v="73288.039999999994"/>
    <n v="10"/>
    <x v="7"/>
    <n v="36644.019999999997"/>
    <x v="3257"/>
    <n v="329796.18"/>
    <x v="7"/>
    <n v="2025"/>
  </r>
  <r>
    <s v="TXN03260"/>
    <x v="6"/>
    <x v="1"/>
    <x v="4"/>
    <x v="6"/>
    <d v="2024-05-09T00:00:00"/>
    <x v="6"/>
    <n v="8721.9"/>
    <n v="0"/>
    <x v="5"/>
    <n v="0"/>
    <x v="3258"/>
    <n v="78497.100000000006"/>
    <x v="9"/>
    <n v="2024"/>
  </r>
  <r>
    <s v="TXN03261"/>
    <x v="11"/>
    <x v="3"/>
    <x v="20"/>
    <x v="6"/>
    <d v="2025-04-10T00:00:00"/>
    <x v="7"/>
    <n v="3791.17"/>
    <n v="5"/>
    <x v="2"/>
    <n v="947.79"/>
    <x v="3259"/>
    <n v="18008.060000000001"/>
    <x v="1"/>
    <n v="2025"/>
  </r>
  <r>
    <s v="TXN03262"/>
    <x v="7"/>
    <x v="2"/>
    <x v="10"/>
    <x v="1"/>
    <d v="2024-01-24T00:00:00"/>
    <x v="4"/>
    <n v="2388.7600000000002"/>
    <n v="10"/>
    <x v="0"/>
    <n v="1672.13"/>
    <x v="3260"/>
    <n v="15049.19"/>
    <x v="10"/>
    <n v="2024"/>
  </r>
  <r>
    <s v="TXN03263"/>
    <x v="8"/>
    <x v="4"/>
    <x v="14"/>
    <x v="2"/>
    <d v="2025-11-20T00:00:00"/>
    <x v="1"/>
    <n v="1676.67"/>
    <n v="20"/>
    <x v="1"/>
    <n v="1341.34"/>
    <x v="3261"/>
    <n v="5365.34"/>
    <x v="8"/>
    <n v="2025"/>
  </r>
  <r>
    <s v="TXN03264"/>
    <x v="6"/>
    <x v="0"/>
    <x v="6"/>
    <x v="4"/>
    <d v="2024-09-13T00:00:00"/>
    <x v="1"/>
    <n v="27637.62"/>
    <n v="15"/>
    <x v="6"/>
    <n v="16582.57"/>
    <x v="3262"/>
    <n v="93967.91"/>
    <x v="7"/>
    <n v="2024"/>
  </r>
  <r>
    <s v="TXN03265"/>
    <x v="13"/>
    <x v="2"/>
    <x v="11"/>
    <x v="0"/>
    <d v="2025-07-19T00:00:00"/>
    <x v="3"/>
    <n v="5697.28"/>
    <n v="15"/>
    <x v="5"/>
    <n v="5127.55"/>
    <x v="3263"/>
    <n v="29056.13"/>
    <x v="11"/>
    <n v="2025"/>
  </r>
  <r>
    <s v="TXN03266"/>
    <x v="12"/>
    <x v="3"/>
    <x v="21"/>
    <x v="0"/>
    <d v="2025-07-11T00:00:00"/>
    <x v="7"/>
    <n v="2366.61"/>
    <n v="0"/>
    <x v="1"/>
    <n v="0"/>
    <x v="3264"/>
    <n v="11833.05"/>
    <x v="11"/>
    <n v="2025"/>
  </r>
  <r>
    <s v="TXN03267"/>
    <x v="1"/>
    <x v="4"/>
    <x v="14"/>
    <x v="6"/>
    <d v="2025-12-07T00:00:00"/>
    <x v="7"/>
    <n v="1633.21"/>
    <n v="5"/>
    <x v="1"/>
    <n v="408.3"/>
    <x v="3265"/>
    <n v="7757.75"/>
    <x v="3"/>
    <n v="2025"/>
  </r>
  <r>
    <s v="TXN03268"/>
    <x v="10"/>
    <x v="2"/>
    <x v="11"/>
    <x v="6"/>
    <d v="2024-01-16T00:00:00"/>
    <x v="4"/>
    <n v="4583.3500000000004"/>
    <n v="0"/>
    <x v="2"/>
    <n v="0"/>
    <x v="3266"/>
    <n v="32083.45"/>
    <x v="10"/>
    <n v="2024"/>
  </r>
  <r>
    <s v="TXN03269"/>
    <x v="1"/>
    <x v="4"/>
    <x v="19"/>
    <x v="5"/>
    <d v="2024-08-27T00:00:00"/>
    <x v="2"/>
    <n v="8712.2900000000009"/>
    <n v="10"/>
    <x v="0"/>
    <n v="6969.83"/>
    <x v="3267"/>
    <n v="62728.49"/>
    <x v="0"/>
    <n v="2024"/>
  </r>
  <r>
    <s v="TXN03270"/>
    <x v="6"/>
    <x v="4"/>
    <x v="17"/>
    <x v="5"/>
    <d v="2024-05-27T00:00:00"/>
    <x v="2"/>
    <n v="3512.58"/>
    <n v="5"/>
    <x v="5"/>
    <n v="1405.03"/>
    <x v="3268"/>
    <n v="26695.61"/>
    <x v="9"/>
    <n v="2024"/>
  </r>
  <r>
    <s v="TXN03271"/>
    <x v="6"/>
    <x v="4"/>
    <x v="14"/>
    <x v="0"/>
    <d v="2024-05-23T00:00:00"/>
    <x v="3"/>
    <n v="1432.48"/>
    <n v="0"/>
    <x v="1"/>
    <n v="0"/>
    <x v="3269"/>
    <n v="8594.8799999999992"/>
    <x v="9"/>
    <n v="2024"/>
  </r>
  <r>
    <s v="TXN03272"/>
    <x v="2"/>
    <x v="2"/>
    <x v="22"/>
    <x v="5"/>
    <d v="2025-09-22T00:00:00"/>
    <x v="9"/>
    <n v="846.16"/>
    <n v="20"/>
    <x v="2"/>
    <n v="1692.32"/>
    <x v="3270"/>
    <n v="6769.28"/>
    <x v="7"/>
    <n v="2025"/>
  </r>
  <r>
    <s v="TXN03273"/>
    <x v="5"/>
    <x v="4"/>
    <x v="19"/>
    <x v="0"/>
    <d v="2025-05-25T00:00:00"/>
    <x v="0"/>
    <n v="7846.22"/>
    <n v="0"/>
    <x v="6"/>
    <n v="0"/>
    <x v="3271"/>
    <n v="23538.66"/>
    <x v="9"/>
    <n v="2025"/>
  </r>
  <r>
    <s v="TXN03274"/>
    <x v="8"/>
    <x v="2"/>
    <x v="22"/>
    <x v="4"/>
    <d v="2024-05-24T00:00:00"/>
    <x v="7"/>
    <n v="849.17"/>
    <n v="10"/>
    <x v="0"/>
    <n v="424.59"/>
    <x v="3272"/>
    <n v="3821.26"/>
    <x v="9"/>
    <n v="2024"/>
  </r>
  <r>
    <s v="TXN03275"/>
    <x v="10"/>
    <x v="2"/>
    <x v="10"/>
    <x v="1"/>
    <d v="2024-03-22T00:00:00"/>
    <x v="2"/>
    <n v="2693.4"/>
    <n v="10"/>
    <x v="4"/>
    <n v="2154.7199999999998"/>
    <x v="3273"/>
    <n v="19392.48"/>
    <x v="6"/>
    <n v="2024"/>
  </r>
  <r>
    <s v="TXN03276"/>
    <x v="3"/>
    <x v="0"/>
    <x v="3"/>
    <x v="4"/>
    <d v="2025-09-06T00:00:00"/>
    <x v="5"/>
    <n v="17674.330000000002"/>
    <n v="10"/>
    <x v="2"/>
    <n v="3534.87"/>
    <x v="3274"/>
    <n v="31813.79"/>
    <x v="7"/>
    <n v="2025"/>
  </r>
  <r>
    <s v="TXN03277"/>
    <x v="5"/>
    <x v="3"/>
    <x v="16"/>
    <x v="3"/>
    <d v="2025-01-28T00:00:00"/>
    <x v="0"/>
    <n v="1662.79"/>
    <n v="20"/>
    <x v="1"/>
    <n v="997.67"/>
    <x v="3275"/>
    <n v="3990.7"/>
    <x v="10"/>
    <n v="2025"/>
  </r>
  <r>
    <s v="TXN03278"/>
    <x v="7"/>
    <x v="4"/>
    <x v="17"/>
    <x v="0"/>
    <d v="2025-01-12T00:00:00"/>
    <x v="2"/>
    <n v="3203.75"/>
    <n v="5"/>
    <x v="3"/>
    <n v="1281.5"/>
    <x v="3276"/>
    <n v="24348.5"/>
    <x v="10"/>
    <n v="2025"/>
  </r>
  <r>
    <s v="TXN03279"/>
    <x v="12"/>
    <x v="1"/>
    <x v="13"/>
    <x v="3"/>
    <d v="2025-11-22T00:00:00"/>
    <x v="9"/>
    <n v="12840.68"/>
    <n v="5"/>
    <x v="5"/>
    <n v="6420.34"/>
    <x v="3277"/>
    <n v="121986.46"/>
    <x v="8"/>
    <n v="2025"/>
  </r>
  <r>
    <s v="TXN03280"/>
    <x v="3"/>
    <x v="1"/>
    <x v="12"/>
    <x v="2"/>
    <d v="2025-06-21T00:00:00"/>
    <x v="4"/>
    <n v="5739.54"/>
    <n v="10"/>
    <x v="3"/>
    <n v="4017.68"/>
    <x v="3278"/>
    <n v="36159.1"/>
    <x v="5"/>
    <n v="2025"/>
  </r>
  <r>
    <s v="TXN03281"/>
    <x v="12"/>
    <x v="0"/>
    <x v="6"/>
    <x v="5"/>
    <d v="2024-07-07T00:00:00"/>
    <x v="9"/>
    <n v="26250.59"/>
    <n v="15"/>
    <x v="2"/>
    <n v="39375.89"/>
    <x v="3279"/>
    <n v="223130.01"/>
    <x v="11"/>
    <n v="2024"/>
  </r>
  <r>
    <s v="TXN03282"/>
    <x v="11"/>
    <x v="1"/>
    <x v="12"/>
    <x v="0"/>
    <d v="2025-09-06T00:00:00"/>
    <x v="0"/>
    <n v="6643.83"/>
    <n v="0"/>
    <x v="3"/>
    <n v="0"/>
    <x v="3280"/>
    <n v="19931.490000000002"/>
    <x v="7"/>
    <n v="2025"/>
  </r>
  <r>
    <s v="TXN03283"/>
    <x v="1"/>
    <x v="3"/>
    <x v="15"/>
    <x v="5"/>
    <d v="2024-05-02T00:00:00"/>
    <x v="3"/>
    <n v="856.9"/>
    <n v="20"/>
    <x v="3"/>
    <n v="1028.28"/>
    <x v="3281"/>
    <n v="4113.12"/>
    <x v="9"/>
    <n v="2024"/>
  </r>
  <r>
    <s v="TXN03284"/>
    <x v="1"/>
    <x v="1"/>
    <x v="2"/>
    <x v="6"/>
    <d v="2025-05-01T00:00:00"/>
    <x v="8"/>
    <n v="24976.34"/>
    <n v="5"/>
    <x v="0"/>
    <n v="1248.82"/>
    <x v="3282"/>
    <n v="23727.52"/>
    <x v="9"/>
    <n v="2025"/>
  </r>
  <r>
    <s v="TXN03285"/>
    <x v="2"/>
    <x v="3"/>
    <x v="15"/>
    <x v="1"/>
    <d v="2025-08-23T00:00:00"/>
    <x v="0"/>
    <n v="820.02"/>
    <n v="10"/>
    <x v="0"/>
    <n v="246.01"/>
    <x v="3283"/>
    <n v="2214.0500000000002"/>
    <x v="0"/>
    <n v="2025"/>
  </r>
  <r>
    <s v="TXN03286"/>
    <x v="13"/>
    <x v="2"/>
    <x v="22"/>
    <x v="4"/>
    <d v="2024-02-16T00:00:00"/>
    <x v="4"/>
    <n v="831.42"/>
    <n v="20"/>
    <x v="3"/>
    <n v="1163.99"/>
    <x v="3284"/>
    <n v="4655.95"/>
    <x v="2"/>
    <n v="2024"/>
  </r>
  <r>
    <s v="TXN03287"/>
    <x v="12"/>
    <x v="0"/>
    <x v="0"/>
    <x v="4"/>
    <d v="2024-08-04T00:00:00"/>
    <x v="3"/>
    <n v="68558.67"/>
    <n v="15"/>
    <x v="0"/>
    <n v="61702.8"/>
    <x v="3285"/>
    <n v="349649.22"/>
    <x v="0"/>
    <n v="2024"/>
  </r>
  <r>
    <s v="TXN03288"/>
    <x v="6"/>
    <x v="2"/>
    <x v="9"/>
    <x v="6"/>
    <d v="2024-01-03T00:00:00"/>
    <x v="8"/>
    <n v="4776.8900000000003"/>
    <n v="5"/>
    <x v="1"/>
    <n v="238.84"/>
    <x v="3286"/>
    <n v="4538.05"/>
    <x v="10"/>
    <n v="2024"/>
  </r>
  <r>
    <s v="TXN03289"/>
    <x v="1"/>
    <x v="2"/>
    <x v="22"/>
    <x v="1"/>
    <d v="2024-05-29T00:00:00"/>
    <x v="0"/>
    <n v="999.38"/>
    <n v="15"/>
    <x v="2"/>
    <n v="449.72"/>
    <x v="3287"/>
    <n v="2548.42"/>
    <x v="9"/>
    <n v="2024"/>
  </r>
  <r>
    <s v="TXN03290"/>
    <x v="6"/>
    <x v="3"/>
    <x v="16"/>
    <x v="6"/>
    <d v="2024-12-28T00:00:00"/>
    <x v="9"/>
    <n v="1612.51"/>
    <n v="15"/>
    <x v="5"/>
    <n v="2418.7600000000002"/>
    <x v="3288"/>
    <n v="13706.34"/>
    <x v="3"/>
    <n v="2024"/>
  </r>
  <r>
    <s v="TXN03291"/>
    <x v="10"/>
    <x v="2"/>
    <x v="11"/>
    <x v="4"/>
    <d v="2024-01-01T00:00:00"/>
    <x v="7"/>
    <n v="5492.4"/>
    <n v="10"/>
    <x v="0"/>
    <n v="2746.2"/>
    <x v="3289"/>
    <n v="24715.8"/>
    <x v="10"/>
    <n v="2024"/>
  </r>
  <r>
    <s v="TXN03292"/>
    <x v="0"/>
    <x v="1"/>
    <x v="13"/>
    <x v="4"/>
    <d v="2025-01-29T00:00:00"/>
    <x v="2"/>
    <n v="12196.42"/>
    <n v="20"/>
    <x v="7"/>
    <n v="19514.27"/>
    <x v="3290"/>
    <n v="78057.09"/>
    <x v="10"/>
    <n v="2025"/>
  </r>
  <r>
    <s v="TXN03293"/>
    <x v="3"/>
    <x v="0"/>
    <x v="3"/>
    <x v="5"/>
    <d v="2025-03-27T00:00:00"/>
    <x v="7"/>
    <n v="19970.400000000001"/>
    <n v="15"/>
    <x v="4"/>
    <n v="14977.8"/>
    <x v="3291"/>
    <n v="84874.2"/>
    <x v="6"/>
    <n v="2025"/>
  </r>
  <r>
    <s v="TXN03294"/>
    <x v="12"/>
    <x v="0"/>
    <x v="0"/>
    <x v="0"/>
    <d v="2024-07-19T00:00:00"/>
    <x v="9"/>
    <n v="69863.62"/>
    <n v="0"/>
    <x v="5"/>
    <n v="0"/>
    <x v="3292"/>
    <n v="698636.2"/>
    <x v="11"/>
    <n v="2024"/>
  </r>
  <r>
    <s v="TXN03295"/>
    <x v="11"/>
    <x v="0"/>
    <x v="24"/>
    <x v="5"/>
    <d v="2025-12-29T00:00:00"/>
    <x v="4"/>
    <n v="7584.46"/>
    <n v="10"/>
    <x v="2"/>
    <n v="5309.12"/>
    <x v="3293"/>
    <n v="47782.1"/>
    <x v="3"/>
    <n v="2025"/>
  </r>
  <r>
    <s v="TXN03296"/>
    <x v="8"/>
    <x v="1"/>
    <x v="2"/>
    <x v="3"/>
    <d v="2024-03-09T00:00:00"/>
    <x v="0"/>
    <n v="22665.64"/>
    <n v="20"/>
    <x v="2"/>
    <n v="13599.38"/>
    <x v="3294"/>
    <n v="54397.54"/>
    <x v="6"/>
    <n v="2024"/>
  </r>
  <r>
    <s v="TXN03297"/>
    <x v="6"/>
    <x v="1"/>
    <x v="8"/>
    <x v="3"/>
    <d v="2025-05-03T00:00:00"/>
    <x v="6"/>
    <n v="36549.440000000002"/>
    <n v="0"/>
    <x v="5"/>
    <n v="0"/>
    <x v="3295"/>
    <n v="328944.96000000002"/>
    <x v="9"/>
    <n v="2025"/>
  </r>
  <r>
    <s v="TXN03298"/>
    <x v="7"/>
    <x v="2"/>
    <x v="10"/>
    <x v="4"/>
    <d v="2024-03-11T00:00:00"/>
    <x v="5"/>
    <n v="2494.2399999999998"/>
    <n v="20"/>
    <x v="0"/>
    <n v="997.7"/>
    <x v="3296"/>
    <n v="3990.78"/>
    <x v="6"/>
    <n v="2024"/>
  </r>
  <r>
    <s v="TXN03299"/>
    <x v="1"/>
    <x v="4"/>
    <x v="17"/>
    <x v="2"/>
    <d v="2025-10-09T00:00:00"/>
    <x v="4"/>
    <n v="3661.83"/>
    <n v="5"/>
    <x v="6"/>
    <n v="1281.6400000000001"/>
    <x v="3297"/>
    <n v="24351.17"/>
    <x v="4"/>
    <n v="2025"/>
  </r>
  <r>
    <s v="TXN03300"/>
    <x v="2"/>
    <x v="1"/>
    <x v="13"/>
    <x v="2"/>
    <d v="2024-05-06T00:00:00"/>
    <x v="6"/>
    <n v="11867.21"/>
    <n v="5"/>
    <x v="6"/>
    <n v="5340.24"/>
    <x v="3298"/>
    <n v="101464.65"/>
    <x v="9"/>
    <n v="2024"/>
  </r>
  <r>
    <s v="TXN03301"/>
    <x v="1"/>
    <x v="0"/>
    <x v="6"/>
    <x v="3"/>
    <d v="2025-10-24T00:00:00"/>
    <x v="6"/>
    <n v="27277.49"/>
    <n v="5"/>
    <x v="4"/>
    <n v="12274.87"/>
    <x v="3299"/>
    <n v="233222.54"/>
    <x v="4"/>
    <n v="2025"/>
  </r>
  <r>
    <s v="TXN03302"/>
    <x v="6"/>
    <x v="4"/>
    <x v="17"/>
    <x v="0"/>
    <d v="2025-09-12T00:00:00"/>
    <x v="7"/>
    <n v="3318.49"/>
    <n v="0"/>
    <x v="3"/>
    <n v="0"/>
    <x v="3300"/>
    <n v="16592.45"/>
    <x v="7"/>
    <n v="2025"/>
  </r>
  <r>
    <s v="TXN03303"/>
    <x v="11"/>
    <x v="0"/>
    <x v="6"/>
    <x v="3"/>
    <d v="2024-09-08T00:00:00"/>
    <x v="9"/>
    <n v="27202.13"/>
    <n v="20"/>
    <x v="5"/>
    <n v="54404.26"/>
    <x v="3301"/>
    <n v="217617.04"/>
    <x v="7"/>
    <n v="2024"/>
  </r>
  <r>
    <s v="TXN03304"/>
    <x v="0"/>
    <x v="1"/>
    <x v="13"/>
    <x v="2"/>
    <d v="2024-07-31T00:00:00"/>
    <x v="0"/>
    <n v="11578.96"/>
    <n v="10"/>
    <x v="7"/>
    <n v="3473.69"/>
    <x v="3302"/>
    <n v="31263.19"/>
    <x v="11"/>
    <n v="2024"/>
  </r>
  <r>
    <s v="TXN03305"/>
    <x v="4"/>
    <x v="2"/>
    <x v="11"/>
    <x v="5"/>
    <d v="2025-09-19T00:00:00"/>
    <x v="1"/>
    <n v="4658.51"/>
    <n v="15"/>
    <x v="2"/>
    <n v="2795.11"/>
    <x v="3303"/>
    <n v="15838.93"/>
    <x v="7"/>
    <n v="2025"/>
  </r>
  <r>
    <s v="TXN03306"/>
    <x v="6"/>
    <x v="2"/>
    <x v="22"/>
    <x v="5"/>
    <d v="2025-11-30T00:00:00"/>
    <x v="2"/>
    <n v="993.15"/>
    <n v="20"/>
    <x v="0"/>
    <n v="1589.04"/>
    <x v="3304"/>
    <n v="6356.16"/>
    <x v="8"/>
    <n v="2025"/>
  </r>
  <r>
    <s v="TXN03307"/>
    <x v="14"/>
    <x v="0"/>
    <x v="3"/>
    <x v="4"/>
    <d v="2024-02-12T00:00:00"/>
    <x v="5"/>
    <n v="16642.63"/>
    <n v="10"/>
    <x v="3"/>
    <n v="3328.53"/>
    <x v="3305"/>
    <n v="29956.73"/>
    <x v="2"/>
    <n v="2024"/>
  </r>
  <r>
    <s v="TXN03308"/>
    <x v="10"/>
    <x v="0"/>
    <x v="24"/>
    <x v="0"/>
    <d v="2025-12-18T00:00:00"/>
    <x v="4"/>
    <n v="7686.37"/>
    <n v="5"/>
    <x v="3"/>
    <n v="2690.23"/>
    <x v="3306"/>
    <n v="51114.36"/>
    <x v="3"/>
    <n v="2025"/>
  </r>
  <r>
    <s v="TXN03309"/>
    <x v="4"/>
    <x v="4"/>
    <x v="23"/>
    <x v="3"/>
    <d v="2025-01-12T00:00:00"/>
    <x v="5"/>
    <n v="11013.71"/>
    <n v="15"/>
    <x v="0"/>
    <n v="3304.11"/>
    <x v="3307"/>
    <n v="18723.310000000001"/>
    <x v="10"/>
    <n v="2025"/>
  </r>
  <r>
    <s v="TXN03310"/>
    <x v="3"/>
    <x v="1"/>
    <x v="4"/>
    <x v="0"/>
    <d v="2024-09-11T00:00:00"/>
    <x v="2"/>
    <n v="9100.36"/>
    <n v="10"/>
    <x v="0"/>
    <n v="7280.29"/>
    <x v="3308"/>
    <n v="65522.59"/>
    <x v="7"/>
    <n v="2024"/>
  </r>
  <r>
    <s v="TXN03311"/>
    <x v="14"/>
    <x v="4"/>
    <x v="19"/>
    <x v="3"/>
    <d v="2025-09-20T00:00:00"/>
    <x v="2"/>
    <n v="9154.86"/>
    <n v="10"/>
    <x v="2"/>
    <n v="7323.89"/>
    <x v="3309"/>
    <n v="65914.990000000005"/>
    <x v="7"/>
    <n v="2025"/>
  </r>
  <r>
    <s v="TXN03312"/>
    <x v="9"/>
    <x v="2"/>
    <x v="9"/>
    <x v="0"/>
    <d v="2024-06-12T00:00:00"/>
    <x v="0"/>
    <n v="4363.5200000000004"/>
    <n v="20"/>
    <x v="2"/>
    <n v="2618.11"/>
    <x v="3310"/>
    <n v="10472.450000000001"/>
    <x v="5"/>
    <n v="2024"/>
  </r>
  <r>
    <s v="TXN03313"/>
    <x v="4"/>
    <x v="3"/>
    <x v="20"/>
    <x v="1"/>
    <d v="2024-11-10T00:00:00"/>
    <x v="4"/>
    <n v="4067.02"/>
    <n v="10"/>
    <x v="1"/>
    <n v="2846.91"/>
    <x v="3311"/>
    <n v="25622.23"/>
    <x v="8"/>
    <n v="2024"/>
  </r>
  <r>
    <s v="TXN03314"/>
    <x v="12"/>
    <x v="0"/>
    <x v="24"/>
    <x v="4"/>
    <d v="2024-11-30T00:00:00"/>
    <x v="4"/>
    <n v="7957.63"/>
    <n v="10"/>
    <x v="2"/>
    <n v="5570.34"/>
    <x v="3312"/>
    <n v="50133.07"/>
    <x v="8"/>
    <n v="2024"/>
  </r>
  <r>
    <s v="TXN03315"/>
    <x v="4"/>
    <x v="0"/>
    <x v="6"/>
    <x v="2"/>
    <d v="2025-03-07T00:00:00"/>
    <x v="0"/>
    <n v="27191.84"/>
    <n v="15"/>
    <x v="1"/>
    <n v="12236.33"/>
    <x v="3313"/>
    <n v="69339.19"/>
    <x v="6"/>
    <n v="2025"/>
  </r>
  <r>
    <s v="TXN03316"/>
    <x v="12"/>
    <x v="4"/>
    <x v="18"/>
    <x v="4"/>
    <d v="2025-12-20T00:00:00"/>
    <x v="8"/>
    <n v="13905.83"/>
    <n v="20"/>
    <x v="5"/>
    <n v="2781.17"/>
    <x v="3314"/>
    <n v="11124.66"/>
    <x v="3"/>
    <n v="2025"/>
  </r>
  <r>
    <s v="TXN03317"/>
    <x v="8"/>
    <x v="1"/>
    <x v="4"/>
    <x v="0"/>
    <d v="2024-03-15T00:00:00"/>
    <x v="0"/>
    <n v="8351.06"/>
    <n v="10"/>
    <x v="3"/>
    <n v="2505.3200000000002"/>
    <x v="3315"/>
    <n v="22547.86"/>
    <x v="6"/>
    <n v="2024"/>
  </r>
  <r>
    <s v="TXN03318"/>
    <x v="14"/>
    <x v="4"/>
    <x v="19"/>
    <x v="1"/>
    <d v="2024-05-30T00:00:00"/>
    <x v="1"/>
    <n v="7785.41"/>
    <n v="15"/>
    <x v="3"/>
    <n v="4671.25"/>
    <x v="3316"/>
    <n v="26470.39"/>
    <x v="9"/>
    <n v="2024"/>
  </r>
  <r>
    <s v="TXN03319"/>
    <x v="4"/>
    <x v="4"/>
    <x v="14"/>
    <x v="2"/>
    <d v="2024-10-20T00:00:00"/>
    <x v="3"/>
    <n v="1886.14"/>
    <n v="20"/>
    <x v="1"/>
    <n v="2263.37"/>
    <x v="3317"/>
    <n v="9053.4699999999993"/>
    <x v="4"/>
    <n v="2024"/>
  </r>
  <r>
    <s v="TXN03320"/>
    <x v="3"/>
    <x v="4"/>
    <x v="18"/>
    <x v="1"/>
    <d v="2025-12-15T00:00:00"/>
    <x v="8"/>
    <n v="13394.55"/>
    <n v="5"/>
    <x v="4"/>
    <n v="669.73"/>
    <x v="3318"/>
    <n v="12724.82"/>
    <x v="3"/>
    <n v="2025"/>
  </r>
  <r>
    <s v="TXN03321"/>
    <x v="9"/>
    <x v="1"/>
    <x v="8"/>
    <x v="4"/>
    <d v="2024-10-26T00:00:00"/>
    <x v="2"/>
    <n v="45710.51"/>
    <n v="5"/>
    <x v="7"/>
    <n v="18284.2"/>
    <x v="3319"/>
    <n v="347399.88"/>
    <x v="4"/>
    <n v="2024"/>
  </r>
  <r>
    <s v="TXN03322"/>
    <x v="11"/>
    <x v="1"/>
    <x v="13"/>
    <x v="2"/>
    <d v="2025-12-11T00:00:00"/>
    <x v="8"/>
    <n v="14937.33"/>
    <n v="10"/>
    <x v="3"/>
    <n v="1493.73"/>
    <x v="3320"/>
    <n v="13443.6"/>
    <x v="3"/>
    <n v="2025"/>
  </r>
  <r>
    <s v="TXN03323"/>
    <x v="0"/>
    <x v="3"/>
    <x v="15"/>
    <x v="5"/>
    <d v="2025-02-13T00:00:00"/>
    <x v="2"/>
    <n v="722.35"/>
    <n v="5"/>
    <x v="6"/>
    <n v="288.94"/>
    <x v="3321"/>
    <n v="5489.86"/>
    <x v="2"/>
    <n v="2025"/>
  </r>
  <r>
    <s v="TXN03324"/>
    <x v="8"/>
    <x v="4"/>
    <x v="18"/>
    <x v="4"/>
    <d v="2024-07-24T00:00:00"/>
    <x v="8"/>
    <n v="11138.47"/>
    <n v="5"/>
    <x v="2"/>
    <n v="556.91999999999996"/>
    <x v="3322"/>
    <n v="10581.55"/>
    <x v="11"/>
    <n v="2024"/>
  </r>
  <r>
    <s v="TXN03325"/>
    <x v="4"/>
    <x v="1"/>
    <x v="12"/>
    <x v="3"/>
    <d v="2025-11-23T00:00:00"/>
    <x v="6"/>
    <n v="6422.09"/>
    <n v="10"/>
    <x v="1"/>
    <n v="5779.88"/>
    <x v="3323"/>
    <n v="52018.93"/>
    <x v="8"/>
    <n v="2025"/>
  </r>
  <r>
    <s v="TXN03326"/>
    <x v="4"/>
    <x v="1"/>
    <x v="2"/>
    <x v="0"/>
    <d v="2024-07-28T00:00:00"/>
    <x v="1"/>
    <n v="25142.87"/>
    <n v="15"/>
    <x v="0"/>
    <n v="15085.72"/>
    <x v="3324"/>
    <n v="85485.759999999995"/>
    <x v="11"/>
    <n v="2024"/>
  </r>
  <r>
    <s v="TXN03327"/>
    <x v="13"/>
    <x v="2"/>
    <x v="9"/>
    <x v="3"/>
    <d v="2025-12-08T00:00:00"/>
    <x v="6"/>
    <n v="5204"/>
    <n v="15"/>
    <x v="3"/>
    <n v="7025.4"/>
    <x v="3325"/>
    <n v="39810.6"/>
    <x v="3"/>
    <n v="2025"/>
  </r>
  <r>
    <s v="TXN03328"/>
    <x v="1"/>
    <x v="0"/>
    <x v="6"/>
    <x v="1"/>
    <d v="2025-10-17T00:00:00"/>
    <x v="7"/>
    <n v="28920.3"/>
    <n v="10"/>
    <x v="5"/>
    <n v="14460.15"/>
    <x v="3326"/>
    <n v="130141.35"/>
    <x v="4"/>
    <n v="2025"/>
  </r>
  <r>
    <s v="TXN03329"/>
    <x v="7"/>
    <x v="4"/>
    <x v="14"/>
    <x v="1"/>
    <d v="2025-03-05T00:00:00"/>
    <x v="7"/>
    <n v="1563.1"/>
    <n v="0"/>
    <x v="5"/>
    <n v="0"/>
    <x v="3327"/>
    <n v="7815.5"/>
    <x v="6"/>
    <n v="2025"/>
  </r>
  <r>
    <s v="TXN03330"/>
    <x v="7"/>
    <x v="0"/>
    <x v="6"/>
    <x v="0"/>
    <d v="2024-04-05T00:00:00"/>
    <x v="9"/>
    <n v="28315.8"/>
    <n v="10"/>
    <x v="5"/>
    <n v="28315.8"/>
    <x v="3328"/>
    <n v="254842.2"/>
    <x v="1"/>
    <n v="2024"/>
  </r>
  <r>
    <s v="TXN03331"/>
    <x v="6"/>
    <x v="0"/>
    <x v="0"/>
    <x v="1"/>
    <d v="2024-10-25T00:00:00"/>
    <x v="4"/>
    <n v="66311.320000000007"/>
    <n v="10"/>
    <x v="5"/>
    <n v="46417.919999999998"/>
    <x v="3329"/>
    <n v="417761.32"/>
    <x v="4"/>
    <n v="2024"/>
  </r>
  <r>
    <s v="TXN03332"/>
    <x v="9"/>
    <x v="2"/>
    <x v="10"/>
    <x v="1"/>
    <d v="2025-06-20T00:00:00"/>
    <x v="6"/>
    <n v="2610.67"/>
    <n v="0"/>
    <x v="0"/>
    <n v="0"/>
    <x v="3330"/>
    <n v="23496.03"/>
    <x v="5"/>
    <n v="2025"/>
  </r>
  <r>
    <s v="TXN03333"/>
    <x v="8"/>
    <x v="3"/>
    <x v="20"/>
    <x v="1"/>
    <d v="2024-10-15T00:00:00"/>
    <x v="8"/>
    <n v="3726.74"/>
    <n v="0"/>
    <x v="1"/>
    <n v="0"/>
    <x v="3331"/>
    <n v="3726.74"/>
    <x v="4"/>
    <n v="2024"/>
  </r>
  <r>
    <s v="TXN03334"/>
    <x v="1"/>
    <x v="3"/>
    <x v="16"/>
    <x v="6"/>
    <d v="2024-03-18T00:00:00"/>
    <x v="1"/>
    <n v="1662.61"/>
    <n v="5"/>
    <x v="5"/>
    <n v="332.52"/>
    <x v="3332"/>
    <n v="6317.92"/>
    <x v="6"/>
    <n v="2024"/>
  </r>
  <r>
    <s v="TXN03335"/>
    <x v="5"/>
    <x v="2"/>
    <x v="10"/>
    <x v="6"/>
    <d v="2025-05-03T00:00:00"/>
    <x v="7"/>
    <n v="2536.3000000000002"/>
    <n v="10"/>
    <x v="0"/>
    <n v="1268.1500000000001"/>
    <x v="3333"/>
    <n v="11413.35"/>
    <x v="9"/>
    <n v="2025"/>
  </r>
  <r>
    <s v="TXN03336"/>
    <x v="2"/>
    <x v="2"/>
    <x v="10"/>
    <x v="1"/>
    <d v="2024-04-15T00:00:00"/>
    <x v="4"/>
    <n v="2572.6999999999998"/>
    <n v="10"/>
    <x v="1"/>
    <n v="1800.89"/>
    <x v="3334"/>
    <n v="16208.01"/>
    <x v="1"/>
    <n v="2024"/>
  </r>
  <r>
    <s v="TXN03337"/>
    <x v="11"/>
    <x v="4"/>
    <x v="19"/>
    <x v="1"/>
    <d v="2025-04-06T00:00:00"/>
    <x v="6"/>
    <n v="7724.53"/>
    <n v="0"/>
    <x v="6"/>
    <n v="0"/>
    <x v="3335"/>
    <n v="69520.77"/>
    <x v="1"/>
    <n v="2025"/>
  </r>
  <r>
    <s v="TXN03338"/>
    <x v="7"/>
    <x v="2"/>
    <x v="10"/>
    <x v="5"/>
    <d v="2025-02-18T00:00:00"/>
    <x v="9"/>
    <n v="2579.4499999999998"/>
    <n v="20"/>
    <x v="7"/>
    <n v="5158.8999999999996"/>
    <x v="3336"/>
    <n v="20635.599999999999"/>
    <x v="2"/>
    <n v="2025"/>
  </r>
  <r>
    <s v="TXN03339"/>
    <x v="0"/>
    <x v="1"/>
    <x v="2"/>
    <x v="1"/>
    <d v="2024-04-05T00:00:00"/>
    <x v="5"/>
    <n v="24786.34"/>
    <n v="15"/>
    <x v="2"/>
    <n v="7435.9"/>
    <x v="3337"/>
    <n v="42136.78"/>
    <x v="1"/>
    <n v="2024"/>
  </r>
  <r>
    <s v="TXN03340"/>
    <x v="1"/>
    <x v="4"/>
    <x v="14"/>
    <x v="1"/>
    <d v="2025-08-05T00:00:00"/>
    <x v="9"/>
    <n v="1526.26"/>
    <n v="15"/>
    <x v="7"/>
    <n v="2289.39"/>
    <x v="3338"/>
    <n v="12973.21"/>
    <x v="0"/>
    <n v="2025"/>
  </r>
  <r>
    <s v="TXN03341"/>
    <x v="12"/>
    <x v="4"/>
    <x v="19"/>
    <x v="2"/>
    <d v="2025-11-10T00:00:00"/>
    <x v="1"/>
    <n v="8271.6299999999992"/>
    <n v="0"/>
    <x v="0"/>
    <n v="0"/>
    <x v="3339"/>
    <n v="33086.519999999997"/>
    <x v="8"/>
    <n v="2025"/>
  </r>
  <r>
    <s v="TXN03342"/>
    <x v="0"/>
    <x v="4"/>
    <x v="17"/>
    <x v="0"/>
    <d v="2024-12-06T00:00:00"/>
    <x v="6"/>
    <n v="3664.6"/>
    <n v="5"/>
    <x v="1"/>
    <n v="1649.07"/>
    <x v="3340"/>
    <n v="31332.33"/>
    <x v="3"/>
    <n v="2024"/>
  </r>
  <r>
    <s v="TXN03343"/>
    <x v="8"/>
    <x v="3"/>
    <x v="20"/>
    <x v="6"/>
    <d v="2025-08-25T00:00:00"/>
    <x v="3"/>
    <n v="3519.23"/>
    <n v="15"/>
    <x v="7"/>
    <n v="3167.31"/>
    <x v="3341"/>
    <n v="17948.07"/>
    <x v="0"/>
    <n v="2025"/>
  </r>
  <r>
    <s v="TXN03344"/>
    <x v="3"/>
    <x v="1"/>
    <x v="8"/>
    <x v="4"/>
    <d v="2024-09-02T00:00:00"/>
    <x v="1"/>
    <n v="41785.019999999997"/>
    <n v="20"/>
    <x v="5"/>
    <n v="33428.019999999997"/>
    <x v="3342"/>
    <n v="133712.06"/>
    <x v="7"/>
    <n v="2024"/>
  </r>
  <r>
    <s v="TXN03345"/>
    <x v="5"/>
    <x v="2"/>
    <x v="5"/>
    <x v="4"/>
    <d v="2025-02-13T00:00:00"/>
    <x v="0"/>
    <n v="1108.28"/>
    <n v="15"/>
    <x v="2"/>
    <n v="498.73"/>
    <x v="3343"/>
    <n v="2826.11"/>
    <x v="2"/>
    <n v="2025"/>
  </r>
  <r>
    <s v="TXN03346"/>
    <x v="13"/>
    <x v="3"/>
    <x v="21"/>
    <x v="1"/>
    <d v="2025-07-06T00:00:00"/>
    <x v="7"/>
    <n v="2830.64"/>
    <n v="15"/>
    <x v="5"/>
    <n v="2122.98"/>
    <x v="3344"/>
    <n v="12030.22"/>
    <x v="11"/>
    <n v="2025"/>
  </r>
  <r>
    <s v="TXN03347"/>
    <x v="12"/>
    <x v="2"/>
    <x v="9"/>
    <x v="3"/>
    <d v="2024-01-05T00:00:00"/>
    <x v="1"/>
    <n v="4057.27"/>
    <n v="20"/>
    <x v="0"/>
    <n v="3245.82"/>
    <x v="3345"/>
    <n v="12983.26"/>
    <x v="10"/>
    <n v="2024"/>
  </r>
  <r>
    <s v="TXN03348"/>
    <x v="7"/>
    <x v="3"/>
    <x v="7"/>
    <x v="3"/>
    <d v="2024-07-02T00:00:00"/>
    <x v="2"/>
    <n v="1959.28"/>
    <n v="15"/>
    <x v="6"/>
    <n v="2351.14"/>
    <x v="3346"/>
    <n v="13323.1"/>
    <x v="11"/>
    <n v="2024"/>
  </r>
  <r>
    <s v="TXN03349"/>
    <x v="10"/>
    <x v="2"/>
    <x v="11"/>
    <x v="2"/>
    <d v="2024-09-18T00:00:00"/>
    <x v="3"/>
    <n v="4587.04"/>
    <n v="10"/>
    <x v="0"/>
    <n v="2752.22"/>
    <x v="3347"/>
    <n v="24770.02"/>
    <x v="7"/>
    <n v="2024"/>
  </r>
  <r>
    <s v="TXN03350"/>
    <x v="3"/>
    <x v="0"/>
    <x v="6"/>
    <x v="4"/>
    <d v="2024-11-03T00:00:00"/>
    <x v="4"/>
    <n v="25482.16"/>
    <n v="5"/>
    <x v="5"/>
    <n v="8918.76"/>
    <x v="3348"/>
    <n v="169456.36"/>
    <x v="8"/>
    <n v="2024"/>
  </r>
  <r>
    <s v="TXN03351"/>
    <x v="11"/>
    <x v="0"/>
    <x v="1"/>
    <x v="3"/>
    <d v="2024-01-08T00:00:00"/>
    <x v="6"/>
    <n v="3387.07"/>
    <n v="15"/>
    <x v="0"/>
    <n v="4572.54"/>
    <x v="3349"/>
    <n v="25911.09"/>
    <x v="10"/>
    <n v="2024"/>
  </r>
  <r>
    <s v="TXN03352"/>
    <x v="8"/>
    <x v="1"/>
    <x v="12"/>
    <x v="5"/>
    <d v="2025-07-22T00:00:00"/>
    <x v="0"/>
    <n v="6825.2"/>
    <n v="15"/>
    <x v="0"/>
    <n v="3071.34"/>
    <x v="3350"/>
    <n v="17404.259999999998"/>
    <x v="11"/>
    <n v="2025"/>
  </r>
  <r>
    <s v="TXN03353"/>
    <x v="14"/>
    <x v="4"/>
    <x v="23"/>
    <x v="2"/>
    <d v="2024-05-03T00:00:00"/>
    <x v="6"/>
    <n v="9731.2199999999993"/>
    <n v="10"/>
    <x v="7"/>
    <n v="8758.1"/>
    <x v="3351"/>
    <n v="78822.880000000005"/>
    <x v="9"/>
    <n v="2024"/>
  </r>
  <r>
    <s v="TXN03354"/>
    <x v="8"/>
    <x v="1"/>
    <x v="2"/>
    <x v="6"/>
    <d v="2024-07-22T00:00:00"/>
    <x v="8"/>
    <n v="27376.45"/>
    <n v="0"/>
    <x v="2"/>
    <n v="0"/>
    <x v="3352"/>
    <n v="27376.45"/>
    <x v="11"/>
    <n v="2024"/>
  </r>
  <r>
    <s v="TXN03355"/>
    <x v="14"/>
    <x v="0"/>
    <x v="24"/>
    <x v="1"/>
    <d v="2024-03-15T00:00:00"/>
    <x v="8"/>
    <n v="7747.74"/>
    <n v="10"/>
    <x v="3"/>
    <n v="774.77"/>
    <x v="3353"/>
    <n v="6972.97"/>
    <x v="6"/>
    <n v="2024"/>
  </r>
  <r>
    <s v="TXN03356"/>
    <x v="5"/>
    <x v="1"/>
    <x v="13"/>
    <x v="2"/>
    <d v="2025-05-15T00:00:00"/>
    <x v="1"/>
    <n v="13465.34"/>
    <n v="0"/>
    <x v="4"/>
    <n v="0"/>
    <x v="3354"/>
    <n v="53861.36"/>
    <x v="9"/>
    <n v="2025"/>
  </r>
  <r>
    <s v="TXN03357"/>
    <x v="4"/>
    <x v="3"/>
    <x v="16"/>
    <x v="3"/>
    <d v="2025-04-25T00:00:00"/>
    <x v="5"/>
    <n v="1634.02"/>
    <n v="15"/>
    <x v="6"/>
    <n v="490.21"/>
    <x v="3355"/>
    <n v="2777.83"/>
    <x v="1"/>
    <n v="2025"/>
  </r>
  <r>
    <s v="TXN03358"/>
    <x v="12"/>
    <x v="0"/>
    <x v="1"/>
    <x v="2"/>
    <d v="2024-04-20T00:00:00"/>
    <x v="4"/>
    <n v="2973.57"/>
    <n v="20"/>
    <x v="6"/>
    <n v="4163"/>
    <x v="3356"/>
    <n v="16651.990000000002"/>
    <x v="1"/>
    <n v="2024"/>
  </r>
  <r>
    <s v="TXN03359"/>
    <x v="10"/>
    <x v="4"/>
    <x v="19"/>
    <x v="5"/>
    <d v="2025-04-11T00:00:00"/>
    <x v="4"/>
    <n v="7791.99"/>
    <n v="20"/>
    <x v="2"/>
    <n v="10908.79"/>
    <x v="3357"/>
    <n v="43635.14"/>
    <x v="1"/>
    <n v="2025"/>
  </r>
  <r>
    <s v="TXN03360"/>
    <x v="9"/>
    <x v="2"/>
    <x v="9"/>
    <x v="3"/>
    <d v="2024-07-18T00:00:00"/>
    <x v="7"/>
    <n v="4926.3500000000004"/>
    <n v="0"/>
    <x v="0"/>
    <n v="0"/>
    <x v="3358"/>
    <n v="24631.75"/>
    <x v="11"/>
    <n v="2024"/>
  </r>
  <r>
    <s v="TXN03361"/>
    <x v="0"/>
    <x v="0"/>
    <x v="1"/>
    <x v="0"/>
    <d v="2024-06-14T00:00:00"/>
    <x v="7"/>
    <n v="3408.73"/>
    <n v="15"/>
    <x v="3"/>
    <n v="2556.5500000000002"/>
    <x v="3359"/>
    <n v="14487.1"/>
    <x v="5"/>
    <n v="2024"/>
  </r>
  <r>
    <s v="TXN03362"/>
    <x v="10"/>
    <x v="3"/>
    <x v="7"/>
    <x v="5"/>
    <d v="2025-12-12T00:00:00"/>
    <x v="0"/>
    <n v="1844.96"/>
    <n v="0"/>
    <x v="0"/>
    <n v="0"/>
    <x v="3360"/>
    <n v="5534.88"/>
    <x v="3"/>
    <n v="2025"/>
  </r>
  <r>
    <s v="TXN03363"/>
    <x v="10"/>
    <x v="2"/>
    <x v="10"/>
    <x v="0"/>
    <d v="2025-09-30T00:00:00"/>
    <x v="8"/>
    <n v="2536.66"/>
    <n v="10"/>
    <x v="0"/>
    <n v="253.67"/>
    <x v="3361"/>
    <n v="2282.9899999999998"/>
    <x v="7"/>
    <n v="2025"/>
  </r>
  <r>
    <s v="TXN03364"/>
    <x v="8"/>
    <x v="3"/>
    <x v="16"/>
    <x v="4"/>
    <d v="2024-02-21T00:00:00"/>
    <x v="5"/>
    <n v="1475.47"/>
    <n v="20"/>
    <x v="2"/>
    <n v="590.19000000000005"/>
    <x v="3362"/>
    <n v="2360.75"/>
    <x v="2"/>
    <n v="2024"/>
  </r>
  <r>
    <s v="TXN03365"/>
    <x v="14"/>
    <x v="0"/>
    <x v="0"/>
    <x v="0"/>
    <d v="2025-12-19T00:00:00"/>
    <x v="5"/>
    <n v="65133.93"/>
    <n v="15"/>
    <x v="1"/>
    <n v="19540.18"/>
    <x v="3363"/>
    <n v="110727.67999999999"/>
    <x v="3"/>
    <n v="2025"/>
  </r>
  <r>
    <s v="TXN03366"/>
    <x v="13"/>
    <x v="1"/>
    <x v="2"/>
    <x v="1"/>
    <d v="2024-05-17T00:00:00"/>
    <x v="4"/>
    <n v="24679.06"/>
    <n v="20"/>
    <x v="1"/>
    <n v="34550.68"/>
    <x v="3364"/>
    <n v="138202.74"/>
    <x v="9"/>
    <n v="2024"/>
  </r>
  <r>
    <s v="TXN03367"/>
    <x v="4"/>
    <x v="1"/>
    <x v="4"/>
    <x v="5"/>
    <d v="2025-09-04T00:00:00"/>
    <x v="2"/>
    <n v="8927.0300000000007"/>
    <n v="5"/>
    <x v="5"/>
    <n v="3570.81"/>
    <x v="3365"/>
    <n v="67845.429999999993"/>
    <x v="7"/>
    <n v="2025"/>
  </r>
  <r>
    <s v="TXN03368"/>
    <x v="5"/>
    <x v="1"/>
    <x v="4"/>
    <x v="6"/>
    <d v="2025-01-01T00:00:00"/>
    <x v="2"/>
    <n v="8988.86"/>
    <n v="20"/>
    <x v="0"/>
    <n v="14382.18"/>
    <x v="3366"/>
    <n v="57528.7"/>
    <x v="10"/>
    <n v="2025"/>
  </r>
  <r>
    <s v="TXN03369"/>
    <x v="5"/>
    <x v="1"/>
    <x v="12"/>
    <x v="6"/>
    <d v="2025-04-28T00:00:00"/>
    <x v="9"/>
    <n v="5536.93"/>
    <n v="10"/>
    <x v="2"/>
    <n v="5536.93"/>
    <x v="3367"/>
    <n v="49832.37"/>
    <x v="1"/>
    <n v="2025"/>
  </r>
  <r>
    <s v="TXN03370"/>
    <x v="14"/>
    <x v="4"/>
    <x v="18"/>
    <x v="2"/>
    <d v="2025-10-10T00:00:00"/>
    <x v="4"/>
    <n v="14695.11"/>
    <n v="5"/>
    <x v="2"/>
    <n v="5143.29"/>
    <x v="3368"/>
    <n v="97722.48"/>
    <x v="4"/>
    <n v="2025"/>
  </r>
  <r>
    <s v="TXN03371"/>
    <x v="14"/>
    <x v="1"/>
    <x v="12"/>
    <x v="4"/>
    <d v="2025-05-21T00:00:00"/>
    <x v="0"/>
    <n v="6625.93"/>
    <n v="15"/>
    <x v="7"/>
    <n v="2981.67"/>
    <x v="3369"/>
    <n v="16896.12"/>
    <x v="9"/>
    <n v="2025"/>
  </r>
  <r>
    <s v="TXN03372"/>
    <x v="7"/>
    <x v="4"/>
    <x v="19"/>
    <x v="3"/>
    <d v="2024-11-13T00:00:00"/>
    <x v="4"/>
    <n v="9105.2000000000007"/>
    <n v="10"/>
    <x v="3"/>
    <n v="6373.64"/>
    <x v="3370"/>
    <n v="57362.76"/>
    <x v="8"/>
    <n v="2024"/>
  </r>
  <r>
    <s v="TXN03373"/>
    <x v="0"/>
    <x v="2"/>
    <x v="5"/>
    <x v="5"/>
    <d v="2024-10-24T00:00:00"/>
    <x v="8"/>
    <n v="1201"/>
    <n v="0"/>
    <x v="3"/>
    <n v="0"/>
    <x v="3371"/>
    <n v="1201"/>
    <x v="4"/>
    <n v="2024"/>
  </r>
  <r>
    <s v="TXN03374"/>
    <x v="9"/>
    <x v="1"/>
    <x v="12"/>
    <x v="5"/>
    <d v="2024-03-29T00:00:00"/>
    <x v="7"/>
    <n v="6399.81"/>
    <n v="15"/>
    <x v="1"/>
    <n v="4799.8599999999997"/>
    <x v="3372"/>
    <n v="27199.19"/>
    <x v="6"/>
    <n v="2024"/>
  </r>
  <r>
    <s v="TXN03375"/>
    <x v="6"/>
    <x v="0"/>
    <x v="3"/>
    <x v="6"/>
    <d v="2025-07-26T00:00:00"/>
    <x v="3"/>
    <n v="17459.12"/>
    <n v="5"/>
    <x v="1"/>
    <n v="5237.74"/>
    <x v="3373"/>
    <n v="99516.98"/>
    <x v="11"/>
    <n v="2025"/>
  </r>
  <r>
    <s v="TXN03376"/>
    <x v="1"/>
    <x v="4"/>
    <x v="17"/>
    <x v="2"/>
    <d v="2024-02-28T00:00:00"/>
    <x v="1"/>
    <n v="4014.81"/>
    <n v="10"/>
    <x v="0"/>
    <n v="1605.92"/>
    <x v="3374"/>
    <n v="14453.32"/>
    <x v="2"/>
    <n v="2024"/>
  </r>
  <r>
    <s v="TXN03377"/>
    <x v="1"/>
    <x v="4"/>
    <x v="18"/>
    <x v="6"/>
    <d v="2024-01-14T00:00:00"/>
    <x v="5"/>
    <n v="13521.22"/>
    <n v="0"/>
    <x v="0"/>
    <n v="0"/>
    <x v="3375"/>
    <n v="27042.44"/>
    <x v="10"/>
    <n v="2024"/>
  </r>
  <r>
    <s v="TXN03378"/>
    <x v="13"/>
    <x v="0"/>
    <x v="1"/>
    <x v="6"/>
    <d v="2024-03-08T00:00:00"/>
    <x v="6"/>
    <n v="3032.53"/>
    <n v="0"/>
    <x v="0"/>
    <n v="0"/>
    <x v="3376"/>
    <n v="27292.77"/>
    <x v="6"/>
    <n v="2024"/>
  </r>
  <r>
    <s v="TXN03379"/>
    <x v="4"/>
    <x v="0"/>
    <x v="3"/>
    <x v="3"/>
    <d v="2024-06-26T00:00:00"/>
    <x v="6"/>
    <n v="19096.64"/>
    <n v="5"/>
    <x v="1"/>
    <n v="8593.49"/>
    <x v="3377"/>
    <n v="163276.26999999999"/>
    <x v="5"/>
    <n v="2024"/>
  </r>
  <r>
    <s v="TXN03380"/>
    <x v="6"/>
    <x v="3"/>
    <x v="20"/>
    <x v="0"/>
    <d v="2025-10-01T00:00:00"/>
    <x v="8"/>
    <n v="4063.33"/>
    <n v="5"/>
    <x v="3"/>
    <n v="203.17"/>
    <x v="3378"/>
    <n v="3860.16"/>
    <x v="4"/>
    <n v="2025"/>
  </r>
  <r>
    <s v="TXN03381"/>
    <x v="0"/>
    <x v="0"/>
    <x v="3"/>
    <x v="4"/>
    <d v="2025-03-03T00:00:00"/>
    <x v="4"/>
    <n v="16598.34"/>
    <n v="15"/>
    <x v="6"/>
    <n v="17428.259999999998"/>
    <x v="3379"/>
    <n v="98760.12"/>
    <x v="6"/>
    <n v="2025"/>
  </r>
  <r>
    <s v="TXN03382"/>
    <x v="9"/>
    <x v="4"/>
    <x v="18"/>
    <x v="2"/>
    <d v="2025-06-08T00:00:00"/>
    <x v="5"/>
    <n v="11220.99"/>
    <n v="5"/>
    <x v="1"/>
    <n v="1122.0999999999999"/>
    <x v="3380"/>
    <n v="21319.88"/>
    <x v="5"/>
    <n v="2025"/>
  </r>
  <r>
    <s v="TXN03383"/>
    <x v="6"/>
    <x v="4"/>
    <x v="14"/>
    <x v="0"/>
    <d v="2025-04-14T00:00:00"/>
    <x v="7"/>
    <n v="1638.41"/>
    <n v="0"/>
    <x v="4"/>
    <n v="0"/>
    <x v="3381"/>
    <n v="8192.0499999999993"/>
    <x v="1"/>
    <n v="2025"/>
  </r>
  <r>
    <s v="TXN03384"/>
    <x v="6"/>
    <x v="3"/>
    <x v="7"/>
    <x v="3"/>
    <d v="2024-02-07T00:00:00"/>
    <x v="3"/>
    <n v="1926.4"/>
    <n v="5"/>
    <x v="7"/>
    <n v="577.91999999999996"/>
    <x v="3382"/>
    <n v="10980.48"/>
    <x v="2"/>
    <n v="2024"/>
  </r>
  <r>
    <s v="TXN03385"/>
    <x v="4"/>
    <x v="1"/>
    <x v="12"/>
    <x v="6"/>
    <d v="2025-05-24T00:00:00"/>
    <x v="1"/>
    <n v="6306.99"/>
    <n v="20"/>
    <x v="2"/>
    <n v="5045.59"/>
    <x v="3383"/>
    <n v="20182.37"/>
    <x v="9"/>
    <n v="2025"/>
  </r>
  <r>
    <s v="TXN03386"/>
    <x v="7"/>
    <x v="2"/>
    <x v="22"/>
    <x v="1"/>
    <d v="2024-11-11T00:00:00"/>
    <x v="0"/>
    <n v="1056.1500000000001"/>
    <n v="20"/>
    <x v="7"/>
    <n v="633.69000000000005"/>
    <x v="3384"/>
    <n v="2534.7600000000002"/>
    <x v="8"/>
    <n v="2024"/>
  </r>
  <r>
    <s v="TXN03387"/>
    <x v="1"/>
    <x v="1"/>
    <x v="2"/>
    <x v="2"/>
    <d v="2025-10-25T00:00:00"/>
    <x v="8"/>
    <n v="29957.59"/>
    <n v="0"/>
    <x v="5"/>
    <n v="0"/>
    <x v="3385"/>
    <n v="29957.59"/>
    <x v="4"/>
    <n v="2025"/>
  </r>
  <r>
    <s v="TXN03388"/>
    <x v="1"/>
    <x v="4"/>
    <x v="23"/>
    <x v="5"/>
    <d v="2025-06-05T00:00:00"/>
    <x v="2"/>
    <n v="10196.790000000001"/>
    <n v="5"/>
    <x v="7"/>
    <n v="4078.72"/>
    <x v="3386"/>
    <n v="77495.600000000006"/>
    <x v="5"/>
    <n v="2025"/>
  </r>
  <r>
    <s v="TXN03389"/>
    <x v="10"/>
    <x v="2"/>
    <x v="11"/>
    <x v="4"/>
    <d v="2024-08-29T00:00:00"/>
    <x v="4"/>
    <n v="5180.93"/>
    <n v="10"/>
    <x v="2"/>
    <n v="3626.65"/>
    <x v="3387"/>
    <n v="32639.86"/>
    <x v="0"/>
    <n v="2024"/>
  </r>
  <r>
    <s v="TXN03390"/>
    <x v="0"/>
    <x v="0"/>
    <x v="0"/>
    <x v="2"/>
    <d v="2025-10-17T00:00:00"/>
    <x v="0"/>
    <n v="72570.539999999994"/>
    <n v="15"/>
    <x v="2"/>
    <n v="32656.74"/>
    <x v="3388"/>
    <n v="185054.88"/>
    <x v="4"/>
    <n v="2025"/>
  </r>
  <r>
    <s v="TXN03391"/>
    <x v="7"/>
    <x v="1"/>
    <x v="8"/>
    <x v="4"/>
    <d v="2025-03-18T00:00:00"/>
    <x v="4"/>
    <n v="40438.53"/>
    <n v="20"/>
    <x v="2"/>
    <n v="56613.94"/>
    <x v="3389"/>
    <n v="226455.77"/>
    <x v="6"/>
    <n v="2025"/>
  </r>
  <r>
    <s v="TXN03392"/>
    <x v="0"/>
    <x v="0"/>
    <x v="1"/>
    <x v="2"/>
    <d v="2025-04-03T00:00:00"/>
    <x v="4"/>
    <n v="2764.22"/>
    <n v="15"/>
    <x v="0"/>
    <n v="2902.43"/>
    <x v="3390"/>
    <n v="16447.11"/>
    <x v="1"/>
    <n v="2025"/>
  </r>
  <r>
    <s v="TXN03393"/>
    <x v="7"/>
    <x v="3"/>
    <x v="7"/>
    <x v="6"/>
    <d v="2025-04-19T00:00:00"/>
    <x v="7"/>
    <n v="1881.35"/>
    <n v="5"/>
    <x v="1"/>
    <n v="470.34"/>
    <x v="3391"/>
    <n v="8936.41"/>
    <x v="1"/>
    <n v="2025"/>
  </r>
  <r>
    <s v="TXN03394"/>
    <x v="9"/>
    <x v="3"/>
    <x v="21"/>
    <x v="1"/>
    <d v="2024-11-27T00:00:00"/>
    <x v="3"/>
    <n v="2902.96"/>
    <n v="15"/>
    <x v="3"/>
    <n v="2612.66"/>
    <x v="3392"/>
    <n v="14805.1"/>
    <x v="8"/>
    <n v="2024"/>
  </r>
  <r>
    <s v="TXN03395"/>
    <x v="1"/>
    <x v="4"/>
    <x v="18"/>
    <x v="0"/>
    <d v="2025-01-24T00:00:00"/>
    <x v="7"/>
    <n v="10874.81"/>
    <n v="5"/>
    <x v="6"/>
    <n v="2718.7"/>
    <x v="3393"/>
    <n v="51655.35"/>
    <x v="10"/>
    <n v="2025"/>
  </r>
  <r>
    <s v="TXN03396"/>
    <x v="0"/>
    <x v="2"/>
    <x v="22"/>
    <x v="6"/>
    <d v="2024-11-20T00:00:00"/>
    <x v="8"/>
    <n v="1119.76"/>
    <n v="10"/>
    <x v="1"/>
    <n v="111.98"/>
    <x v="3394"/>
    <n v="1007.78"/>
    <x v="8"/>
    <n v="2024"/>
  </r>
  <r>
    <s v="TXN03397"/>
    <x v="6"/>
    <x v="0"/>
    <x v="24"/>
    <x v="3"/>
    <d v="2024-12-03T00:00:00"/>
    <x v="2"/>
    <n v="7991.51"/>
    <n v="5"/>
    <x v="2"/>
    <n v="3196.6"/>
    <x v="3395"/>
    <n v="60735.48"/>
    <x v="3"/>
    <n v="2024"/>
  </r>
  <r>
    <s v="TXN03398"/>
    <x v="4"/>
    <x v="2"/>
    <x v="10"/>
    <x v="4"/>
    <d v="2025-02-09T00:00:00"/>
    <x v="3"/>
    <n v="2750.9"/>
    <n v="20"/>
    <x v="5"/>
    <n v="3301.08"/>
    <x v="3396"/>
    <n v="13204.32"/>
    <x v="2"/>
    <n v="2025"/>
  </r>
  <r>
    <s v="TXN03399"/>
    <x v="6"/>
    <x v="2"/>
    <x v="9"/>
    <x v="2"/>
    <d v="2024-11-11T00:00:00"/>
    <x v="6"/>
    <n v="4985.3100000000004"/>
    <n v="0"/>
    <x v="7"/>
    <n v="0"/>
    <x v="3397"/>
    <n v="44867.79"/>
    <x v="8"/>
    <n v="2024"/>
  </r>
  <r>
    <s v="TXN03400"/>
    <x v="13"/>
    <x v="3"/>
    <x v="15"/>
    <x v="2"/>
    <d v="2024-09-25T00:00:00"/>
    <x v="7"/>
    <n v="838.87"/>
    <n v="5"/>
    <x v="3"/>
    <n v="209.72"/>
    <x v="3398"/>
    <n v="3984.63"/>
    <x v="7"/>
    <n v="2024"/>
  </r>
  <r>
    <s v="TXN03401"/>
    <x v="9"/>
    <x v="2"/>
    <x v="9"/>
    <x v="3"/>
    <d v="2024-12-23T00:00:00"/>
    <x v="2"/>
    <n v="5683.12"/>
    <n v="5"/>
    <x v="6"/>
    <n v="2273.25"/>
    <x v="3399"/>
    <n v="43191.71"/>
    <x v="3"/>
    <n v="2024"/>
  </r>
  <r>
    <s v="TXN03402"/>
    <x v="12"/>
    <x v="0"/>
    <x v="6"/>
    <x v="4"/>
    <d v="2024-05-06T00:00:00"/>
    <x v="5"/>
    <n v="27069.29"/>
    <n v="5"/>
    <x v="1"/>
    <n v="2706.93"/>
    <x v="3400"/>
    <n v="51431.65"/>
    <x v="9"/>
    <n v="2024"/>
  </r>
  <r>
    <s v="TXN03403"/>
    <x v="6"/>
    <x v="3"/>
    <x v="15"/>
    <x v="2"/>
    <d v="2025-10-02T00:00:00"/>
    <x v="8"/>
    <n v="900.55"/>
    <n v="5"/>
    <x v="2"/>
    <n v="45.03"/>
    <x v="3401"/>
    <n v="855.52"/>
    <x v="4"/>
    <n v="2025"/>
  </r>
  <r>
    <s v="TXN03404"/>
    <x v="1"/>
    <x v="2"/>
    <x v="10"/>
    <x v="2"/>
    <d v="2024-06-01T00:00:00"/>
    <x v="0"/>
    <n v="2351.2800000000002"/>
    <n v="5"/>
    <x v="5"/>
    <n v="352.69"/>
    <x v="3402"/>
    <n v="6701.15"/>
    <x v="5"/>
    <n v="2024"/>
  </r>
  <r>
    <s v="TXN03405"/>
    <x v="2"/>
    <x v="4"/>
    <x v="14"/>
    <x v="3"/>
    <d v="2025-10-11T00:00:00"/>
    <x v="6"/>
    <n v="1491.47"/>
    <n v="5"/>
    <x v="7"/>
    <n v="671.16"/>
    <x v="3403"/>
    <n v="12752.07"/>
    <x v="4"/>
    <n v="2025"/>
  </r>
  <r>
    <s v="TXN03406"/>
    <x v="10"/>
    <x v="0"/>
    <x v="0"/>
    <x v="5"/>
    <d v="2024-01-21T00:00:00"/>
    <x v="0"/>
    <n v="71701.279999999999"/>
    <n v="5"/>
    <x v="0"/>
    <n v="10755.19"/>
    <x v="3404"/>
    <n v="204348.65"/>
    <x v="10"/>
    <n v="2024"/>
  </r>
  <r>
    <s v="TXN03407"/>
    <x v="7"/>
    <x v="4"/>
    <x v="23"/>
    <x v="0"/>
    <d v="2025-01-07T00:00:00"/>
    <x v="1"/>
    <n v="10173.93"/>
    <n v="10"/>
    <x v="6"/>
    <n v="4069.57"/>
    <x v="3405"/>
    <n v="36626.15"/>
    <x v="10"/>
    <n v="2025"/>
  </r>
  <r>
    <s v="TXN03408"/>
    <x v="11"/>
    <x v="0"/>
    <x v="3"/>
    <x v="3"/>
    <d v="2025-10-19T00:00:00"/>
    <x v="7"/>
    <n v="19330.12"/>
    <n v="20"/>
    <x v="7"/>
    <n v="19330.12"/>
    <x v="3406"/>
    <n v="77320.479999999996"/>
    <x v="4"/>
    <n v="2025"/>
  </r>
  <r>
    <s v="TXN03409"/>
    <x v="8"/>
    <x v="3"/>
    <x v="16"/>
    <x v="3"/>
    <d v="2024-09-18T00:00:00"/>
    <x v="8"/>
    <n v="1620.14"/>
    <n v="20"/>
    <x v="6"/>
    <n v="324.02999999999997"/>
    <x v="3407"/>
    <n v="1296.1099999999999"/>
    <x v="7"/>
    <n v="2024"/>
  </r>
  <r>
    <s v="TXN03410"/>
    <x v="3"/>
    <x v="4"/>
    <x v="18"/>
    <x v="2"/>
    <d v="2024-09-16T00:00:00"/>
    <x v="3"/>
    <n v="11456.61"/>
    <n v="10"/>
    <x v="4"/>
    <n v="6873.97"/>
    <x v="3408"/>
    <n v="61865.69"/>
    <x v="7"/>
    <n v="2024"/>
  </r>
  <r>
    <s v="TXN03411"/>
    <x v="1"/>
    <x v="0"/>
    <x v="3"/>
    <x v="2"/>
    <d v="2025-07-16T00:00:00"/>
    <x v="6"/>
    <n v="19181.97"/>
    <n v="15"/>
    <x v="2"/>
    <n v="25895.66"/>
    <x v="3409"/>
    <n v="146742.07"/>
    <x v="11"/>
    <n v="2025"/>
  </r>
  <r>
    <s v="TXN03412"/>
    <x v="2"/>
    <x v="3"/>
    <x v="21"/>
    <x v="2"/>
    <d v="2025-06-02T00:00:00"/>
    <x v="1"/>
    <n v="2741.59"/>
    <n v="20"/>
    <x v="4"/>
    <n v="2193.27"/>
    <x v="3410"/>
    <n v="8773.09"/>
    <x v="5"/>
    <n v="2025"/>
  </r>
  <r>
    <s v="TXN03413"/>
    <x v="8"/>
    <x v="1"/>
    <x v="4"/>
    <x v="6"/>
    <d v="2025-10-07T00:00:00"/>
    <x v="0"/>
    <n v="9800.2900000000009"/>
    <n v="15"/>
    <x v="2"/>
    <n v="4410.13"/>
    <x v="3411"/>
    <n v="24990.74"/>
    <x v="4"/>
    <n v="2025"/>
  </r>
  <r>
    <s v="TXN03414"/>
    <x v="1"/>
    <x v="1"/>
    <x v="2"/>
    <x v="3"/>
    <d v="2025-06-14T00:00:00"/>
    <x v="3"/>
    <n v="24002.11"/>
    <n v="0"/>
    <x v="4"/>
    <n v="0"/>
    <x v="3412"/>
    <n v="144012.66"/>
    <x v="5"/>
    <n v="2025"/>
  </r>
  <r>
    <s v="TXN03415"/>
    <x v="3"/>
    <x v="4"/>
    <x v="23"/>
    <x v="6"/>
    <d v="2024-01-05T00:00:00"/>
    <x v="6"/>
    <n v="11252.73"/>
    <n v="10"/>
    <x v="6"/>
    <n v="10127.459999999999"/>
    <x v="3413"/>
    <n v="91147.11"/>
    <x v="10"/>
    <n v="2024"/>
  </r>
  <r>
    <s v="TXN03416"/>
    <x v="10"/>
    <x v="1"/>
    <x v="13"/>
    <x v="2"/>
    <d v="2025-09-16T00:00:00"/>
    <x v="6"/>
    <n v="11455.33"/>
    <n v="10"/>
    <x v="2"/>
    <n v="10309.799999999999"/>
    <x v="3414"/>
    <n v="92788.17"/>
    <x v="7"/>
    <n v="2025"/>
  </r>
  <r>
    <s v="TXN03417"/>
    <x v="4"/>
    <x v="3"/>
    <x v="7"/>
    <x v="2"/>
    <d v="2025-09-03T00:00:00"/>
    <x v="3"/>
    <n v="2009.93"/>
    <n v="0"/>
    <x v="2"/>
    <n v="0"/>
    <x v="3415"/>
    <n v="12059.58"/>
    <x v="7"/>
    <n v="2025"/>
  </r>
  <r>
    <s v="TXN03418"/>
    <x v="10"/>
    <x v="3"/>
    <x v="15"/>
    <x v="2"/>
    <d v="2024-11-22T00:00:00"/>
    <x v="8"/>
    <n v="871.46"/>
    <n v="0"/>
    <x v="4"/>
    <n v="0"/>
    <x v="3416"/>
    <n v="871.46"/>
    <x v="8"/>
    <n v="2024"/>
  </r>
  <r>
    <s v="TXN03419"/>
    <x v="9"/>
    <x v="2"/>
    <x v="5"/>
    <x v="0"/>
    <d v="2025-04-19T00:00:00"/>
    <x v="0"/>
    <n v="1299.8399999999999"/>
    <n v="0"/>
    <x v="2"/>
    <n v="0"/>
    <x v="3417"/>
    <n v="3899.52"/>
    <x v="1"/>
    <n v="2025"/>
  </r>
  <r>
    <s v="TXN03420"/>
    <x v="2"/>
    <x v="0"/>
    <x v="24"/>
    <x v="0"/>
    <d v="2025-09-09T00:00:00"/>
    <x v="1"/>
    <n v="7292.5"/>
    <n v="15"/>
    <x v="3"/>
    <n v="4375.5"/>
    <x v="3418"/>
    <n v="24794.5"/>
    <x v="7"/>
    <n v="2025"/>
  </r>
  <r>
    <s v="TXN03421"/>
    <x v="14"/>
    <x v="4"/>
    <x v="18"/>
    <x v="2"/>
    <d v="2024-05-25T00:00:00"/>
    <x v="9"/>
    <n v="11744.2"/>
    <n v="10"/>
    <x v="6"/>
    <n v="11744.2"/>
    <x v="3419"/>
    <n v="105697.8"/>
    <x v="9"/>
    <n v="2024"/>
  </r>
  <r>
    <s v="TXN03422"/>
    <x v="9"/>
    <x v="0"/>
    <x v="6"/>
    <x v="1"/>
    <d v="2025-03-07T00:00:00"/>
    <x v="0"/>
    <n v="24594.27"/>
    <n v="10"/>
    <x v="7"/>
    <n v="7378.28"/>
    <x v="3420"/>
    <n v="66404.53"/>
    <x v="6"/>
    <n v="2025"/>
  </r>
  <r>
    <s v="TXN03423"/>
    <x v="13"/>
    <x v="0"/>
    <x v="3"/>
    <x v="2"/>
    <d v="2025-12-06T00:00:00"/>
    <x v="8"/>
    <n v="19304.490000000002"/>
    <n v="10"/>
    <x v="3"/>
    <n v="1930.45"/>
    <x v="3421"/>
    <n v="17374.04"/>
    <x v="3"/>
    <n v="2025"/>
  </r>
  <r>
    <s v="TXN03424"/>
    <x v="9"/>
    <x v="0"/>
    <x v="6"/>
    <x v="1"/>
    <d v="2024-08-02T00:00:00"/>
    <x v="3"/>
    <n v="23918.6"/>
    <n v="0"/>
    <x v="4"/>
    <n v="0"/>
    <x v="3422"/>
    <n v="143511.6"/>
    <x v="0"/>
    <n v="2024"/>
  </r>
  <r>
    <s v="TXN03425"/>
    <x v="12"/>
    <x v="1"/>
    <x v="2"/>
    <x v="0"/>
    <d v="2024-08-17T00:00:00"/>
    <x v="2"/>
    <n v="26377.75"/>
    <n v="10"/>
    <x v="0"/>
    <n v="21102.2"/>
    <x v="3423"/>
    <n v="189919.8"/>
    <x v="0"/>
    <n v="2024"/>
  </r>
  <r>
    <s v="TXN03426"/>
    <x v="10"/>
    <x v="1"/>
    <x v="12"/>
    <x v="2"/>
    <d v="2024-04-24T00:00:00"/>
    <x v="0"/>
    <n v="5758.5"/>
    <n v="10"/>
    <x v="7"/>
    <n v="1727.55"/>
    <x v="3424"/>
    <n v="15547.95"/>
    <x v="1"/>
    <n v="2024"/>
  </r>
  <r>
    <s v="TXN03427"/>
    <x v="5"/>
    <x v="2"/>
    <x v="10"/>
    <x v="3"/>
    <d v="2025-02-14T00:00:00"/>
    <x v="3"/>
    <n v="2365.41"/>
    <n v="15"/>
    <x v="3"/>
    <n v="2128.87"/>
    <x v="3425"/>
    <n v="12063.59"/>
    <x v="2"/>
    <n v="2025"/>
  </r>
  <r>
    <s v="TXN03428"/>
    <x v="9"/>
    <x v="3"/>
    <x v="7"/>
    <x v="5"/>
    <d v="2024-07-06T00:00:00"/>
    <x v="3"/>
    <n v="1669.95"/>
    <n v="0"/>
    <x v="2"/>
    <n v="0"/>
    <x v="3426"/>
    <n v="10019.700000000001"/>
    <x v="11"/>
    <n v="2024"/>
  </r>
  <r>
    <s v="TXN03429"/>
    <x v="11"/>
    <x v="2"/>
    <x v="22"/>
    <x v="4"/>
    <d v="2025-07-21T00:00:00"/>
    <x v="3"/>
    <n v="888.43"/>
    <n v="10"/>
    <x v="0"/>
    <n v="533.05999999999995"/>
    <x v="3427"/>
    <n v="4797.5200000000004"/>
    <x v="11"/>
    <n v="2025"/>
  </r>
  <r>
    <s v="TXN03430"/>
    <x v="8"/>
    <x v="0"/>
    <x v="3"/>
    <x v="3"/>
    <d v="2024-02-11T00:00:00"/>
    <x v="9"/>
    <n v="19907.09"/>
    <n v="0"/>
    <x v="2"/>
    <n v="0"/>
    <x v="3428"/>
    <n v="199070.9"/>
    <x v="2"/>
    <n v="2024"/>
  </r>
  <r>
    <s v="TXN03431"/>
    <x v="3"/>
    <x v="2"/>
    <x v="5"/>
    <x v="1"/>
    <d v="2025-05-03T00:00:00"/>
    <x v="7"/>
    <n v="1183.21"/>
    <n v="10"/>
    <x v="7"/>
    <n v="591.61"/>
    <x v="3429"/>
    <n v="5324.44"/>
    <x v="9"/>
    <n v="2025"/>
  </r>
  <r>
    <s v="TXN03432"/>
    <x v="0"/>
    <x v="3"/>
    <x v="7"/>
    <x v="5"/>
    <d v="2025-03-03T00:00:00"/>
    <x v="0"/>
    <n v="1833.26"/>
    <n v="20"/>
    <x v="1"/>
    <n v="1099.96"/>
    <x v="3430"/>
    <n v="4399.82"/>
    <x v="6"/>
    <n v="2025"/>
  </r>
  <r>
    <s v="TXN03433"/>
    <x v="11"/>
    <x v="0"/>
    <x v="24"/>
    <x v="4"/>
    <d v="2025-03-28T00:00:00"/>
    <x v="7"/>
    <n v="6974.22"/>
    <n v="5"/>
    <x v="0"/>
    <n v="1743.56"/>
    <x v="3431"/>
    <n v="33127.54"/>
    <x v="6"/>
    <n v="2025"/>
  </r>
  <r>
    <s v="TXN03434"/>
    <x v="4"/>
    <x v="0"/>
    <x v="3"/>
    <x v="5"/>
    <d v="2025-03-09T00:00:00"/>
    <x v="0"/>
    <n v="19624.73"/>
    <n v="10"/>
    <x v="5"/>
    <n v="5887.42"/>
    <x v="3432"/>
    <n v="52986.77"/>
    <x v="6"/>
    <n v="2025"/>
  </r>
  <r>
    <s v="TXN03435"/>
    <x v="10"/>
    <x v="0"/>
    <x v="6"/>
    <x v="5"/>
    <d v="2025-06-10T00:00:00"/>
    <x v="7"/>
    <n v="25785.74"/>
    <n v="20"/>
    <x v="1"/>
    <n v="25785.74"/>
    <x v="3433"/>
    <n v="103142.96"/>
    <x v="5"/>
    <n v="2025"/>
  </r>
  <r>
    <s v="TXN03436"/>
    <x v="7"/>
    <x v="4"/>
    <x v="23"/>
    <x v="1"/>
    <d v="2025-03-10T00:00:00"/>
    <x v="9"/>
    <n v="9585.1"/>
    <n v="20"/>
    <x v="1"/>
    <n v="19170.2"/>
    <x v="3434"/>
    <n v="76680.800000000003"/>
    <x v="6"/>
    <n v="2025"/>
  </r>
  <r>
    <s v="TXN03437"/>
    <x v="13"/>
    <x v="4"/>
    <x v="18"/>
    <x v="3"/>
    <d v="2025-09-25T00:00:00"/>
    <x v="9"/>
    <n v="11808.08"/>
    <n v="0"/>
    <x v="0"/>
    <n v="0"/>
    <x v="3435"/>
    <n v="118080.8"/>
    <x v="7"/>
    <n v="2025"/>
  </r>
  <r>
    <s v="TXN03438"/>
    <x v="13"/>
    <x v="4"/>
    <x v="23"/>
    <x v="0"/>
    <d v="2024-02-03T00:00:00"/>
    <x v="3"/>
    <n v="10802.76"/>
    <n v="20"/>
    <x v="5"/>
    <n v="12963.31"/>
    <x v="3436"/>
    <n v="51853.25"/>
    <x v="2"/>
    <n v="2024"/>
  </r>
  <r>
    <s v="TXN03439"/>
    <x v="14"/>
    <x v="2"/>
    <x v="5"/>
    <x v="3"/>
    <d v="2025-11-24T00:00:00"/>
    <x v="4"/>
    <n v="1333.44"/>
    <n v="0"/>
    <x v="3"/>
    <n v="0"/>
    <x v="3437"/>
    <n v="9334.08"/>
    <x v="8"/>
    <n v="2025"/>
  </r>
  <r>
    <s v="TXN03440"/>
    <x v="5"/>
    <x v="1"/>
    <x v="13"/>
    <x v="3"/>
    <d v="2025-06-27T00:00:00"/>
    <x v="6"/>
    <n v="12391.78"/>
    <n v="0"/>
    <x v="0"/>
    <n v="0"/>
    <x v="3438"/>
    <n v="111526.02"/>
    <x v="5"/>
    <n v="2025"/>
  </r>
  <r>
    <s v="TXN03441"/>
    <x v="3"/>
    <x v="3"/>
    <x v="21"/>
    <x v="3"/>
    <d v="2025-11-04T00:00:00"/>
    <x v="7"/>
    <n v="2922.02"/>
    <n v="0"/>
    <x v="7"/>
    <n v="0"/>
    <x v="3439"/>
    <n v="14610.1"/>
    <x v="8"/>
    <n v="2025"/>
  </r>
  <r>
    <s v="TXN03442"/>
    <x v="12"/>
    <x v="1"/>
    <x v="4"/>
    <x v="3"/>
    <d v="2025-02-14T00:00:00"/>
    <x v="7"/>
    <n v="7932.54"/>
    <n v="5"/>
    <x v="0"/>
    <n v="1983.13"/>
    <x v="3440"/>
    <n v="37679.57"/>
    <x v="2"/>
    <n v="2025"/>
  </r>
  <r>
    <s v="TXN03443"/>
    <x v="10"/>
    <x v="2"/>
    <x v="5"/>
    <x v="2"/>
    <d v="2024-04-19T00:00:00"/>
    <x v="1"/>
    <n v="1156.6099999999999"/>
    <n v="15"/>
    <x v="0"/>
    <n v="693.97"/>
    <x v="3441"/>
    <n v="3932.47"/>
    <x v="1"/>
    <n v="2024"/>
  </r>
  <r>
    <s v="TXN03444"/>
    <x v="11"/>
    <x v="3"/>
    <x v="20"/>
    <x v="5"/>
    <d v="2024-07-08T00:00:00"/>
    <x v="9"/>
    <n v="3683.43"/>
    <n v="0"/>
    <x v="6"/>
    <n v="0"/>
    <x v="3442"/>
    <n v="36834.300000000003"/>
    <x v="11"/>
    <n v="2024"/>
  </r>
  <r>
    <s v="TXN03445"/>
    <x v="12"/>
    <x v="3"/>
    <x v="20"/>
    <x v="1"/>
    <d v="2025-10-05T00:00:00"/>
    <x v="7"/>
    <n v="3651.8"/>
    <n v="0"/>
    <x v="4"/>
    <n v="0"/>
    <x v="3443"/>
    <n v="18259"/>
    <x v="4"/>
    <n v="2025"/>
  </r>
  <r>
    <s v="TXN03446"/>
    <x v="8"/>
    <x v="2"/>
    <x v="5"/>
    <x v="0"/>
    <d v="2025-03-22T00:00:00"/>
    <x v="9"/>
    <n v="1191.75"/>
    <n v="0"/>
    <x v="0"/>
    <n v="0"/>
    <x v="3444"/>
    <n v="11917.5"/>
    <x v="6"/>
    <n v="2025"/>
  </r>
  <r>
    <s v="TXN03447"/>
    <x v="8"/>
    <x v="0"/>
    <x v="6"/>
    <x v="6"/>
    <d v="2025-05-10T00:00:00"/>
    <x v="5"/>
    <n v="26738.77"/>
    <n v="0"/>
    <x v="6"/>
    <n v="0"/>
    <x v="3445"/>
    <n v="53477.54"/>
    <x v="9"/>
    <n v="2025"/>
  </r>
  <r>
    <s v="TXN03448"/>
    <x v="1"/>
    <x v="3"/>
    <x v="15"/>
    <x v="4"/>
    <d v="2025-11-20T00:00:00"/>
    <x v="2"/>
    <n v="925.09"/>
    <n v="15"/>
    <x v="7"/>
    <n v="1110.1099999999999"/>
    <x v="3446"/>
    <n v="6290.61"/>
    <x v="8"/>
    <n v="2025"/>
  </r>
  <r>
    <s v="TXN03449"/>
    <x v="14"/>
    <x v="3"/>
    <x v="15"/>
    <x v="5"/>
    <d v="2024-06-14T00:00:00"/>
    <x v="6"/>
    <n v="742.31"/>
    <n v="15"/>
    <x v="0"/>
    <n v="1002.12"/>
    <x v="3447"/>
    <n v="5678.67"/>
    <x v="5"/>
    <n v="2024"/>
  </r>
  <r>
    <s v="TXN03450"/>
    <x v="6"/>
    <x v="1"/>
    <x v="8"/>
    <x v="2"/>
    <d v="2025-05-30T00:00:00"/>
    <x v="2"/>
    <n v="38285.879999999997"/>
    <n v="20"/>
    <x v="1"/>
    <n v="61257.41"/>
    <x v="3448"/>
    <n v="245029.63"/>
    <x v="9"/>
    <n v="2025"/>
  </r>
  <r>
    <s v="TXN03451"/>
    <x v="6"/>
    <x v="1"/>
    <x v="13"/>
    <x v="6"/>
    <d v="2025-02-10T00:00:00"/>
    <x v="9"/>
    <n v="13499.68"/>
    <n v="10"/>
    <x v="0"/>
    <n v="13499.68"/>
    <x v="3449"/>
    <n v="121497.12"/>
    <x v="2"/>
    <n v="2025"/>
  </r>
  <r>
    <s v="TXN03452"/>
    <x v="8"/>
    <x v="4"/>
    <x v="18"/>
    <x v="5"/>
    <d v="2025-05-10T00:00:00"/>
    <x v="5"/>
    <n v="13118.63"/>
    <n v="10"/>
    <x v="2"/>
    <n v="2623.73"/>
    <x v="3450"/>
    <n v="23613.53"/>
    <x v="9"/>
    <n v="2025"/>
  </r>
  <r>
    <s v="TXN03453"/>
    <x v="9"/>
    <x v="1"/>
    <x v="8"/>
    <x v="2"/>
    <d v="2025-05-14T00:00:00"/>
    <x v="8"/>
    <n v="40420.71"/>
    <n v="10"/>
    <x v="6"/>
    <n v="4042.07"/>
    <x v="3451"/>
    <n v="36378.639999999999"/>
    <x v="9"/>
    <n v="2025"/>
  </r>
  <r>
    <s v="TXN03454"/>
    <x v="0"/>
    <x v="3"/>
    <x v="21"/>
    <x v="6"/>
    <d v="2025-01-17T00:00:00"/>
    <x v="1"/>
    <n v="2285.3000000000002"/>
    <n v="10"/>
    <x v="7"/>
    <n v="914.12"/>
    <x v="3452"/>
    <n v="8227.08"/>
    <x v="10"/>
    <n v="2025"/>
  </r>
  <r>
    <s v="TXN03455"/>
    <x v="13"/>
    <x v="3"/>
    <x v="15"/>
    <x v="3"/>
    <d v="2024-01-07T00:00:00"/>
    <x v="0"/>
    <n v="875.22"/>
    <n v="15"/>
    <x v="3"/>
    <n v="393.85"/>
    <x v="3453"/>
    <n v="2231.81"/>
    <x v="10"/>
    <n v="2024"/>
  </r>
  <r>
    <s v="TXN03456"/>
    <x v="9"/>
    <x v="2"/>
    <x v="5"/>
    <x v="5"/>
    <d v="2024-08-06T00:00:00"/>
    <x v="7"/>
    <n v="1271.3900000000001"/>
    <n v="0"/>
    <x v="1"/>
    <n v="0"/>
    <x v="3454"/>
    <n v="6356.95"/>
    <x v="0"/>
    <n v="2024"/>
  </r>
  <r>
    <s v="TXN03457"/>
    <x v="3"/>
    <x v="1"/>
    <x v="8"/>
    <x v="6"/>
    <d v="2025-04-08T00:00:00"/>
    <x v="4"/>
    <n v="36472.31"/>
    <n v="0"/>
    <x v="2"/>
    <n v="0"/>
    <x v="3455"/>
    <n v="255306.17"/>
    <x v="1"/>
    <n v="2025"/>
  </r>
  <r>
    <s v="TXN03458"/>
    <x v="12"/>
    <x v="3"/>
    <x v="15"/>
    <x v="3"/>
    <d v="2024-10-06T00:00:00"/>
    <x v="4"/>
    <n v="942.67"/>
    <n v="15"/>
    <x v="0"/>
    <n v="989.8"/>
    <x v="3456"/>
    <n v="5608.89"/>
    <x v="4"/>
    <n v="2024"/>
  </r>
  <r>
    <s v="TXN03459"/>
    <x v="8"/>
    <x v="3"/>
    <x v="20"/>
    <x v="1"/>
    <d v="2024-09-02T00:00:00"/>
    <x v="4"/>
    <n v="3623.99"/>
    <n v="0"/>
    <x v="3"/>
    <n v="0"/>
    <x v="3457"/>
    <n v="25367.93"/>
    <x v="7"/>
    <n v="2024"/>
  </r>
  <r>
    <s v="TXN03460"/>
    <x v="14"/>
    <x v="0"/>
    <x v="0"/>
    <x v="4"/>
    <d v="2025-04-02T00:00:00"/>
    <x v="0"/>
    <n v="59664.65"/>
    <n v="10"/>
    <x v="3"/>
    <n v="17899.400000000001"/>
    <x v="3458"/>
    <n v="161094.54999999999"/>
    <x v="1"/>
    <n v="2025"/>
  </r>
  <r>
    <s v="TXN03461"/>
    <x v="2"/>
    <x v="0"/>
    <x v="6"/>
    <x v="0"/>
    <d v="2024-03-02T00:00:00"/>
    <x v="5"/>
    <n v="25909.33"/>
    <n v="5"/>
    <x v="2"/>
    <n v="2590.9299999999998"/>
    <x v="3459"/>
    <n v="49227.73"/>
    <x v="6"/>
    <n v="2024"/>
  </r>
  <r>
    <s v="TXN03462"/>
    <x v="6"/>
    <x v="1"/>
    <x v="12"/>
    <x v="4"/>
    <d v="2025-01-05T00:00:00"/>
    <x v="1"/>
    <n v="5660.72"/>
    <n v="20"/>
    <x v="3"/>
    <n v="4528.58"/>
    <x v="3460"/>
    <n v="18114.3"/>
    <x v="10"/>
    <n v="2025"/>
  </r>
  <r>
    <s v="TXN03463"/>
    <x v="14"/>
    <x v="1"/>
    <x v="12"/>
    <x v="3"/>
    <d v="2025-06-19T00:00:00"/>
    <x v="5"/>
    <n v="6485.5"/>
    <n v="15"/>
    <x v="2"/>
    <n v="1945.65"/>
    <x v="3461"/>
    <n v="11025.35"/>
    <x v="5"/>
    <n v="2025"/>
  </r>
  <r>
    <s v="TXN03464"/>
    <x v="4"/>
    <x v="1"/>
    <x v="2"/>
    <x v="1"/>
    <d v="2025-07-04T00:00:00"/>
    <x v="9"/>
    <n v="26729.61"/>
    <n v="0"/>
    <x v="0"/>
    <n v="0"/>
    <x v="3462"/>
    <n v="267296.09999999998"/>
    <x v="11"/>
    <n v="2025"/>
  </r>
  <r>
    <s v="TXN03465"/>
    <x v="0"/>
    <x v="4"/>
    <x v="18"/>
    <x v="5"/>
    <d v="2025-04-22T00:00:00"/>
    <x v="6"/>
    <n v="12577.53"/>
    <n v="10"/>
    <x v="1"/>
    <n v="11319.78"/>
    <x v="3463"/>
    <n v="101877.99"/>
    <x v="1"/>
    <n v="2025"/>
  </r>
  <r>
    <s v="TXN03466"/>
    <x v="11"/>
    <x v="4"/>
    <x v="23"/>
    <x v="4"/>
    <d v="2024-02-13T00:00:00"/>
    <x v="8"/>
    <n v="9883.9699999999993"/>
    <n v="0"/>
    <x v="1"/>
    <n v="0"/>
    <x v="3464"/>
    <n v="9883.9699999999993"/>
    <x v="2"/>
    <n v="2024"/>
  </r>
  <r>
    <s v="TXN03467"/>
    <x v="10"/>
    <x v="3"/>
    <x v="15"/>
    <x v="1"/>
    <d v="2024-01-10T00:00:00"/>
    <x v="2"/>
    <n v="742.83"/>
    <n v="5"/>
    <x v="6"/>
    <n v="297.13"/>
    <x v="3465"/>
    <n v="5645.51"/>
    <x v="10"/>
    <n v="2024"/>
  </r>
  <r>
    <s v="TXN03468"/>
    <x v="3"/>
    <x v="3"/>
    <x v="21"/>
    <x v="3"/>
    <d v="2025-10-31T00:00:00"/>
    <x v="6"/>
    <n v="3051.09"/>
    <n v="10"/>
    <x v="1"/>
    <n v="2745.98"/>
    <x v="3466"/>
    <n v="24713.83"/>
    <x v="4"/>
    <n v="2025"/>
  </r>
  <r>
    <s v="TXN03469"/>
    <x v="2"/>
    <x v="0"/>
    <x v="6"/>
    <x v="5"/>
    <d v="2025-06-25T00:00:00"/>
    <x v="3"/>
    <n v="23005.79"/>
    <n v="0"/>
    <x v="1"/>
    <n v="0"/>
    <x v="3467"/>
    <n v="138034.74"/>
    <x v="5"/>
    <n v="2025"/>
  </r>
  <r>
    <s v="TXN03470"/>
    <x v="12"/>
    <x v="2"/>
    <x v="10"/>
    <x v="0"/>
    <d v="2025-01-05T00:00:00"/>
    <x v="7"/>
    <n v="2834.21"/>
    <n v="15"/>
    <x v="4"/>
    <n v="2125.66"/>
    <x v="3468"/>
    <n v="12045.39"/>
    <x v="10"/>
    <n v="2025"/>
  </r>
  <r>
    <s v="TXN03471"/>
    <x v="7"/>
    <x v="2"/>
    <x v="9"/>
    <x v="6"/>
    <d v="2024-12-18T00:00:00"/>
    <x v="3"/>
    <n v="4936.99"/>
    <n v="0"/>
    <x v="2"/>
    <n v="0"/>
    <x v="3469"/>
    <n v="29621.94"/>
    <x v="3"/>
    <n v="2024"/>
  </r>
  <r>
    <s v="TXN03472"/>
    <x v="11"/>
    <x v="2"/>
    <x v="5"/>
    <x v="5"/>
    <d v="2024-03-21T00:00:00"/>
    <x v="1"/>
    <n v="1211.76"/>
    <n v="0"/>
    <x v="6"/>
    <n v="0"/>
    <x v="3470"/>
    <n v="4847.04"/>
    <x v="6"/>
    <n v="2024"/>
  </r>
  <r>
    <s v="TXN03473"/>
    <x v="1"/>
    <x v="2"/>
    <x v="11"/>
    <x v="3"/>
    <d v="2025-03-11T00:00:00"/>
    <x v="1"/>
    <n v="5230.82"/>
    <n v="15"/>
    <x v="3"/>
    <n v="3138.49"/>
    <x v="3471"/>
    <n v="17784.79"/>
    <x v="6"/>
    <n v="2025"/>
  </r>
  <r>
    <s v="TXN03474"/>
    <x v="0"/>
    <x v="0"/>
    <x v="6"/>
    <x v="5"/>
    <d v="2025-03-27T00:00:00"/>
    <x v="6"/>
    <n v="23867.24"/>
    <n v="0"/>
    <x v="2"/>
    <n v="0"/>
    <x v="3472"/>
    <n v="214805.16"/>
    <x v="6"/>
    <n v="2025"/>
  </r>
  <r>
    <s v="TXN03475"/>
    <x v="11"/>
    <x v="3"/>
    <x v="20"/>
    <x v="4"/>
    <d v="2024-04-10T00:00:00"/>
    <x v="1"/>
    <n v="3626.41"/>
    <n v="20"/>
    <x v="6"/>
    <n v="2901.13"/>
    <x v="3473"/>
    <n v="11604.51"/>
    <x v="1"/>
    <n v="2024"/>
  </r>
  <r>
    <s v="TXN03476"/>
    <x v="4"/>
    <x v="4"/>
    <x v="19"/>
    <x v="1"/>
    <d v="2024-05-23T00:00:00"/>
    <x v="1"/>
    <n v="8574.7800000000007"/>
    <n v="10"/>
    <x v="3"/>
    <n v="3429.91"/>
    <x v="3474"/>
    <n v="30869.21"/>
    <x v="9"/>
    <n v="2024"/>
  </r>
  <r>
    <s v="TXN03477"/>
    <x v="5"/>
    <x v="4"/>
    <x v="17"/>
    <x v="0"/>
    <d v="2025-01-25T00:00:00"/>
    <x v="0"/>
    <n v="3582.46"/>
    <n v="5"/>
    <x v="2"/>
    <n v="537.37"/>
    <x v="3475"/>
    <n v="10210.01"/>
    <x v="10"/>
    <n v="2025"/>
  </r>
  <r>
    <s v="TXN03478"/>
    <x v="5"/>
    <x v="1"/>
    <x v="12"/>
    <x v="2"/>
    <d v="2024-03-14T00:00:00"/>
    <x v="2"/>
    <n v="6024.14"/>
    <n v="0"/>
    <x v="7"/>
    <n v="0"/>
    <x v="3476"/>
    <n v="48193.120000000003"/>
    <x v="6"/>
    <n v="2024"/>
  </r>
  <r>
    <s v="TXN03479"/>
    <x v="8"/>
    <x v="3"/>
    <x v="7"/>
    <x v="2"/>
    <d v="2025-01-18T00:00:00"/>
    <x v="0"/>
    <n v="1752.98"/>
    <n v="5"/>
    <x v="7"/>
    <n v="262.95"/>
    <x v="3477"/>
    <n v="4995.99"/>
    <x v="10"/>
    <n v="2025"/>
  </r>
  <r>
    <s v="TXN03480"/>
    <x v="1"/>
    <x v="0"/>
    <x v="1"/>
    <x v="6"/>
    <d v="2024-07-31T00:00:00"/>
    <x v="4"/>
    <n v="2896.45"/>
    <n v="0"/>
    <x v="2"/>
    <n v="0"/>
    <x v="3478"/>
    <n v="20275.150000000001"/>
    <x v="11"/>
    <n v="2024"/>
  </r>
  <r>
    <s v="TXN03481"/>
    <x v="3"/>
    <x v="3"/>
    <x v="16"/>
    <x v="5"/>
    <d v="2025-08-30T00:00:00"/>
    <x v="6"/>
    <n v="1688.4"/>
    <n v="0"/>
    <x v="2"/>
    <n v="0"/>
    <x v="3479"/>
    <n v="15195.6"/>
    <x v="0"/>
    <n v="2025"/>
  </r>
  <r>
    <s v="TXN03482"/>
    <x v="9"/>
    <x v="1"/>
    <x v="2"/>
    <x v="6"/>
    <d v="2024-01-04T00:00:00"/>
    <x v="8"/>
    <n v="24239.4"/>
    <n v="5"/>
    <x v="0"/>
    <n v="1211.97"/>
    <x v="3480"/>
    <n v="23027.43"/>
    <x v="10"/>
    <n v="2024"/>
  </r>
  <r>
    <s v="TXN03483"/>
    <x v="14"/>
    <x v="4"/>
    <x v="14"/>
    <x v="2"/>
    <d v="2025-02-15T00:00:00"/>
    <x v="1"/>
    <n v="1608.79"/>
    <n v="0"/>
    <x v="0"/>
    <n v="0"/>
    <x v="3481"/>
    <n v="6435.16"/>
    <x v="2"/>
    <n v="2025"/>
  </r>
  <r>
    <s v="TXN03484"/>
    <x v="7"/>
    <x v="3"/>
    <x v="21"/>
    <x v="2"/>
    <d v="2025-12-24T00:00:00"/>
    <x v="9"/>
    <n v="2553.11"/>
    <n v="5"/>
    <x v="3"/>
    <n v="1276.56"/>
    <x v="3482"/>
    <n v="24254.54"/>
    <x v="3"/>
    <n v="2025"/>
  </r>
  <r>
    <s v="TXN03485"/>
    <x v="1"/>
    <x v="4"/>
    <x v="17"/>
    <x v="0"/>
    <d v="2024-10-13T00:00:00"/>
    <x v="5"/>
    <n v="3507.04"/>
    <n v="10"/>
    <x v="0"/>
    <n v="701.41"/>
    <x v="3483"/>
    <n v="6312.67"/>
    <x v="4"/>
    <n v="2024"/>
  </r>
  <r>
    <s v="TXN03486"/>
    <x v="0"/>
    <x v="0"/>
    <x v="24"/>
    <x v="2"/>
    <d v="2025-08-15T00:00:00"/>
    <x v="5"/>
    <n v="6443.42"/>
    <n v="15"/>
    <x v="3"/>
    <n v="1933.03"/>
    <x v="3484"/>
    <n v="10953.81"/>
    <x v="0"/>
    <n v="2025"/>
  </r>
  <r>
    <s v="TXN03487"/>
    <x v="9"/>
    <x v="1"/>
    <x v="13"/>
    <x v="4"/>
    <d v="2025-05-06T00:00:00"/>
    <x v="5"/>
    <n v="12355.78"/>
    <n v="0"/>
    <x v="4"/>
    <n v="0"/>
    <x v="3485"/>
    <n v="24711.56"/>
    <x v="9"/>
    <n v="2025"/>
  </r>
  <r>
    <s v="TXN03488"/>
    <x v="6"/>
    <x v="0"/>
    <x v="1"/>
    <x v="5"/>
    <d v="2025-10-29T00:00:00"/>
    <x v="8"/>
    <n v="3669.59"/>
    <n v="15"/>
    <x v="2"/>
    <n v="550.44000000000005"/>
    <x v="3486"/>
    <n v="3119.15"/>
    <x v="4"/>
    <n v="2025"/>
  </r>
  <r>
    <s v="TXN03489"/>
    <x v="9"/>
    <x v="3"/>
    <x v="16"/>
    <x v="6"/>
    <d v="2025-08-13T00:00:00"/>
    <x v="2"/>
    <n v="1685.4"/>
    <n v="20"/>
    <x v="4"/>
    <n v="2696.64"/>
    <x v="3487"/>
    <n v="10786.56"/>
    <x v="0"/>
    <n v="2025"/>
  </r>
  <r>
    <s v="TXN03490"/>
    <x v="12"/>
    <x v="2"/>
    <x v="9"/>
    <x v="6"/>
    <d v="2024-11-19T00:00:00"/>
    <x v="0"/>
    <n v="5605.7"/>
    <n v="5"/>
    <x v="1"/>
    <n v="840.86"/>
    <x v="3488"/>
    <n v="15976.24"/>
    <x v="8"/>
    <n v="2024"/>
  </r>
  <r>
    <s v="TXN03491"/>
    <x v="6"/>
    <x v="0"/>
    <x v="24"/>
    <x v="1"/>
    <d v="2025-07-13T00:00:00"/>
    <x v="4"/>
    <n v="7683.42"/>
    <n v="15"/>
    <x v="4"/>
    <n v="8067.59"/>
    <x v="3489"/>
    <n v="45716.35"/>
    <x v="11"/>
    <n v="2025"/>
  </r>
  <r>
    <s v="TXN03492"/>
    <x v="0"/>
    <x v="3"/>
    <x v="21"/>
    <x v="1"/>
    <d v="2024-01-10T00:00:00"/>
    <x v="4"/>
    <n v="2298.11"/>
    <n v="5"/>
    <x v="7"/>
    <n v="804.34"/>
    <x v="3490"/>
    <n v="15282.43"/>
    <x v="10"/>
    <n v="2024"/>
  </r>
  <r>
    <s v="TXN03493"/>
    <x v="4"/>
    <x v="3"/>
    <x v="16"/>
    <x v="4"/>
    <d v="2025-02-21T00:00:00"/>
    <x v="1"/>
    <n v="1660.91"/>
    <n v="5"/>
    <x v="7"/>
    <n v="332.18"/>
    <x v="3491"/>
    <n v="6311.46"/>
    <x v="2"/>
    <n v="2025"/>
  </r>
  <r>
    <s v="TXN03494"/>
    <x v="3"/>
    <x v="2"/>
    <x v="9"/>
    <x v="3"/>
    <d v="2025-04-04T00:00:00"/>
    <x v="0"/>
    <n v="4887.95"/>
    <n v="15"/>
    <x v="5"/>
    <n v="2199.58"/>
    <x v="3492"/>
    <n v="12464.27"/>
    <x v="1"/>
    <n v="2025"/>
  </r>
  <r>
    <s v="TXN03495"/>
    <x v="12"/>
    <x v="0"/>
    <x v="24"/>
    <x v="0"/>
    <d v="2024-08-11T00:00:00"/>
    <x v="2"/>
    <n v="7899.25"/>
    <n v="20"/>
    <x v="2"/>
    <n v="12638.8"/>
    <x v="3493"/>
    <n v="50555.199999999997"/>
    <x v="0"/>
    <n v="2024"/>
  </r>
  <r>
    <s v="TXN03496"/>
    <x v="12"/>
    <x v="0"/>
    <x v="0"/>
    <x v="3"/>
    <d v="2025-06-22T00:00:00"/>
    <x v="9"/>
    <n v="69034.39"/>
    <n v="20"/>
    <x v="0"/>
    <n v="138068.78"/>
    <x v="3494"/>
    <n v="552275.12"/>
    <x v="5"/>
    <n v="2025"/>
  </r>
  <r>
    <s v="TXN03497"/>
    <x v="9"/>
    <x v="0"/>
    <x v="24"/>
    <x v="4"/>
    <d v="2024-04-26T00:00:00"/>
    <x v="1"/>
    <n v="7425.25"/>
    <n v="0"/>
    <x v="1"/>
    <n v="0"/>
    <x v="3495"/>
    <n v="29701"/>
    <x v="1"/>
    <n v="2024"/>
  </r>
  <r>
    <s v="TXN03498"/>
    <x v="1"/>
    <x v="4"/>
    <x v="17"/>
    <x v="5"/>
    <d v="2024-07-12T00:00:00"/>
    <x v="0"/>
    <n v="3250.55"/>
    <n v="5"/>
    <x v="5"/>
    <n v="487.58"/>
    <x v="3496"/>
    <n v="9264.07"/>
    <x v="11"/>
    <n v="2024"/>
  </r>
  <r>
    <s v="TXN03499"/>
    <x v="14"/>
    <x v="1"/>
    <x v="2"/>
    <x v="1"/>
    <d v="2024-03-19T00:00:00"/>
    <x v="2"/>
    <n v="26337"/>
    <n v="20"/>
    <x v="0"/>
    <n v="42139.199999999997"/>
    <x v="3497"/>
    <n v="168556.79999999999"/>
    <x v="6"/>
    <n v="2024"/>
  </r>
  <r>
    <s v="TXN03500"/>
    <x v="12"/>
    <x v="3"/>
    <x v="20"/>
    <x v="1"/>
    <d v="2024-11-13T00:00:00"/>
    <x v="9"/>
    <n v="4268.49"/>
    <n v="5"/>
    <x v="1"/>
    <n v="2134.25"/>
    <x v="3498"/>
    <n v="40550.65"/>
    <x v="8"/>
    <n v="2024"/>
  </r>
  <r>
    <s v="TXN03501"/>
    <x v="12"/>
    <x v="4"/>
    <x v="18"/>
    <x v="0"/>
    <d v="2025-01-15T00:00:00"/>
    <x v="6"/>
    <n v="13129.57"/>
    <n v="20"/>
    <x v="4"/>
    <n v="23633.23"/>
    <x v="3499"/>
    <n v="94532.9"/>
    <x v="10"/>
    <n v="2025"/>
  </r>
  <r>
    <s v="TXN03502"/>
    <x v="0"/>
    <x v="1"/>
    <x v="4"/>
    <x v="5"/>
    <d v="2025-11-27T00:00:00"/>
    <x v="9"/>
    <n v="9937.5499999999993"/>
    <n v="20"/>
    <x v="0"/>
    <n v="19875.099999999999"/>
    <x v="3500"/>
    <n v="79500.399999999994"/>
    <x v="8"/>
    <n v="2025"/>
  </r>
  <r>
    <s v="TXN03503"/>
    <x v="11"/>
    <x v="0"/>
    <x v="6"/>
    <x v="3"/>
    <d v="2024-08-11T00:00:00"/>
    <x v="9"/>
    <n v="26450.73"/>
    <n v="5"/>
    <x v="4"/>
    <n v="13225.36"/>
    <x v="3501"/>
    <n v="251281.94"/>
    <x v="0"/>
    <n v="2024"/>
  </r>
  <r>
    <s v="TXN03504"/>
    <x v="6"/>
    <x v="3"/>
    <x v="20"/>
    <x v="5"/>
    <d v="2024-03-12T00:00:00"/>
    <x v="9"/>
    <n v="3762.99"/>
    <n v="5"/>
    <x v="4"/>
    <n v="1881.5"/>
    <x v="3502"/>
    <n v="35748.400000000001"/>
    <x v="6"/>
    <n v="2024"/>
  </r>
  <r>
    <s v="TXN03505"/>
    <x v="14"/>
    <x v="3"/>
    <x v="21"/>
    <x v="1"/>
    <d v="2025-05-20T00:00:00"/>
    <x v="4"/>
    <n v="2811.27"/>
    <n v="0"/>
    <x v="4"/>
    <n v="0"/>
    <x v="3503"/>
    <n v="19678.89"/>
    <x v="9"/>
    <n v="2025"/>
  </r>
  <r>
    <s v="TXN03506"/>
    <x v="1"/>
    <x v="1"/>
    <x v="13"/>
    <x v="3"/>
    <d v="2024-05-04T00:00:00"/>
    <x v="6"/>
    <n v="11985.49"/>
    <n v="20"/>
    <x v="1"/>
    <n v="21573.88"/>
    <x v="3504"/>
    <n v="86295.53"/>
    <x v="9"/>
    <n v="2024"/>
  </r>
  <r>
    <s v="TXN03507"/>
    <x v="3"/>
    <x v="2"/>
    <x v="22"/>
    <x v="0"/>
    <d v="2024-07-31T00:00:00"/>
    <x v="6"/>
    <n v="866.63"/>
    <n v="5"/>
    <x v="7"/>
    <n v="389.98"/>
    <x v="3505"/>
    <n v="7409.69"/>
    <x v="11"/>
    <n v="2024"/>
  </r>
  <r>
    <s v="TXN03508"/>
    <x v="1"/>
    <x v="0"/>
    <x v="3"/>
    <x v="4"/>
    <d v="2025-09-09T00:00:00"/>
    <x v="1"/>
    <n v="16239.05"/>
    <n v="15"/>
    <x v="1"/>
    <n v="9743.43"/>
    <x v="3506"/>
    <n v="55212.77"/>
    <x v="7"/>
    <n v="2025"/>
  </r>
  <r>
    <s v="TXN03509"/>
    <x v="9"/>
    <x v="2"/>
    <x v="9"/>
    <x v="2"/>
    <d v="2025-09-28T00:00:00"/>
    <x v="8"/>
    <n v="4781.9399999999996"/>
    <n v="15"/>
    <x v="5"/>
    <n v="717.29"/>
    <x v="3507"/>
    <n v="4064.65"/>
    <x v="7"/>
    <n v="2025"/>
  </r>
  <r>
    <s v="TXN03510"/>
    <x v="14"/>
    <x v="3"/>
    <x v="20"/>
    <x v="3"/>
    <d v="2024-05-18T00:00:00"/>
    <x v="7"/>
    <n v="3950.33"/>
    <n v="0"/>
    <x v="6"/>
    <n v="0"/>
    <x v="3508"/>
    <n v="19751.650000000001"/>
    <x v="9"/>
    <n v="2024"/>
  </r>
  <r>
    <s v="TXN03511"/>
    <x v="12"/>
    <x v="2"/>
    <x v="11"/>
    <x v="3"/>
    <d v="2025-12-20T00:00:00"/>
    <x v="5"/>
    <n v="5583.74"/>
    <n v="5"/>
    <x v="3"/>
    <n v="558.37"/>
    <x v="3509"/>
    <n v="10609.11"/>
    <x v="3"/>
    <n v="2025"/>
  </r>
  <r>
    <s v="TXN03512"/>
    <x v="1"/>
    <x v="3"/>
    <x v="15"/>
    <x v="5"/>
    <d v="2024-03-09T00:00:00"/>
    <x v="1"/>
    <n v="763.16"/>
    <n v="20"/>
    <x v="7"/>
    <n v="610.53"/>
    <x v="3510"/>
    <n v="2442.11"/>
    <x v="6"/>
    <n v="2024"/>
  </r>
  <r>
    <s v="TXN03513"/>
    <x v="14"/>
    <x v="4"/>
    <x v="18"/>
    <x v="5"/>
    <d v="2024-01-30T00:00:00"/>
    <x v="2"/>
    <n v="12877.23"/>
    <n v="0"/>
    <x v="6"/>
    <n v="0"/>
    <x v="3511"/>
    <n v="103017.84"/>
    <x v="10"/>
    <n v="2024"/>
  </r>
  <r>
    <s v="TXN03514"/>
    <x v="0"/>
    <x v="4"/>
    <x v="18"/>
    <x v="0"/>
    <d v="2025-12-24T00:00:00"/>
    <x v="0"/>
    <n v="12888.58"/>
    <n v="5"/>
    <x v="1"/>
    <n v="1933.29"/>
    <x v="3512"/>
    <n v="36732.449999999997"/>
    <x v="3"/>
    <n v="2025"/>
  </r>
  <r>
    <s v="TXN03515"/>
    <x v="6"/>
    <x v="1"/>
    <x v="4"/>
    <x v="2"/>
    <d v="2024-03-03T00:00:00"/>
    <x v="4"/>
    <n v="8547.42"/>
    <n v="5"/>
    <x v="0"/>
    <n v="2991.6"/>
    <x v="3513"/>
    <n v="56840.34"/>
    <x v="6"/>
    <n v="2024"/>
  </r>
  <r>
    <s v="TXN03516"/>
    <x v="1"/>
    <x v="1"/>
    <x v="13"/>
    <x v="0"/>
    <d v="2024-01-15T00:00:00"/>
    <x v="5"/>
    <n v="13474.68"/>
    <n v="0"/>
    <x v="4"/>
    <n v="0"/>
    <x v="3514"/>
    <n v="26949.360000000001"/>
    <x v="10"/>
    <n v="2024"/>
  </r>
  <r>
    <s v="TXN03517"/>
    <x v="5"/>
    <x v="3"/>
    <x v="20"/>
    <x v="4"/>
    <d v="2025-07-20T00:00:00"/>
    <x v="7"/>
    <n v="3285.89"/>
    <n v="0"/>
    <x v="4"/>
    <n v="0"/>
    <x v="3515"/>
    <n v="16429.45"/>
    <x v="11"/>
    <n v="2025"/>
  </r>
  <r>
    <s v="TXN03518"/>
    <x v="2"/>
    <x v="1"/>
    <x v="4"/>
    <x v="3"/>
    <d v="2024-01-08T00:00:00"/>
    <x v="9"/>
    <n v="7815.3"/>
    <n v="15"/>
    <x v="5"/>
    <n v="11722.95"/>
    <x v="3516"/>
    <n v="66430.05"/>
    <x v="10"/>
    <n v="2024"/>
  </r>
  <r>
    <s v="TXN03519"/>
    <x v="6"/>
    <x v="3"/>
    <x v="15"/>
    <x v="2"/>
    <d v="2025-11-04T00:00:00"/>
    <x v="5"/>
    <n v="1007.57"/>
    <n v="15"/>
    <x v="2"/>
    <n v="302.27"/>
    <x v="3517"/>
    <n v="1712.87"/>
    <x v="8"/>
    <n v="2025"/>
  </r>
  <r>
    <s v="TXN03520"/>
    <x v="12"/>
    <x v="3"/>
    <x v="15"/>
    <x v="3"/>
    <d v="2024-04-15T00:00:00"/>
    <x v="7"/>
    <n v="819"/>
    <n v="5"/>
    <x v="4"/>
    <n v="204.75"/>
    <x v="3518"/>
    <n v="3890.25"/>
    <x v="1"/>
    <n v="2024"/>
  </r>
  <r>
    <s v="TXN03521"/>
    <x v="12"/>
    <x v="2"/>
    <x v="11"/>
    <x v="2"/>
    <d v="2024-07-16T00:00:00"/>
    <x v="2"/>
    <n v="4548.66"/>
    <n v="10"/>
    <x v="7"/>
    <n v="3638.93"/>
    <x v="3519"/>
    <n v="32750.35"/>
    <x v="11"/>
    <n v="2024"/>
  </r>
  <r>
    <s v="TXN03522"/>
    <x v="4"/>
    <x v="1"/>
    <x v="4"/>
    <x v="0"/>
    <d v="2025-12-01T00:00:00"/>
    <x v="9"/>
    <n v="8042.77"/>
    <n v="5"/>
    <x v="7"/>
    <n v="4021.39"/>
    <x v="3520"/>
    <n v="76406.31"/>
    <x v="3"/>
    <n v="2025"/>
  </r>
  <r>
    <s v="TXN03523"/>
    <x v="8"/>
    <x v="4"/>
    <x v="17"/>
    <x v="3"/>
    <d v="2024-01-28T00:00:00"/>
    <x v="1"/>
    <n v="3428.52"/>
    <n v="10"/>
    <x v="7"/>
    <n v="1371.41"/>
    <x v="3521"/>
    <n v="12342.67"/>
    <x v="10"/>
    <n v="2024"/>
  </r>
  <r>
    <s v="TXN03524"/>
    <x v="7"/>
    <x v="2"/>
    <x v="22"/>
    <x v="2"/>
    <d v="2024-02-06T00:00:00"/>
    <x v="0"/>
    <n v="864.42"/>
    <n v="15"/>
    <x v="3"/>
    <n v="388.99"/>
    <x v="3522"/>
    <n v="2204.27"/>
    <x v="2"/>
    <n v="2024"/>
  </r>
  <r>
    <s v="TXN03525"/>
    <x v="12"/>
    <x v="4"/>
    <x v="23"/>
    <x v="2"/>
    <d v="2025-09-06T00:00:00"/>
    <x v="0"/>
    <n v="10938.42"/>
    <n v="20"/>
    <x v="2"/>
    <n v="6563.05"/>
    <x v="3523"/>
    <n v="26252.21"/>
    <x v="7"/>
    <n v="2025"/>
  </r>
  <r>
    <s v="TXN03526"/>
    <x v="2"/>
    <x v="3"/>
    <x v="7"/>
    <x v="6"/>
    <d v="2024-04-05T00:00:00"/>
    <x v="9"/>
    <n v="1732.52"/>
    <n v="0"/>
    <x v="2"/>
    <n v="0"/>
    <x v="3524"/>
    <n v="17325.2"/>
    <x v="1"/>
    <n v="2024"/>
  </r>
  <r>
    <s v="TXN03527"/>
    <x v="12"/>
    <x v="2"/>
    <x v="5"/>
    <x v="2"/>
    <d v="2025-09-28T00:00:00"/>
    <x v="1"/>
    <n v="1315.03"/>
    <n v="10"/>
    <x v="1"/>
    <n v="526.01"/>
    <x v="3525"/>
    <n v="4734.1099999999997"/>
    <x v="7"/>
    <n v="2025"/>
  </r>
  <r>
    <s v="TXN03528"/>
    <x v="8"/>
    <x v="1"/>
    <x v="4"/>
    <x v="2"/>
    <d v="2024-10-28T00:00:00"/>
    <x v="8"/>
    <n v="8752.7999999999993"/>
    <n v="5"/>
    <x v="3"/>
    <n v="437.64"/>
    <x v="3526"/>
    <n v="8315.16"/>
    <x v="4"/>
    <n v="2024"/>
  </r>
  <r>
    <s v="TXN03529"/>
    <x v="5"/>
    <x v="2"/>
    <x v="5"/>
    <x v="5"/>
    <d v="2024-07-25T00:00:00"/>
    <x v="7"/>
    <n v="1282.3599999999999"/>
    <n v="20"/>
    <x v="0"/>
    <n v="1282.3599999999999"/>
    <x v="3527"/>
    <n v="5129.4399999999996"/>
    <x v="11"/>
    <n v="2024"/>
  </r>
  <r>
    <s v="TXN03530"/>
    <x v="2"/>
    <x v="2"/>
    <x v="5"/>
    <x v="0"/>
    <d v="2025-04-28T00:00:00"/>
    <x v="3"/>
    <n v="1110.76"/>
    <n v="20"/>
    <x v="0"/>
    <n v="1332.91"/>
    <x v="3528"/>
    <n v="5331.65"/>
    <x v="1"/>
    <n v="2025"/>
  </r>
  <r>
    <s v="TXN03531"/>
    <x v="14"/>
    <x v="4"/>
    <x v="23"/>
    <x v="6"/>
    <d v="2024-02-08T00:00:00"/>
    <x v="6"/>
    <n v="10086.64"/>
    <n v="10"/>
    <x v="4"/>
    <n v="9077.98"/>
    <x v="3529"/>
    <n v="81701.78"/>
    <x v="2"/>
    <n v="2024"/>
  </r>
  <r>
    <s v="TXN03532"/>
    <x v="5"/>
    <x v="3"/>
    <x v="7"/>
    <x v="4"/>
    <d v="2025-01-27T00:00:00"/>
    <x v="9"/>
    <n v="2045.12"/>
    <n v="20"/>
    <x v="3"/>
    <n v="4090.24"/>
    <x v="3530"/>
    <n v="16360.96"/>
    <x v="10"/>
    <n v="2025"/>
  </r>
  <r>
    <s v="TXN03533"/>
    <x v="13"/>
    <x v="3"/>
    <x v="20"/>
    <x v="5"/>
    <d v="2024-07-28T00:00:00"/>
    <x v="3"/>
    <n v="3868.54"/>
    <n v="0"/>
    <x v="4"/>
    <n v="0"/>
    <x v="3531"/>
    <n v="23211.24"/>
    <x v="11"/>
    <n v="2024"/>
  </r>
  <r>
    <s v="TXN03534"/>
    <x v="7"/>
    <x v="2"/>
    <x v="22"/>
    <x v="3"/>
    <d v="2025-09-15T00:00:00"/>
    <x v="7"/>
    <n v="1007.81"/>
    <n v="15"/>
    <x v="5"/>
    <n v="755.86"/>
    <x v="3532"/>
    <n v="4283.1899999999996"/>
    <x v="7"/>
    <n v="2025"/>
  </r>
  <r>
    <s v="TXN03535"/>
    <x v="12"/>
    <x v="0"/>
    <x v="6"/>
    <x v="5"/>
    <d v="2024-10-17T00:00:00"/>
    <x v="3"/>
    <n v="26190.51"/>
    <n v="20"/>
    <x v="2"/>
    <n v="31428.61"/>
    <x v="3533"/>
    <n v="125714.45"/>
    <x v="4"/>
    <n v="2024"/>
  </r>
  <r>
    <s v="TXN03536"/>
    <x v="1"/>
    <x v="0"/>
    <x v="24"/>
    <x v="0"/>
    <d v="2024-09-21T00:00:00"/>
    <x v="2"/>
    <n v="6518.05"/>
    <n v="20"/>
    <x v="1"/>
    <n v="10428.879999999999"/>
    <x v="3534"/>
    <n v="41715.519999999997"/>
    <x v="7"/>
    <n v="2024"/>
  </r>
  <r>
    <s v="TXN03537"/>
    <x v="13"/>
    <x v="2"/>
    <x v="5"/>
    <x v="1"/>
    <d v="2024-10-07T00:00:00"/>
    <x v="0"/>
    <n v="1369.66"/>
    <n v="15"/>
    <x v="5"/>
    <n v="616.35"/>
    <x v="3535"/>
    <n v="3492.63"/>
    <x v="4"/>
    <n v="2024"/>
  </r>
  <r>
    <s v="TXN03538"/>
    <x v="5"/>
    <x v="1"/>
    <x v="4"/>
    <x v="2"/>
    <d v="2025-11-13T00:00:00"/>
    <x v="4"/>
    <n v="9055.9599999999991"/>
    <n v="15"/>
    <x v="2"/>
    <n v="9508.76"/>
    <x v="3536"/>
    <n v="53882.96"/>
    <x v="8"/>
    <n v="2025"/>
  </r>
  <r>
    <s v="TXN03539"/>
    <x v="12"/>
    <x v="4"/>
    <x v="23"/>
    <x v="6"/>
    <d v="2025-04-12T00:00:00"/>
    <x v="8"/>
    <n v="10021.459999999999"/>
    <n v="0"/>
    <x v="4"/>
    <n v="0"/>
    <x v="3537"/>
    <n v="10021.459999999999"/>
    <x v="1"/>
    <n v="2025"/>
  </r>
  <r>
    <s v="TXN03540"/>
    <x v="4"/>
    <x v="4"/>
    <x v="17"/>
    <x v="3"/>
    <d v="2025-08-21T00:00:00"/>
    <x v="8"/>
    <n v="3224.38"/>
    <n v="10"/>
    <x v="2"/>
    <n v="322.44"/>
    <x v="3538"/>
    <n v="2901.94"/>
    <x v="0"/>
    <n v="2025"/>
  </r>
  <r>
    <s v="TXN03541"/>
    <x v="14"/>
    <x v="2"/>
    <x v="9"/>
    <x v="1"/>
    <d v="2024-01-27T00:00:00"/>
    <x v="1"/>
    <n v="4948.22"/>
    <n v="10"/>
    <x v="7"/>
    <n v="1979.29"/>
    <x v="3539"/>
    <n v="17813.59"/>
    <x v="10"/>
    <n v="2024"/>
  </r>
  <r>
    <s v="TXN03542"/>
    <x v="3"/>
    <x v="4"/>
    <x v="17"/>
    <x v="5"/>
    <d v="2025-01-02T00:00:00"/>
    <x v="4"/>
    <n v="3528.12"/>
    <n v="10"/>
    <x v="6"/>
    <n v="2469.6799999999998"/>
    <x v="3540"/>
    <n v="22227.16"/>
    <x v="10"/>
    <n v="2025"/>
  </r>
  <r>
    <s v="TXN03543"/>
    <x v="6"/>
    <x v="0"/>
    <x v="3"/>
    <x v="6"/>
    <d v="2024-01-21T00:00:00"/>
    <x v="5"/>
    <n v="17929.62"/>
    <n v="10"/>
    <x v="2"/>
    <n v="3585.92"/>
    <x v="3541"/>
    <n v="32273.32"/>
    <x v="10"/>
    <n v="2024"/>
  </r>
  <r>
    <s v="TXN03544"/>
    <x v="14"/>
    <x v="3"/>
    <x v="21"/>
    <x v="2"/>
    <d v="2024-07-28T00:00:00"/>
    <x v="7"/>
    <n v="2683.93"/>
    <n v="10"/>
    <x v="3"/>
    <n v="1341.97"/>
    <x v="3542"/>
    <n v="12077.68"/>
    <x v="11"/>
    <n v="2024"/>
  </r>
  <r>
    <s v="TXN03545"/>
    <x v="12"/>
    <x v="2"/>
    <x v="9"/>
    <x v="6"/>
    <d v="2024-01-20T00:00:00"/>
    <x v="7"/>
    <n v="4414.7299999999996"/>
    <n v="0"/>
    <x v="5"/>
    <n v="0"/>
    <x v="3543"/>
    <n v="22073.65"/>
    <x v="10"/>
    <n v="2024"/>
  </r>
  <r>
    <s v="TXN03546"/>
    <x v="1"/>
    <x v="3"/>
    <x v="16"/>
    <x v="3"/>
    <d v="2025-05-11T00:00:00"/>
    <x v="3"/>
    <n v="1466.58"/>
    <n v="5"/>
    <x v="0"/>
    <n v="439.97"/>
    <x v="3544"/>
    <n v="8359.51"/>
    <x v="9"/>
    <n v="2025"/>
  </r>
  <r>
    <s v="TXN03547"/>
    <x v="10"/>
    <x v="3"/>
    <x v="7"/>
    <x v="6"/>
    <d v="2024-03-14T00:00:00"/>
    <x v="2"/>
    <n v="1994.15"/>
    <n v="20"/>
    <x v="2"/>
    <n v="3190.64"/>
    <x v="3545"/>
    <n v="12762.56"/>
    <x v="6"/>
    <n v="2024"/>
  </r>
  <r>
    <s v="TXN03548"/>
    <x v="14"/>
    <x v="2"/>
    <x v="5"/>
    <x v="0"/>
    <d v="2024-05-07T00:00:00"/>
    <x v="7"/>
    <n v="1367.69"/>
    <n v="5"/>
    <x v="6"/>
    <n v="341.92"/>
    <x v="3546"/>
    <n v="6496.53"/>
    <x v="9"/>
    <n v="2024"/>
  </r>
  <r>
    <s v="TXN03549"/>
    <x v="4"/>
    <x v="3"/>
    <x v="15"/>
    <x v="2"/>
    <d v="2025-07-05T00:00:00"/>
    <x v="3"/>
    <n v="894.26"/>
    <n v="15"/>
    <x v="0"/>
    <n v="804.83"/>
    <x v="3547"/>
    <n v="4560.7299999999996"/>
    <x v="11"/>
    <n v="2025"/>
  </r>
  <r>
    <s v="TXN03550"/>
    <x v="10"/>
    <x v="4"/>
    <x v="18"/>
    <x v="5"/>
    <d v="2025-06-10T00:00:00"/>
    <x v="5"/>
    <n v="12687.56"/>
    <n v="5"/>
    <x v="4"/>
    <n v="1268.76"/>
    <x v="3548"/>
    <n v="24106.36"/>
    <x v="5"/>
    <n v="2025"/>
  </r>
  <r>
    <s v="TXN03551"/>
    <x v="12"/>
    <x v="2"/>
    <x v="22"/>
    <x v="4"/>
    <d v="2025-07-26T00:00:00"/>
    <x v="8"/>
    <n v="961.01"/>
    <n v="5"/>
    <x v="2"/>
    <n v="48.05"/>
    <x v="3549"/>
    <n v="912.96"/>
    <x v="11"/>
    <n v="2025"/>
  </r>
  <r>
    <s v="TXN03552"/>
    <x v="3"/>
    <x v="3"/>
    <x v="21"/>
    <x v="4"/>
    <d v="2024-03-27T00:00:00"/>
    <x v="8"/>
    <n v="2731.11"/>
    <n v="5"/>
    <x v="1"/>
    <n v="136.56"/>
    <x v="3550"/>
    <n v="2594.5500000000002"/>
    <x v="6"/>
    <n v="2024"/>
  </r>
  <r>
    <s v="TXN03553"/>
    <x v="12"/>
    <x v="4"/>
    <x v="14"/>
    <x v="5"/>
    <d v="2024-03-27T00:00:00"/>
    <x v="9"/>
    <n v="1593.2"/>
    <n v="0"/>
    <x v="5"/>
    <n v="0"/>
    <x v="3551"/>
    <n v="15932"/>
    <x v="6"/>
    <n v="2024"/>
  </r>
  <r>
    <s v="TXN03554"/>
    <x v="4"/>
    <x v="3"/>
    <x v="21"/>
    <x v="0"/>
    <d v="2025-12-26T00:00:00"/>
    <x v="2"/>
    <n v="2791.02"/>
    <n v="20"/>
    <x v="3"/>
    <n v="4465.63"/>
    <x v="3552"/>
    <n v="17862.53"/>
    <x v="3"/>
    <n v="2025"/>
  </r>
  <r>
    <s v="TXN03555"/>
    <x v="13"/>
    <x v="4"/>
    <x v="23"/>
    <x v="4"/>
    <d v="2024-12-01T00:00:00"/>
    <x v="4"/>
    <n v="10303.370000000001"/>
    <n v="5"/>
    <x v="2"/>
    <n v="3606.18"/>
    <x v="3553"/>
    <n v="68517.41"/>
    <x v="3"/>
    <n v="2024"/>
  </r>
  <r>
    <s v="TXN03556"/>
    <x v="5"/>
    <x v="4"/>
    <x v="18"/>
    <x v="0"/>
    <d v="2024-08-04T00:00:00"/>
    <x v="9"/>
    <n v="11574.49"/>
    <n v="20"/>
    <x v="4"/>
    <n v="23148.98"/>
    <x v="3554"/>
    <n v="92595.92"/>
    <x v="0"/>
    <n v="2024"/>
  </r>
  <r>
    <s v="TXN03557"/>
    <x v="0"/>
    <x v="2"/>
    <x v="9"/>
    <x v="2"/>
    <d v="2024-08-26T00:00:00"/>
    <x v="5"/>
    <n v="4654.37"/>
    <n v="5"/>
    <x v="0"/>
    <n v="465.44"/>
    <x v="3555"/>
    <n v="8843.2999999999993"/>
    <x v="0"/>
    <n v="2024"/>
  </r>
  <r>
    <s v="TXN03558"/>
    <x v="3"/>
    <x v="1"/>
    <x v="13"/>
    <x v="5"/>
    <d v="2024-03-31T00:00:00"/>
    <x v="2"/>
    <n v="12942.19"/>
    <n v="0"/>
    <x v="2"/>
    <n v="0"/>
    <x v="3556"/>
    <n v="103537.52"/>
    <x v="6"/>
    <n v="2024"/>
  </r>
  <r>
    <s v="TXN03559"/>
    <x v="4"/>
    <x v="4"/>
    <x v="18"/>
    <x v="1"/>
    <d v="2024-11-04T00:00:00"/>
    <x v="7"/>
    <n v="14739.08"/>
    <n v="15"/>
    <x v="6"/>
    <n v="11054.31"/>
    <x v="3557"/>
    <n v="62641.09"/>
    <x v="8"/>
    <n v="2024"/>
  </r>
  <r>
    <s v="TXN03560"/>
    <x v="7"/>
    <x v="4"/>
    <x v="23"/>
    <x v="2"/>
    <d v="2024-05-19T00:00:00"/>
    <x v="4"/>
    <n v="9612.51"/>
    <n v="15"/>
    <x v="2"/>
    <n v="10093.14"/>
    <x v="3558"/>
    <n v="57194.43"/>
    <x v="9"/>
    <n v="2024"/>
  </r>
  <r>
    <s v="TXN03561"/>
    <x v="3"/>
    <x v="4"/>
    <x v="14"/>
    <x v="2"/>
    <d v="2025-06-05T00:00:00"/>
    <x v="9"/>
    <n v="1688.15"/>
    <n v="20"/>
    <x v="1"/>
    <n v="3376.3"/>
    <x v="3559"/>
    <n v="13505.2"/>
    <x v="5"/>
    <n v="2025"/>
  </r>
  <r>
    <s v="TXN03562"/>
    <x v="4"/>
    <x v="2"/>
    <x v="9"/>
    <x v="5"/>
    <d v="2025-05-22T00:00:00"/>
    <x v="3"/>
    <n v="4739.9399999999996"/>
    <n v="10"/>
    <x v="4"/>
    <n v="2843.96"/>
    <x v="3560"/>
    <n v="25595.68"/>
    <x v="9"/>
    <n v="2025"/>
  </r>
  <r>
    <s v="TXN03563"/>
    <x v="4"/>
    <x v="1"/>
    <x v="4"/>
    <x v="6"/>
    <d v="2024-05-21T00:00:00"/>
    <x v="9"/>
    <n v="7908.28"/>
    <n v="5"/>
    <x v="5"/>
    <n v="3954.14"/>
    <x v="3561"/>
    <n v="75128.66"/>
    <x v="9"/>
    <n v="2024"/>
  </r>
  <r>
    <s v="TXN03564"/>
    <x v="10"/>
    <x v="4"/>
    <x v="23"/>
    <x v="0"/>
    <d v="2024-09-02T00:00:00"/>
    <x v="2"/>
    <n v="9973.23"/>
    <n v="15"/>
    <x v="1"/>
    <n v="11967.88"/>
    <x v="3562"/>
    <n v="67817.960000000006"/>
    <x v="7"/>
    <n v="2024"/>
  </r>
  <r>
    <s v="TXN03565"/>
    <x v="5"/>
    <x v="2"/>
    <x v="9"/>
    <x v="1"/>
    <d v="2024-06-02T00:00:00"/>
    <x v="8"/>
    <n v="5128.08"/>
    <n v="15"/>
    <x v="4"/>
    <n v="769.21"/>
    <x v="3563"/>
    <n v="4358.87"/>
    <x v="5"/>
    <n v="2024"/>
  </r>
  <r>
    <s v="TXN03566"/>
    <x v="3"/>
    <x v="4"/>
    <x v="23"/>
    <x v="1"/>
    <d v="2025-09-03T00:00:00"/>
    <x v="2"/>
    <n v="9876.83"/>
    <n v="10"/>
    <x v="4"/>
    <n v="7901.46"/>
    <x v="3564"/>
    <n v="71113.179999999993"/>
    <x v="7"/>
    <n v="2025"/>
  </r>
  <r>
    <s v="TXN03567"/>
    <x v="3"/>
    <x v="0"/>
    <x v="0"/>
    <x v="3"/>
    <d v="2024-07-31T00:00:00"/>
    <x v="1"/>
    <n v="59465.17"/>
    <n v="20"/>
    <x v="6"/>
    <n v="47572.14"/>
    <x v="3565"/>
    <n v="190288.54"/>
    <x v="11"/>
    <n v="2024"/>
  </r>
  <r>
    <s v="TXN03568"/>
    <x v="8"/>
    <x v="0"/>
    <x v="0"/>
    <x v="2"/>
    <d v="2025-08-07T00:00:00"/>
    <x v="7"/>
    <n v="70500.22"/>
    <n v="15"/>
    <x v="1"/>
    <n v="52875.16"/>
    <x v="3566"/>
    <n v="299625.94"/>
    <x v="0"/>
    <n v="2025"/>
  </r>
  <r>
    <s v="TXN03569"/>
    <x v="3"/>
    <x v="3"/>
    <x v="16"/>
    <x v="2"/>
    <d v="2024-09-04T00:00:00"/>
    <x v="7"/>
    <n v="1620.88"/>
    <n v="10"/>
    <x v="3"/>
    <n v="810.44"/>
    <x v="3567"/>
    <n v="7293.96"/>
    <x v="7"/>
    <n v="2024"/>
  </r>
  <r>
    <s v="TXN03570"/>
    <x v="10"/>
    <x v="1"/>
    <x v="8"/>
    <x v="0"/>
    <d v="2025-01-09T00:00:00"/>
    <x v="1"/>
    <n v="39419.56"/>
    <n v="5"/>
    <x v="2"/>
    <n v="7883.91"/>
    <x v="3568"/>
    <n v="149794.32999999999"/>
    <x v="10"/>
    <n v="2025"/>
  </r>
  <r>
    <s v="TXN03571"/>
    <x v="1"/>
    <x v="1"/>
    <x v="13"/>
    <x v="5"/>
    <d v="2025-10-08T00:00:00"/>
    <x v="8"/>
    <n v="14723.61"/>
    <n v="0"/>
    <x v="1"/>
    <n v="0"/>
    <x v="3569"/>
    <n v="14723.61"/>
    <x v="4"/>
    <n v="2025"/>
  </r>
  <r>
    <s v="TXN03572"/>
    <x v="13"/>
    <x v="3"/>
    <x v="16"/>
    <x v="3"/>
    <d v="2024-03-12T00:00:00"/>
    <x v="8"/>
    <n v="1625.85"/>
    <n v="10"/>
    <x v="7"/>
    <n v="162.59"/>
    <x v="3570"/>
    <n v="1463.26"/>
    <x v="6"/>
    <n v="2024"/>
  </r>
  <r>
    <s v="TXN03573"/>
    <x v="4"/>
    <x v="2"/>
    <x v="22"/>
    <x v="5"/>
    <d v="2024-03-21T00:00:00"/>
    <x v="9"/>
    <n v="965.12"/>
    <n v="20"/>
    <x v="7"/>
    <n v="1930.24"/>
    <x v="3571"/>
    <n v="7720.96"/>
    <x v="6"/>
    <n v="2024"/>
  </r>
  <r>
    <s v="TXN03574"/>
    <x v="12"/>
    <x v="2"/>
    <x v="11"/>
    <x v="2"/>
    <d v="2024-11-17T00:00:00"/>
    <x v="5"/>
    <n v="5069.3"/>
    <n v="0"/>
    <x v="2"/>
    <n v="0"/>
    <x v="3572"/>
    <n v="10138.6"/>
    <x v="8"/>
    <n v="2024"/>
  </r>
  <r>
    <s v="TXN03575"/>
    <x v="2"/>
    <x v="3"/>
    <x v="21"/>
    <x v="2"/>
    <d v="2024-10-10T00:00:00"/>
    <x v="4"/>
    <n v="2768.14"/>
    <n v="10"/>
    <x v="6"/>
    <n v="1937.7"/>
    <x v="3573"/>
    <n v="17439.28"/>
    <x v="4"/>
    <n v="2024"/>
  </r>
  <r>
    <s v="TXN03576"/>
    <x v="11"/>
    <x v="3"/>
    <x v="16"/>
    <x v="5"/>
    <d v="2025-06-06T00:00:00"/>
    <x v="4"/>
    <n v="1541.67"/>
    <n v="0"/>
    <x v="7"/>
    <n v="0"/>
    <x v="3574"/>
    <n v="10791.69"/>
    <x v="5"/>
    <n v="2025"/>
  </r>
  <r>
    <s v="TXN03577"/>
    <x v="0"/>
    <x v="3"/>
    <x v="16"/>
    <x v="6"/>
    <d v="2025-02-13T00:00:00"/>
    <x v="4"/>
    <n v="1555.34"/>
    <n v="5"/>
    <x v="2"/>
    <n v="544.37"/>
    <x v="3575"/>
    <n v="10343.01"/>
    <x v="2"/>
    <n v="2025"/>
  </r>
  <r>
    <s v="TXN03578"/>
    <x v="0"/>
    <x v="2"/>
    <x v="10"/>
    <x v="0"/>
    <d v="2025-01-12T00:00:00"/>
    <x v="4"/>
    <n v="2464.4299999999998"/>
    <n v="20"/>
    <x v="3"/>
    <n v="3450.2"/>
    <x v="3576"/>
    <n v="13800.81"/>
    <x v="10"/>
    <n v="2025"/>
  </r>
  <r>
    <s v="TXN03579"/>
    <x v="13"/>
    <x v="2"/>
    <x v="22"/>
    <x v="6"/>
    <d v="2024-10-09T00:00:00"/>
    <x v="0"/>
    <n v="1064.5899999999999"/>
    <n v="5"/>
    <x v="7"/>
    <n v="159.69"/>
    <x v="3577"/>
    <n v="3034.08"/>
    <x v="4"/>
    <n v="2024"/>
  </r>
  <r>
    <s v="TXN03580"/>
    <x v="12"/>
    <x v="0"/>
    <x v="6"/>
    <x v="2"/>
    <d v="2025-05-23T00:00:00"/>
    <x v="4"/>
    <n v="28176.68"/>
    <n v="0"/>
    <x v="3"/>
    <n v="0"/>
    <x v="3578"/>
    <n v="197236.76"/>
    <x v="9"/>
    <n v="2025"/>
  </r>
  <r>
    <s v="TXN03581"/>
    <x v="4"/>
    <x v="3"/>
    <x v="20"/>
    <x v="5"/>
    <d v="2025-09-30T00:00:00"/>
    <x v="6"/>
    <n v="3519.54"/>
    <n v="5"/>
    <x v="0"/>
    <n v="1583.79"/>
    <x v="3579"/>
    <n v="30092.07"/>
    <x v="7"/>
    <n v="2025"/>
  </r>
  <r>
    <s v="TXN03582"/>
    <x v="13"/>
    <x v="0"/>
    <x v="3"/>
    <x v="0"/>
    <d v="2024-08-09T00:00:00"/>
    <x v="5"/>
    <n v="18593.7"/>
    <n v="15"/>
    <x v="7"/>
    <n v="5578.11"/>
    <x v="3580"/>
    <n v="31609.29"/>
    <x v="0"/>
    <n v="2024"/>
  </r>
  <r>
    <s v="TXN03583"/>
    <x v="11"/>
    <x v="0"/>
    <x v="3"/>
    <x v="0"/>
    <d v="2024-09-06T00:00:00"/>
    <x v="1"/>
    <n v="18682.93"/>
    <n v="0"/>
    <x v="6"/>
    <n v="0"/>
    <x v="3581"/>
    <n v="74731.72"/>
    <x v="7"/>
    <n v="2024"/>
  </r>
  <r>
    <s v="TXN03584"/>
    <x v="0"/>
    <x v="3"/>
    <x v="16"/>
    <x v="2"/>
    <d v="2024-06-20T00:00:00"/>
    <x v="7"/>
    <n v="1520.7"/>
    <n v="10"/>
    <x v="5"/>
    <n v="760.35"/>
    <x v="3582"/>
    <n v="6843.15"/>
    <x v="5"/>
    <n v="2024"/>
  </r>
  <r>
    <s v="TXN03585"/>
    <x v="2"/>
    <x v="1"/>
    <x v="12"/>
    <x v="0"/>
    <d v="2024-10-15T00:00:00"/>
    <x v="5"/>
    <n v="5967.53"/>
    <n v="5"/>
    <x v="4"/>
    <n v="596.75"/>
    <x v="3583"/>
    <n v="11338.31"/>
    <x v="4"/>
    <n v="2024"/>
  </r>
  <r>
    <s v="TXN03586"/>
    <x v="11"/>
    <x v="1"/>
    <x v="8"/>
    <x v="2"/>
    <d v="2024-12-31T00:00:00"/>
    <x v="5"/>
    <n v="45509.98"/>
    <n v="15"/>
    <x v="0"/>
    <n v="13652.99"/>
    <x v="3584"/>
    <n v="77366.97"/>
    <x v="3"/>
    <n v="2024"/>
  </r>
  <r>
    <s v="TXN03587"/>
    <x v="14"/>
    <x v="4"/>
    <x v="19"/>
    <x v="3"/>
    <d v="2025-05-05T00:00:00"/>
    <x v="7"/>
    <n v="7391.02"/>
    <n v="0"/>
    <x v="6"/>
    <n v="0"/>
    <x v="3585"/>
    <n v="36955.1"/>
    <x v="9"/>
    <n v="2025"/>
  </r>
  <r>
    <s v="TXN03588"/>
    <x v="6"/>
    <x v="1"/>
    <x v="4"/>
    <x v="6"/>
    <d v="2024-01-09T00:00:00"/>
    <x v="0"/>
    <n v="7910.68"/>
    <n v="10"/>
    <x v="0"/>
    <n v="2373.1999999999998"/>
    <x v="3586"/>
    <n v="21358.84"/>
    <x v="10"/>
    <n v="2024"/>
  </r>
  <r>
    <s v="TXN03589"/>
    <x v="14"/>
    <x v="1"/>
    <x v="4"/>
    <x v="5"/>
    <d v="2025-07-01T00:00:00"/>
    <x v="5"/>
    <n v="7898.52"/>
    <n v="20"/>
    <x v="5"/>
    <n v="3159.41"/>
    <x v="3587"/>
    <n v="12637.63"/>
    <x v="11"/>
    <n v="2025"/>
  </r>
  <r>
    <s v="TXN03590"/>
    <x v="3"/>
    <x v="2"/>
    <x v="11"/>
    <x v="2"/>
    <d v="2025-12-11T00:00:00"/>
    <x v="5"/>
    <n v="5622.32"/>
    <n v="20"/>
    <x v="3"/>
    <n v="2248.9299999999998"/>
    <x v="3588"/>
    <n v="8995.7099999999991"/>
    <x v="3"/>
    <n v="2025"/>
  </r>
  <r>
    <s v="TXN03591"/>
    <x v="14"/>
    <x v="3"/>
    <x v="20"/>
    <x v="6"/>
    <d v="2025-08-14T00:00:00"/>
    <x v="6"/>
    <n v="3415.64"/>
    <n v="0"/>
    <x v="1"/>
    <n v="0"/>
    <x v="3589"/>
    <n v="30740.76"/>
    <x v="0"/>
    <n v="2025"/>
  </r>
  <r>
    <s v="TXN03592"/>
    <x v="1"/>
    <x v="1"/>
    <x v="8"/>
    <x v="0"/>
    <d v="2025-06-15T00:00:00"/>
    <x v="5"/>
    <n v="39767.9"/>
    <n v="10"/>
    <x v="5"/>
    <n v="7953.58"/>
    <x v="3590"/>
    <n v="71582.22"/>
    <x v="5"/>
    <n v="2025"/>
  </r>
  <r>
    <s v="TXN03593"/>
    <x v="2"/>
    <x v="2"/>
    <x v="5"/>
    <x v="6"/>
    <d v="2024-04-09T00:00:00"/>
    <x v="9"/>
    <n v="1146.0999999999999"/>
    <n v="20"/>
    <x v="0"/>
    <n v="2292.1999999999998"/>
    <x v="3591"/>
    <n v="9168.7999999999993"/>
    <x v="1"/>
    <n v="2024"/>
  </r>
  <r>
    <s v="TXN03594"/>
    <x v="9"/>
    <x v="2"/>
    <x v="10"/>
    <x v="2"/>
    <d v="2024-02-26T00:00:00"/>
    <x v="1"/>
    <n v="2850.32"/>
    <n v="0"/>
    <x v="1"/>
    <n v="0"/>
    <x v="3592"/>
    <n v="11401.28"/>
    <x v="2"/>
    <n v="2024"/>
  </r>
  <r>
    <s v="TXN03595"/>
    <x v="2"/>
    <x v="3"/>
    <x v="16"/>
    <x v="0"/>
    <d v="2025-12-21T00:00:00"/>
    <x v="9"/>
    <n v="1890.09"/>
    <n v="5"/>
    <x v="3"/>
    <n v="945.05"/>
    <x v="3593"/>
    <n v="17955.849999999999"/>
    <x v="3"/>
    <n v="2025"/>
  </r>
  <r>
    <s v="TXN03596"/>
    <x v="6"/>
    <x v="3"/>
    <x v="7"/>
    <x v="2"/>
    <d v="2025-08-11T00:00:00"/>
    <x v="2"/>
    <n v="1955.05"/>
    <n v="5"/>
    <x v="5"/>
    <n v="782.02"/>
    <x v="3594"/>
    <n v="14858.38"/>
    <x v="0"/>
    <n v="2025"/>
  </r>
  <r>
    <s v="TXN03597"/>
    <x v="0"/>
    <x v="0"/>
    <x v="1"/>
    <x v="1"/>
    <d v="2024-03-05T00:00:00"/>
    <x v="6"/>
    <n v="2935.8"/>
    <n v="15"/>
    <x v="3"/>
    <n v="3963.33"/>
    <x v="3595"/>
    <n v="22458.87"/>
    <x v="6"/>
    <n v="2024"/>
  </r>
  <r>
    <s v="TXN03598"/>
    <x v="6"/>
    <x v="1"/>
    <x v="4"/>
    <x v="1"/>
    <d v="2025-02-15T00:00:00"/>
    <x v="5"/>
    <n v="7593.28"/>
    <n v="0"/>
    <x v="4"/>
    <n v="0"/>
    <x v="3596"/>
    <n v="15186.56"/>
    <x v="2"/>
    <n v="2025"/>
  </r>
  <r>
    <s v="TXN03599"/>
    <x v="3"/>
    <x v="3"/>
    <x v="20"/>
    <x v="4"/>
    <d v="2024-03-05T00:00:00"/>
    <x v="3"/>
    <n v="3345.52"/>
    <n v="5"/>
    <x v="1"/>
    <n v="1003.66"/>
    <x v="3597"/>
    <n v="19069.46"/>
    <x v="6"/>
    <n v="2024"/>
  </r>
  <r>
    <s v="TXN03600"/>
    <x v="5"/>
    <x v="0"/>
    <x v="3"/>
    <x v="1"/>
    <d v="2025-03-27T00:00:00"/>
    <x v="6"/>
    <n v="16595.78"/>
    <n v="0"/>
    <x v="6"/>
    <n v="0"/>
    <x v="3598"/>
    <n v="149362.01999999999"/>
    <x v="6"/>
    <n v="2025"/>
  </r>
  <r>
    <s v="TXN03601"/>
    <x v="14"/>
    <x v="0"/>
    <x v="1"/>
    <x v="2"/>
    <d v="2025-01-04T00:00:00"/>
    <x v="9"/>
    <n v="3111.77"/>
    <n v="10"/>
    <x v="2"/>
    <n v="3111.77"/>
    <x v="3599"/>
    <n v="28005.93"/>
    <x v="10"/>
    <n v="2025"/>
  </r>
  <r>
    <s v="TXN03602"/>
    <x v="1"/>
    <x v="3"/>
    <x v="16"/>
    <x v="2"/>
    <d v="2024-08-31T00:00:00"/>
    <x v="7"/>
    <n v="1472.08"/>
    <n v="10"/>
    <x v="2"/>
    <n v="736.04"/>
    <x v="3600"/>
    <n v="6624.36"/>
    <x v="0"/>
    <n v="2024"/>
  </r>
  <r>
    <s v="TXN03603"/>
    <x v="0"/>
    <x v="0"/>
    <x v="1"/>
    <x v="4"/>
    <d v="2024-05-24T00:00:00"/>
    <x v="4"/>
    <n v="3404.07"/>
    <n v="20"/>
    <x v="7"/>
    <n v="4765.7"/>
    <x v="3601"/>
    <n v="19062.79"/>
    <x v="9"/>
    <n v="2024"/>
  </r>
  <r>
    <s v="TXN03604"/>
    <x v="7"/>
    <x v="3"/>
    <x v="20"/>
    <x v="1"/>
    <d v="2024-11-10T00:00:00"/>
    <x v="5"/>
    <n v="4364.88"/>
    <n v="0"/>
    <x v="2"/>
    <n v="0"/>
    <x v="3602"/>
    <n v="8729.76"/>
    <x v="8"/>
    <n v="2024"/>
  </r>
  <r>
    <s v="TXN03605"/>
    <x v="6"/>
    <x v="0"/>
    <x v="24"/>
    <x v="2"/>
    <d v="2025-10-18T00:00:00"/>
    <x v="4"/>
    <n v="8258.2900000000009"/>
    <n v="0"/>
    <x v="2"/>
    <n v="0"/>
    <x v="3603"/>
    <n v="57808.03"/>
    <x v="4"/>
    <n v="2025"/>
  </r>
  <r>
    <s v="TXN03606"/>
    <x v="14"/>
    <x v="0"/>
    <x v="0"/>
    <x v="3"/>
    <d v="2024-06-12T00:00:00"/>
    <x v="7"/>
    <n v="60677.46"/>
    <n v="0"/>
    <x v="3"/>
    <n v="0"/>
    <x v="3604"/>
    <n v="303387.3"/>
    <x v="5"/>
    <n v="2024"/>
  </r>
  <r>
    <s v="TXN03607"/>
    <x v="7"/>
    <x v="4"/>
    <x v="14"/>
    <x v="5"/>
    <d v="2024-06-04T00:00:00"/>
    <x v="5"/>
    <n v="1587.31"/>
    <n v="15"/>
    <x v="3"/>
    <n v="476.19"/>
    <x v="3605"/>
    <n v="2698.43"/>
    <x v="5"/>
    <n v="2024"/>
  </r>
  <r>
    <s v="TXN03608"/>
    <x v="7"/>
    <x v="3"/>
    <x v="16"/>
    <x v="2"/>
    <d v="2025-09-25T00:00:00"/>
    <x v="9"/>
    <n v="1642.16"/>
    <n v="5"/>
    <x v="2"/>
    <n v="821.08"/>
    <x v="3606"/>
    <n v="15600.52"/>
    <x v="7"/>
    <n v="2025"/>
  </r>
  <r>
    <s v="TXN03609"/>
    <x v="2"/>
    <x v="0"/>
    <x v="1"/>
    <x v="2"/>
    <d v="2025-05-23T00:00:00"/>
    <x v="9"/>
    <n v="3299.72"/>
    <n v="0"/>
    <x v="4"/>
    <n v="0"/>
    <x v="3607"/>
    <n v="32997.199999999997"/>
    <x v="9"/>
    <n v="2025"/>
  </r>
  <r>
    <s v="TXN03610"/>
    <x v="3"/>
    <x v="0"/>
    <x v="0"/>
    <x v="6"/>
    <d v="2024-05-22T00:00:00"/>
    <x v="3"/>
    <n v="66499.5"/>
    <n v="5"/>
    <x v="0"/>
    <n v="19949.849999999999"/>
    <x v="3608"/>
    <n v="379047.15"/>
    <x v="9"/>
    <n v="2024"/>
  </r>
  <r>
    <s v="TXN03611"/>
    <x v="13"/>
    <x v="2"/>
    <x v="9"/>
    <x v="2"/>
    <d v="2024-06-10T00:00:00"/>
    <x v="0"/>
    <n v="4084.32"/>
    <n v="15"/>
    <x v="0"/>
    <n v="1837.94"/>
    <x v="3609"/>
    <n v="10415.02"/>
    <x v="5"/>
    <n v="2024"/>
  </r>
  <r>
    <s v="TXN03612"/>
    <x v="3"/>
    <x v="3"/>
    <x v="21"/>
    <x v="6"/>
    <d v="2024-05-11T00:00:00"/>
    <x v="7"/>
    <n v="2753.16"/>
    <n v="20"/>
    <x v="6"/>
    <n v="2753.16"/>
    <x v="3610"/>
    <n v="11012.64"/>
    <x v="9"/>
    <n v="2024"/>
  </r>
  <r>
    <s v="TXN03613"/>
    <x v="7"/>
    <x v="4"/>
    <x v="17"/>
    <x v="6"/>
    <d v="2024-03-31T00:00:00"/>
    <x v="7"/>
    <n v="3442.84"/>
    <n v="0"/>
    <x v="5"/>
    <n v="0"/>
    <x v="3611"/>
    <n v="17214.2"/>
    <x v="6"/>
    <n v="2024"/>
  </r>
  <r>
    <s v="TXN03614"/>
    <x v="14"/>
    <x v="3"/>
    <x v="21"/>
    <x v="3"/>
    <d v="2025-12-24T00:00:00"/>
    <x v="0"/>
    <n v="3103.05"/>
    <n v="20"/>
    <x v="1"/>
    <n v="1861.83"/>
    <x v="3612"/>
    <n v="7447.32"/>
    <x v="3"/>
    <n v="2025"/>
  </r>
  <r>
    <s v="TXN03615"/>
    <x v="10"/>
    <x v="4"/>
    <x v="17"/>
    <x v="5"/>
    <d v="2024-10-21T00:00:00"/>
    <x v="6"/>
    <n v="3492.6"/>
    <n v="5"/>
    <x v="1"/>
    <n v="1571.67"/>
    <x v="3613"/>
    <n v="29861.73"/>
    <x v="4"/>
    <n v="2024"/>
  </r>
  <r>
    <s v="TXN03616"/>
    <x v="1"/>
    <x v="3"/>
    <x v="15"/>
    <x v="3"/>
    <d v="2024-11-03T00:00:00"/>
    <x v="2"/>
    <n v="849.97"/>
    <n v="15"/>
    <x v="5"/>
    <n v="1019.96"/>
    <x v="3614"/>
    <n v="5779.8"/>
    <x v="8"/>
    <n v="2024"/>
  </r>
  <r>
    <s v="TXN03617"/>
    <x v="13"/>
    <x v="2"/>
    <x v="22"/>
    <x v="2"/>
    <d v="2024-09-20T00:00:00"/>
    <x v="5"/>
    <n v="952.78"/>
    <n v="20"/>
    <x v="1"/>
    <n v="381.11"/>
    <x v="3615"/>
    <n v="1524.45"/>
    <x v="7"/>
    <n v="2024"/>
  </r>
  <r>
    <s v="TXN03618"/>
    <x v="1"/>
    <x v="2"/>
    <x v="22"/>
    <x v="5"/>
    <d v="2024-07-28T00:00:00"/>
    <x v="8"/>
    <n v="831.1"/>
    <n v="15"/>
    <x v="4"/>
    <n v="124.66"/>
    <x v="3616"/>
    <n v="706.44"/>
    <x v="11"/>
    <n v="2024"/>
  </r>
  <r>
    <s v="TXN03619"/>
    <x v="1"/>
    <x v="3"/>
    <x v="20"/>
    <x v="3"/>
    <d v="2024-08-13T00:00:00"/>
    <x v="6"/>
    <n v="3639.01"/>
    <n v="20"/>
    <x v="3"/>
    <n v="6550.22"/>
    <x v="3617"/>
    <n v="26200.87"/>
    <x v="0"/>
    <n v="2024"/>
  </r>
  <r>
    <s v="TXN03620"/>
    <x v="11"/>
    <x v="2"/>
    <x v="11"/>
    <x v="2"/>
    <d v="2024-12-21T00:00:00"/>
    <x v="4"/>
    <n v="5908.73"/>
    <n v="20"/>
    <x v="2"/>
    <n v="8272.2199999999993"/>
    <x v="3618"/>
    <n v="33088.89"/>
    <x v="3"/>
    <n v="2024"/>
  </r>
  <r>
    <s v="TXN03621"/>
    <x v="6"/>
    <x v="2"/>
    <x v="5"/>
    <x v="4"/>
    <d v="2025-11-05T00:00:00"/>
    <x v="8"/>
    <n v="1325.51"/>
    <n v="5"/>
    <x v="2"/>
    <n v="66.28"/>
    <x v="3619"/>
    <n v="1259.23"/>
    <x v="8"/>
    <n v="2025"/>
  </r>
  <r>
    <s v="TXN03622"/>
    <x v="13"/>
    <x v="1"/>
    <x v="8"/>
    <x v="1"/>
    <d v="2024-07-17T00:00:00"/>
    <x v="6"/>
    <n v="39821.910000000003"/>
    <n v="10"/>
    <x v="7"/>
    <n v="35839.72"/>
    <x v="3620"/>
    <n v="322557.46999999997"/>
    <x v="11"/>
    <n v="2024"/>
  </r>
  <r>
    <s v="TXN03623"/>
    <x v="5"/>
    <x v="4"/>
    <x v="14"/>
    <x v="2"/>
    <d v="2024-03-22T00:00:00"/>
    <x v="9"/>
    <n v="1580.77"/>
    <n v="5"/>
    <x v="6"/>
    <n v="790.39"/>
    <x v="3621"/>
    <n v="15017.31"/>
    <x v="6"/>
    <n v="2024"/>
  </r>
  <r>
    <s v="TXN03624"/>
    <x v="2"/>
    <x v="2"/>
    <x v="10"/>
    <x v="0"/>
    <d v="2024-09-19T00:00:00"/>
    <x v="6"/>
    <n v="2616.79"/>
    <n v="10"/>
    <x v="7"/>
    <n v="2355.11"/>
    <x v="3622"/>
    <n v="21196"/>
    <x v="7"/>
    <n v="2024"/>
  </r>
  <r>
    <s v="TXN03625"/>
    <x v="7"/>
    <x v="1"/>
    <x v="8"/>
    <x v="2"/>
    <d v="2024-11-11T00:00:00"/>
    <x v="5"/>
    <n v="46080.33"/>
    <n v="0"/>
    <x v="4"/>
    <n v="0"/>
    <x v="3623"/>
    <n v="92160.66"/>
    <x v="8"/>
    <n v="2024"/>
  </r>
  <r>
    <s v="TXN03626"/>
    <x v="10"/>
    <x v="3"/>
    <x v="16"/>
    <x v="6"/>
    <d v="2025-01-05T00:00:00"/>
    <x v="1"/>
    <n v="1465.36"/>
    <n v="5"/>
    <x v="1"/>
    <n v="293.07"/>
    <x v="3624"/>
    <n v="5568.37"/>
    <x v="10"/>
    <n v="2025"/>
  </r>
  <r>
    <s v="TXN03627"/>
    <x v="12"/>
    <x v="2"/>
    <x v="5"/>
    <x v="0"/>
    <d v="2025-02-22T00:00:00"/>
    <x v="2"/>
    <n v="1144.52"/>
    <n v="0"/>
    <x v="7"/>
    <n v="0"/>
    <x v="3625"/>
    <n v="9156.16"/>
    <x v="2"/>
    <n v="2025"/>
  </r>
  <r>
    <s v="TXN03628"/>
    <x v="0"/>
    <x v="2"/>
    <x v="22"/>
    <x v="4"/>
    <d v="2025-11-04T00:00:00"/>
    <x v="4"/>
    <n v="1013.12"/>
    <n v="20"/>
    <x v="3"/>
    <n v="1418.37"/>
    <x v="3626"/>
    <n v="5673.47"/>
    <x v="8"/>
    <n v="2025"/>
  </r>
  <r>
    <s v="TXN03629"/>
    <x v="10"/>
    <x v="3"/>
    <x v="21"/>
    <x v="6"/>
    <d v="2025-10-03T00:00:00"/>
    <x v="6"/>
    <n v="2989.4"/>
    <n v="15"/>
    <x v="2"/>
    <n v="4035.69"/>
    <x v="3627"/>
    <n v="22868.91"/>
    <x v="4"/>
    <n v="2025"/>
  </r>
  <r>
    <s v="TXN03630"/>
    <x v="0"/>
    <x v="3"/>
    <x v="16"/>
    <x v="2"/>
    <d v="2025-08-30T00:00:00"/>
    <x v="0"/>
    <n v="1487.83"/>
    <n v="20"/>
    <x v="3"/>
    <n v="892.7"/>
    <x v="3628"/>
    <n v="3570.79"/>
    <x v="0"/>
    <n v="2025"/>
  </r>
  <r>
    <s v="TXN03631"/>
    <x v="9"/>
    <x v="1"/>
    <x v="13"/>
    <x v="4"/>
    <d v="2024-04-23T00:00:00"/>
    <x v="6"/>
    <n v="11455"/>
    <n v="5"/>
    <x v="1"/>
    <n v="5154.75"/>
    <x v="3629"/>
    <n v="97940.25"/>
    <x v="1"/>
    <n v="2024"/>
  </r>
  <r>
    <s v="TXN03632"/>
    <x v="13"/>
    <x v="3"/>
    <x v="7"/>
    <x v="5"/>
    <d v="2025-03-13T00:00:00"/>
    <x v="6"/>
    <n v="1947.37"/>
    <n v="15"/>
    <x v="5"/>
    <n v="2628.95"/>
    <x v="3630"/>
    <n v="14897.38"/>
    <x v="6"/>
    <n v="2025"/>
  </r>
  <r>
    <s v="TXN03633"/>
    <x v="8"/>
    <x v="4"/>
    <x v="23"/>
    <x v="5"/>
    <d v="2025-09-17T00:00:00"/>
    <x v="4"/>
    <n v="9696.35"/>
    <n v="20"/>
    <x v="1"/>
    <n v="13574.89"/>
    <x v="3631"/>
    <n v="54299.56"/>
    <x v="7"/>
    <n v="2025"/>
  </r>
  <r>
    <s v="TXN03634"/>
    <x v="5"/>
    <x v="1"/>
    <x v="2"/>
    <x v="2"/>
    <d v="2025-08-11T00:00:00"/>
    <x v="3"/>
    <n v="27693.439999999999"/>
    <n v="15"/>
    <x v="4"/>
    <n v="24924.1"/>
    <x v="3632"/>
    <n v="141236.54"/>
    <x v="0"/>
    <n v="2025"/>
  </r>
  <r>
    <s v="TXN03635"/>
    <x v="6"/>
    <x v="3"/>
    <x v="7"/>
    <x v="4"/>
    <d v="2025-10-13T00:00:00"/>
    <x v="1"/>
    <n v="1822.17"/>
    <n v="15"/>
    <x v="5"/>
    <n v="1093.3"/>
    <x v="3633"/>
    <n v="6195.38"/>
    <x v="4"/>
    <n v="2025"/>
  </r>
  <r>
    <s v="TXN03636"/>
    <x v="8"/>
    <x v="3"/>
    <x v="20"/>
    <x v="3"/>
    <d v="2025-09-06T00:00:00"/>
    <x v="0"/>
    <n v="3958.3"/>
    <n v="20"/>
    <x v="5"/>
    <n v="2374.98"/>
    <x v="3634"/>
    <n v="9499.92"/>
    <x v="7"/>
    <n v="2025"/>
  </r>
  <r>
    <s v="TXN03637"/>
    <x v="9"/>
    <x v="4"/>
    <x v="19"/>
    <x v="2"/>
    <d v="2024-10-10T00:00:00"/>
    <x v="5"/>
    <n v="10047.33"/>
    <n v="0"/>
    <x v="6"/>
    <n v="0"/>
    <x v="3635"/>
    <n v="20094.66"/>
    <x v="4"/>
    <n v="2024"/>
  </r>
  <r>
    <s v="TXN03638"/>
    <x v="1"/>
    <x v="3"/>
    <x v="21"/>
    <x v="2"/>
    <d v="2025-03-14T00:00:00"/>
    <x v="2"/>
    <n v="2452.02"/>
    <n v="0"/>
    <x v="3"/>
    <n v="0"/>
    <x v="3636"/>
    <n v="19616.16"/>
    <x v="6"/>
    <n v="2025"/>
  </r>
  <r>
    <s v="TXN03639"/>
    <x v="12"/>
    <x v="0"/>
    <x v="1"/>
    <x v="5"/>
    <d v="2024-09-20T00:00:00"/>
    <x v="3"/>
    <n v="2868.01"/>
    <n v="20"/>
    <x v="2"/>
    <n v="3441.61"/>
    <x v="3637"/>
    <n v="13766.45"/>
    <x v="7"/>
    <n v="2024"/>
  </r>
  <r>
    <s v="TXN03640"/>
    <x v="10"/>
    <x v="4"/>
    <x v="19"/>
    <x v="0"/>
    <d v="2025-01-01T00:00:00"/>
    <x v="4"/>
    <n v="7821.36"/>
    <n v="0"/>
    <x v="7"/>
    <n v="0"/>
    <x v="3638"/>
    <n v="54749.52"/>
    <x v="10"/>
    <n v="2025"/>
  </r>
  <r>
    <s v="TXN03641"/>
    <x v="11"/>
    <x v="2"/>
    <x v="9"/>
    <x v="6"/>
    <d v="2024-08-31T00:00:00"/>
    <x v="8"/>
    <n v="5077.7"/>
    <n v="0"/>
    <x v="2"/>
    <n v="0"/>
    <x v="3639"/>
    <n v="5077.7"/>
    <x v="0"/>
    <n v="2024"/>
  </r>
  <r>
    <s v="TXN03642"/>
    <x v="3"/>
    <x v="2"/>
    <x v="5"/>
    <x v="2"/>
    <d v="2024-03-03T00:00:00"/>
    <x v="5"/>
    <n v="1198.8"/>
    <n v="5"/>
    <x v="3"/>
    <n v="119.88"/>
    <x v="3640"/>
    <n v="2277.7199999999998"/>
    <x v="6"/>
    <n v="2024"/>
  </r>
  <r>
    <s v="TXN03643"/>
    <x v="10"/>
    <x v="0"/>
    <x v="0"/>
    <x v="2"/>
    <d v="2025-08-12T00:00:00"/>
    <x v="2"/>
    <n v="69098.37"/>
    <n v="5"/>
    <x v="5"/>
    <n v="27639.35"/>
    <x v="3641"/>
    <n v="525147.61"/>
    <x v="0"/>
    <n v="2025"/>
  </r>
  <r>
    <s v="TXN03644"/>
    <x v="7"/>
    <x v="1"/>
    <x v="4"/>
    <x v="4"/>
    <d v="2025-07-08T00:00:00"/>
    <x v="1"/>
    <n v="7810.62"/>
    <n v="20"/>
    <x v="4"/>
    <n v="6248.5"/>
    <x v="3642"/>
    <n v="24993.98"/>
    <x v="11"/>
    <n v="2025"/>
  </r>
  <r>
    <s v="TXN03645"/>
    <x v="1"/>
    <x v="1"/>
    <x v="2"/>
    <x v="5"/>
    <d v="2025-08-04T00:00:00"/>
    <x v="6"/>
    <n v="27289.33"/>
    <n v="15"/>
    <x v="1"/>
    <n v="36840.6"/>
    <x v="3643"/>
    <n v="208763.37"/>
    <x v="0"/>
    <n v="2025"/>
  </r>
  <r>
    <s v="TXN03646"/>
    <x v="10"/>
    <x v="0"/>
    <x v="0"/>
    <x v="2"/>
    <d v="2024-10-08T00:00:00"/>
    <x v="8"/>
    <n v="78536.210000000006"/>
    <n v="5"/>
    <x v="1"/>
    <n v="3926.81"/>
    <x v="3644"/>
    <n v="74609.399999999994"/>
    <x v="4"/>
    <n v="2024"/>
  </r>
  <r>
    <s v="TXN03647"/>
    <x v="13"/>
    <x v="3"/>
    <x v="21"/>
    <x v="1"/>
    <d v="2024-08-12T00:00:00"/>
    <x v="2"/>
    <n v="2717.34"/>
    <n v="10"/>
    <x v="5"/>
    <n v="2173.87"/>
    <x v="3645"/>
    <n v="19564.849999999999"/>
    <x v="0"/>
    <n v="2024"/>
  </r>
  <r>
    <s v="TXN03648"/>
    <x v="1"/>
    <x v="2"/>
    <x v="9"/>
    <x v="2"/>
    <d v="2024-04-16T00:00:00"/>
    <x v="3"/>
    <n v="4417.08"/>
    <n v="10"/>
    <x v="6"/>
    <n v="2650.25"/>
    <x v="3646"/>
    <n v="23852.23"/>
    <x v="1"/>
    <n v="2024"/>
  </r>
  <r>
    <s v="TXN03649"/>
    <x v="3"/>
    <x v="4"/>
    <x v="17"/>
    <x v="4"/>
    <d v="2025-02-06T00:00:00"/>
    <x v="8"/>
    <n v="3688.17"/>
    <n v="15"/>
    <x v="3"/>
    <n v="553.23"/>
    <x v="3647"/>
    <n v="3134.94"/>
    <x v="2"/>
    <n v="2025"/>
  </r>
  <r>
    <s v="TXN03650"/>
    <x v="14"/>
    <x v="4"/>
    <x v="19"/>
    <x v="2"/>
    <d v="2025-10-10T00:00:00"/>
    <x v="0"/>
    <n v="9010.7000000000007"/>
    <n v="0"/>
    <x v="2"/>
    <n v="0"/>
    <x v="3648"/>
    <n v="27032.1"/>
    <x v="4"/>
    <n v="2025"/>
  </r>
  <r>
    <s v="TXN03651"/>
    <x v="1"/>
    <x v="3"/>
    <x v="7"/>
    <x v="2"/>
    <d v="2025-10-01T00:00:00"/>
    <x v="9"/>
    <n v="1813.17"/>
    <n v="20"/>
    <x v="4"/>
    <n v="3626.34"/>
    <x v="3649"/>
    <n v="14505.36"/>
    <x v="4"/>
    <n v="2025"/>
  </r>
  <r>
    <s v="TXN03652"/>
    <x v="4"/>
    <x v="1"/>
    <x v="8"/>
    <x v="0"/>
    <d v="2025-03-31T00:00:00"/>
    <x v="0"/>
    <n v="44030.2"/>
    <n v="10"/>
    <x v="2"/>
    <n v="13209.06"/>
    <x v="3650"/>
    <n v="118881.54"/>
    <x v="6"/>
    <n v="2025"/>
  </r>
  <r>
    <s v="TXN03653"/>
    <x v="6"/>
    <x v="0"/>
    <x v="6"/>
    <x v="0"/>
    <d v="2025-10-26T00:00:00"/>
    <x v="1"/>
    <n v="28579.94"/>
    <n v="0"/>
    <x v="5"/>
    <n v="0"/>
    <x v="3651"/>
    <n v="114319.76"/>
    <x v="4"/>
    <n v="2025"/>
  </r>
  <r>
    <s v="TXN03654"/>
    <x v="3"/>
    <x v="4"/>
    <x v="23"/>
    <x v="3"/>
    <d v="2025-07-16T00:00:00"/>
    <x v="0"/>
    <n v="9223.35"/>
    <n v="5"/>
    <x v="5"/>
    <n v="1383.5"/>
    <x v="3652"/>
    <n v="26286.55"/>
    <x v="11"/>
    <n v="2025"/>
  </r>
  <r>
    <s v="TXN03655"/>
    <x v="1"/>
    <x v="4"/>
    <x v="18"/>
    <x v="0"/>
    <d v="2025-09-13T00:00:00"/>
    <x v="3"/>
    <n v="11992.99"/>
    <n v="20"/>
    <x v="0"/>
    <n v="14391.59"/>
    <x v="3653"/>
    <n v="57566.35"/>
    <x v="7"/>
    <n v="2025"/>
  </r>
  <r>
    <s v="TXN03656"/>
    <x v="0"/>
    <x v="3"/>
    <x v="20"/>
    <x v="5"/>
    <d v="2025-04-01T00:00:00"/>
    <x v="6"/>
    <n v="3683.32"/>
    <n v="0"/>
    <x v="1"/>
    <n v="0"/>
    <x v="3654"/>
    <n v="33149.879999999997"/>
    <x v="1"/>
    <n v="2025"/>
  </r>
  <r>
    <s v="TXN03657"/>
    <x v="6"/>
    <x v="4"/>
    <x v="19"/>
    <x v="2"/>
    <d v="2025-09-13T00:00:00"/>
    <x v="6"/>
    <n v="7329.35"/>
    <n v="15"/>
    <x v="7"/>
    <n v="9894.6200000000008"/>
    <x v="3655"/>
    <n v="56069.53"/>
    <x v="7"/>
    <n v="2025"/>
  </r>
  <r>
    <s v="TXN03658"/>
    <x v="6"/>
    <x v="3"/>
    <x v="20"/>
    <x v="4"/>
    <d v="2024-11-02T00:00:00"/>
    <x v="5"/>
    <n v="4228.71"/>
    <n v="20"/>
    <x v="4"/>
    <n v="1691.48"/>
    <x v="3656"/>
    <n v="6765.94"/>
    <x v="8"/>
    <n v="2024"/>
  </r>
  <r>
    <s v="TXN03659"/>
    <x v="2"/>
    <x v="1"/>
    <x v="4"/>
    <x v="2"/>
    <d v="2025-03-15T00:00:00"/>
    <x v="7"/>
    <n v="8439.83"/>
    <n v="5"/>
    <x v="7"/>
    <n v="2109.96"/>
    <x v="3657"/>
    <n v="40089.19"/>
    <x v="6"/>
    <n v="2025"/>
  </r>
  <r>
    <s v="TXN03660"/>
    <x v="9"/>
    <x v="2"/>
    <x v="5"/>
    <x v="3"/>
    <d v="2025-11-09T00:00:00"/>
    <x v="9"/>
    <n v="1345.04"/>
    <n v="15"/>
    <x v="5"/>
    <n v="2017.56"/>
    <x v="3658"/>
    <n v="11432.84"/>
    <x v="8"/>
    <n v="2025"/>
  </r>
  <r>
    <s v="TXN03661"/>
    <x v="3"/>
    <x v="4"/>
    <x v="23"/>
    <x v="5"/>
    <d v="2025-08-19T00:00:00"/>
    <x v="8"/>
    <n v="10203.52"/>
    <n v="10"/>
    <x v="5"/>
    <n v="1020.35"/>
    <x v="3659"/>
    <n v="9183.17"/>
    <x v="0"/>
    <n v="2025"/>
  </r>
  <r>
    <s v="TXN03662"/>
    <x v="0"/>
    <x v="3"/>
    <x v="20"/>
    <x v="6"/>
    <d v="2025-10-26T00:00:00"/>
    <x v="1"/>
    <n v="4079.7"/>
    <n v="10"/>
    <x v="4"/>
    <n v="1631.88"/>
    <x v="3660"/>
    <n v="14686.92"/>
    <x v="4"/>
    <n v="2025"/>
  </r>
  <r>
    <s v="TXN03663"/>
    <x v="9"/>
    <x v="1"/>
    <x v="2"/>
    <x v="5"/>
    <d v="2024-04-14T00:00:00"/>
    <x v="3"/>
    <n v="27873.9"/>
    <n v="20"/>
    <x v="6"/>
    <n v="33448.68"/>
    <x v="3661"/>
    <n v="133794.72"/>
    <x v="1"/>
    <n v="2024"/>
  </r>
  <r>
    <s v="TXN03664"/>
    <x v="0"/>
    <x v="1"/>
    <x v="13"/>
    <x v="1"/>
    <d v="2025-09-19T00:00:00"/>
    <x v="8"/>
    <n v="12260.63"/>
    <n v="5"/>
    <x v="4"/>
    <n v="613.03"/>
    <x v="3662"/>
    <n v="11647.6"/>
    <x v="7"/>
    <n v="2025"/>
  </r>
  <r>
    <s v="TXN03665"/>
    <x v="3"/>
    <x v="3"/>
    <x v="15"/>
    <x v="4"/>
    <d v="2025-08-30T00:00:00"/>
    <x v="2"/>
    <n v="813.32"/>
    <n v="0"/>
    <x v="5"/>
    <n v="0"/>
    <x v="3663"/>
    <n v="6506.56"/>
    <x v="0"/>
    <n v="2025"/>
  </r>
  <r>
    <s v="TXN03666"/>
    <x v="6"/>
    <x v="0"/>
    <x v="0"/>
    <x v="0"/>
    <d v="2025-04-18T00:00:00"/>
    <x v="2"/>
    <n v="72455.63"/>
    <n v="10"/>
    <x v="4"/>
    <n v="57964.5"/>
    <x v="3664"/>
    <n v="521680.54"/>
    <x v="1"/>
    <n v="2025"/>
  </r>
  <r>
    <s v="TXN03667"/>
    <x v="2"/>
    <x v="2"/>
    <x v="22"/>
    <x v="2"/>
    <d v="2025-11-06T00:00:00"/>
    <x v="7"/>
    <n v="1062.82"/>
    <n v="15"/>
    <x v="7"/>
    <n v="797.12"/>
    <x v="3665"/>
    <n v="4516.9799999999996"/>
    <x v="8"/>
    <n v="2025"/>
  </r>
  <r>
    <s v="TXN03668"/>
    <x v="3"/>
    <x v="1"/>
    <x v="13"/>
    <x v="0"/>
    <d v="2025-05-27T00:00:00"/>
    <x v="3"/>
    <n v="12003.87"/>
    <n v="0"/>
    <x v="6"/>
    <n v="0"/>
    <x v="3666"/>
    <n v="72023.22"/>
    <x v="9"/>
    <n v="2025"/>
  </r>
  <r>
    <s v="TXN03669"/>
    <x v="5"/>
    <x v="1"/>
    <x v="4"/>
    <x v="2"/>
    <d v="2024-11-12T00:00:00"/>
    <x v="5"/>
    <n v="8785.7199999999993"/>
    <n v="10"/>
    <x v="6"/>
    <n v="1757.14"/>
    <x v="3667"/>
    <n v="15814.3"/>
    <x v="8"/>
    <n v="2024"/>
  </r>
  <r>
    <s v="TXN03670"/>
    <x v="2"/>
    <x v="3"/>
    <x v="16"/>
    <x v="6"/>
    <d v="2024-06-04T00:00:00"/>
    <x v="1"/>
    <n v="1672.76"/>
    <n v="20"/>
    <x v="5"/>
    <n v="1338.21"/>
    <x v="3668"/>
    <n v="5352.83"/>
    <x v="5"/>
    <n v="2024"/>
  </r>
  <r>
    <s v="TXN03671"/>
    <x v="3"/>
    <x v="3"/>
    <x v="20"/>
    <x v="6"/>
    <d v="2025-11-21T00:00:00"/>
    <x v="9"/>
    <n v="4221.29"/>
    <n v="10"/>
    <x v="1"/>
    <n v="4221.29"/>
    <x v="3669"/>
    <n v="37991.61"/>
    <x v="8"/>
    <n v="2025"/>
  </r>
  <r>
    <s v="TXN03672"/>
    <x v="5"/>
    <x v="4"/>
    <x v="14"/>
    <x v="3"/>
    <d v="2025-01-05T00:00:00"/>
    <x v="6"/>
    <n v="1386.65"/>
    <n v="15"/>
    <x v="6"/>
    <n v="1871.98"/>
    <x v="3670"/>
    <n v="10607.87"/>
    <x v="10"/>
    <n v="2025"/>
  </r>
  <r>
    <s v="TXN03673"/>
    <x v="7"/>
    <x v="4"/>
    <x v="17"/>
    <x v="3"/>
    <d v="2025-10-05T00:00:00"/>
    <x v="5"/>
    <n v="4212.57"/>
    <n v="15"/>
    <x v="4"/>
    <n v="1263.77"/>
    <x v="3671"/>
    <n v="7161.37"/>
    <x v="4"/>
    <n v="2025"/>
  </r>
  <r>
    <s v="TXN03674"/>
    <x v="2"/>
    <x v="1"/>
    <x v="13"/>
    <x v="2"/>
    <d v="2025-03-30T00:00:00"/>
    <x v="8"/>
    <n v="11701.75"/>
    <n v="15"/>
    <x v="4"/>
    <n v="1755.26"/>
    <x v="3672"/>
    <n v="9946.49"/>
    <x v="6"/>
    <n v="2025"/>
  </r>
  <r>
    <s v="TXN03675"/>
    <x v="1"/>
    <x v="0"/>
    <x v="3"/>
    <x v="3"/>
    <d v="2025-10-10T00:00:00"/>
    <x v="5"/>
    <n v="19079.7"/>
    <n v="15"/>
    <x v="6"/>
    <n v="5723.91"/>
    <x v="3673"/>
    <n v="32435.49"/>
    <x v="4"/>
    <n v="2025"/>
  </r>
  <r>
    <s v="TXN03676"/>
    <x v="0"/>
    <x v="2"/>
    <x v="9"/>
    <x v="3"/>
    <d v="2024-10-24T00:00:00"/>
    <x v="5"/>
    <n v="5143.01"/>
    <n v="10"/>
    <x v="0"/>
    <n v="1028.5999999999999"/>
    <x v="3674"/>
    <n v="9257.42"/>
    <x v="4"/>
    <n v="2024"/>
  </r>
  <r>
    <s v="TXN03677"/>
    <x v="13"/>
    <x v="2"/>
    <x v="22"/>
    <x v="6"/>
    <d v="2025-05-26T00:00:00"/>
    <x v="7"/>
    <n v="893.89"/>
    <n v="15"/>
    <x v="0"/>
    <n v="670.42"/>
    <x v="3675"/>
    <n v="3799.03"/>
    <x v="9"/>
    <n v="2025"/>
  </r>
  <r>
    <s v="TXN03678"/>
    <x v="11"/>
    <x v="0"/>
    <x v="0"/>
    <x v="1"/>
    <d v="2025-09-15T00:00:00"/>
    <x v="4"/>
    <n v="60137.56"/>
    <n v="0"/>
    <x v="0"/>
    <n v="0"/>
    <x v="3676"/>
    <n v="420962.92"/>
    <x v="7"/>
    <n v="2025"/>
  </r>
  <r>
    <s v="TXN03679"/>
    <x v="12"/>
    <x v="4"/>
    <x v="19"/>
    <x v="2"/>
    <d v="2025-11-05T00:00:00"/>
    <x v="8"/>
    <n v="9587.5499999999993"/>
    <n v="15"/>
    <x v="1"/>
    <n v="1438.13"/>
    <x v="3677"/>
    <n v="8149.42"/>
    <x v="8"/>
    <n v="2025"/>
  </r>
  <r>
    <s v="TXN03680"/>
    <x v="11"/>
    <x v="0"/>
    <x v="24"/>
    <x v="6"/>
    <d v="2025-08-11T00:00:00"/>
    <x v="8"/>
    <n v="7155.54"/>
    <n v="15"/>
    <x v="4"/>
    <n v="1073.33"/>
    <x v="3678"/>
    <n v="6082.21"/>
    <x v="0"/>
    <n v="2025"/>
  </r>
  <r>
    <s v="TXN03681"/>
    <x v="9"/>
    <x v="2"/>
    <x v="5"/>
    <x v="0"/>
    <d v="2025-11-27T00:00:00"/>
    <x v="5"/>
    <n v="1319.3"/>
    <n v="5"/>
    <x v="5"/>
    <n v="131.93"/>
    <x v="3679"/>
    <n v="2506.67"/>
    <x v="8"/>
    <n v="2025"/>
  </r>
  <r>
    <s v="TXN03682"/>
    <x v="12"/>
    <x v="0"/>
    <x v="3"/>
    <x v="3"/>
    <d v="2025-11-11T00:00:00"/>
    <x v="6"/>
    <n v="21634.720000000001"/>
    <n v="20"/>
    <x v="0"/>
    <n v="38942.5"/>
    <x v="3680"/>
    <n v="155769.98000000001"/>
    <x v="8"/>
    <n v="2025"/>
  </r>
  <r>
    <s v="TXN03683"/>
    <x v="1"/>
    <x v="4"/>
    <x v="23"/>
    <x v="2"/>
    <d v="2024-12-27T00:00:00"/>
    <x v="1"/>
    <n v="12074.11"/>
    <n v="15"/>
    <x v="0"/>
    <n v="7244.47"/>
    <x v="3681"/>
    <n v="41051.97"/>
    <x v="3"/>
    <n v="2024"/>
  </r>
  <r>
    <s v="TXN03684"/>
    <x v="14"/>
    <x v="1"/>
    <x v="4"/>
    <x v="2"/>
    <d v="2025-12-21T00:00:00"/>
    <x v="6"/>
    <n v="9227.56"/>
    <n v="0"/>
    <x v="5"/>
    <n v="0"/>
    <x v="3682"/>
    <n v="83048.039999999994"/>
    <x v="3"/>
    <n v="2025"/>
  </r>
  <r>
    <s v="TXN03685"/>
    <x v="11"/>
    <x v="4"/>
    <x v="17"/>
    <x v="4"/>
    <d v="2025-06-30T00:00:00"/>
    <x v="6"/>
    <n v="3337.6"/>
    <n v="0"/>
    <x v="3"/>
    <n v="0"/>
    <x v="3683"/>
    <n v="30038.400000000001"/>
    <x v="5"/>
    <n v="2025"/>
  </r>
  <r>
    <s v="TXN03686"/>
    <x v="10"/>
    <x v="1"/>
    <x v="13"/>
    <x v="0"/>
    <d v="2024-07-17T00:00:00"/>
    <x v="9"/>
    <n v="10821.9"/>
    <n v="10"/>
    <x v="7"/>
    <n v="10821.9"/>
    <x v="3684"/>
    <n v="97397.1"/>
    <x v="11"/>
    <n v="2024"/>
  </r>
  <r>
    <s v="TXN03687"/>
    <x v="12"/>
    <x v="1"/>
    <x v="12"/>
    <x v="5"/>
    <d v="2024-06-17T00:00:00"/>
    <x v="2"/>
    <n v="6352.88"/>
    <n v="20"/>
    <x v="4"/>
    <n v="10164.61"/>
    <x v="3685"/>
    <n v="40658.43"/>
    <x v="5"/>
    <n v="2024"/>
  </r>
  <r>
    <s v="TXN03688"/>
    <x v="1"/>
    <x v="1"/>
    <x v="2"/>
    <x v="3"/>
    <d v="2024-11-17T00:00:00"/>
    <x v="2"/>
    <n v="29646.84"/>
    <n v="20"/>
    <x v="0"/>
    <n v="47434.94"/>
    <x v="3686"/>
    <n v="189739.78"/>
    <x v="8"/>
    <n v="2024"/>
  </r>
  <r>
    <s v="TXN03689"/>
    <x v="10"/>
    <x v="4"/>
    <x v="23"/>
    <x v="3"/>
    <d v="2025-12-12T00:00:00"/>
    <x v="7"/>
    <n v="11330.44"/>
    <n v="0"/>
    <x v="7"/>
    <n v="0"/>
    <x v="3687"/>
    <n v="56652.2"/>
    <x v="3"/>
    <n v="2025"/>
  </r>
  <r>
    <s v="TXN03690"/>
    <x v="8"/>
    <x v="1"/>
    <x v="12"/>
    <x v="1"/>
    <d v="2025-11-20T00:00:00"/>
    <x v="1"/>
    <n v="7267.58"/>
    <n v="15"/>
    <x v="6"/>
    <n v="4360.55"/>
    <x v="3688"/>
    <n v="24709.77"/>
    <x v="8"/>
    <n v="2025"/>
  </r>
  <r>
    <s v="TXN03691"/>
    <x v="4"/>
    <x v="3"/>
    <x v="21"/>
    <x v="4"/>
    <d v="2024-01-26T00:00:00"/>
    <x v="6"/>
    <n v="2358.8200000000002"/>
    <n v="10"/>
    <x v="2"/>
    <n v="2122.94"/>
    <x v="3689"/>
    <n v="19106.439999999999"/>
    <x v="10"/>
    <n v="2024"/>
  </r>
  <r>
    <s v="TXN03692"/>
    <x v="2"/>
    <x v="1"/>
    <x v="2"/>
    <x v="2"/>
    <d v="2025-08-28T00:00:00"/>
    <x v="7"/>
    <n v="26922.14"/>
    <n v="0"/>
    <x v="6"/>
    <n v="0"/>
    <x v="3690"/>
    <n v="134610.70000000001"/>
    <x v="0"/>
    <n v="2025"/>
  </r>
  <r>
    <s v="TXN03693"/>
    <x v="4"/>
    <x v="1"/>
    <x v="8"/>
    <x v="3"/>
    <d v="2025-03-15T00:00:00"/>
    <x v="9"/>
    <n v="37036.86"/>
    <n v="5"/>
    <x v="2"/>
    <n v="18518.43"/>
    <x v="3691"/>
    <n v="351850.17"/>
    <x v="6"/>
    <n v="2025"/>
  </r>
  <r>
    <s v="TXN03694"/>
    <x v="10"/>
    <x v="1"/>
    <x v="13"/>
    <x v="3"/>
    <d v="2024-03-18T00:00:00"/>
    <x v="7"/>
    <n v="12679.87"/>
    <n v="5"/>
    <x v="3"/>
    <n v="3169.97"/>
    <x v="3692"/>
    <n v="60229.38"/>
    <x v="6"/>
    <n v="2024"/>
  </r>
  <r>
    <s v="TXN03695"/>
    <x v="10"/>
    <x v="3"/>
    <x v="7"/>
    <x v="5"/>
    <d v="2024-04-20T00:00:00"/>
    <x v="9"/>
    <n v="1840.15"/>
    <n v="20"/>
    <x v="7"/>
    <n v="3680.3"/>
    <x v="3693"/>
    <n v="14721.2"/>
    <x v="1"/>
    <n v="2024"/>
  </r>
  <r>
    <s v="TXN03696"/>
    <x v="4"/>
    <x v="2"/>
    <x v="5"/>
    <x v="0"/>
    <d v="2025-02-07T00:00:00"/>
    <x v="3"/>
    <n v="1215.45"/>
    <n v="10"/>
    <x v="4"/>
    <n v="729.27"/>
    <x v="3694"/>
    <n v="6563.43"/>
    <x v="2"/>
    <n v="2025"/>
  </r>
  <r>
    <s v="TXN03697"/>
    <x v="14"/>
    <x v="3"/>
    <x v="16"/>
    <x v="0"/>
    <d v="2024-07-04T00:00:00"/>
    <x v="3"/>
    <n v="1607.42"/>
    <n v="10"/>
    <x v="0"/>
    <n v="964.45"/>
    <x v="3695"/>
    <n v="8680.07"/>
    <x v="11"/>
    <n v="2024"/>
  </r>
  <r>
    <s v="TXN03698"/>
    <x v="14"/>
    <x v="3"/>
    <x v="20"/>
    <x v="1"/>
    <d v="2025-06-17T00:00:00"/>
    <x v="5"/>
    <n v="3847.63"/>
    <n v="20"/>
    <x v="7"/>
    <n v="1539.05"/>
    <x v="3696"/>
    <n v="6156.21"/>
    <x v="5"/>
    <n v="2025"/>
  </r>
  <r>
    <s v="TXN03699"/>
    <x v="2"/>
    <x v="3"/>
    <x v="15"/>
    <x v="5"/>
    <d v="2024-07-11T00:00:00"/>
    <x v="6"/>
    <n v="913.27"/>
    <n v="10"/>
    <x v="6"/>
    <n v="821.94"/>
    <x v="3697"/>
    <n v="7397.49"/>
    <x v="11"/>
    <n v="2024"/>
  </r>
  <r>
    <s v="TXN03700"/>
    <x v="2"/>
    <x v="1"/>
    <x v="12"/>
    <x v="6"/>
    <d v="2025-12-07T00:00:00"/>
    <x v="9"/>
    <n v="6297.04"/>
    <n v="15"/>
    <x v="7"/>
    <n v="9445.56"/>
    <x v="3698"/>
    <n v="53524.84"/>
    <x v="3"/>
    <n v="2025"/>
  </r>
  <r>
    <s v="TXN03701"/>
    <x v="10"/>
    <x v="2"/>
    <x v="22"/>
    <x v="1"/>
    <d v="2025-05-23T00:00:00"/>
    <x v="5"/>
    <n v="868.54"/>
    <n v="5"/>
    <x v="4"/>
    <n v="86.85"/>
    <x v="3699"/>
    <n v="1650.23"/>
    <x v="9"/>
    <n v="2025"/>
  </r>
  <r>
    <s v="TXN03702"/>
    <x v="6"/>
    <x v="1"/>
    <x v="12"/>
    <x v="0"/>
    <d v="2024-07-22T00:00:00"/>
    <x v="1"/>
    <n v="5885.46"/>
    <n v="0"/>
    <x v="0"/>
    <n v="0"/>
    <x v="3700"/>
    <n v="23541.84"/>
    <x v="11"/>
    <n v="2024"/>
  </r>
  <r>
    <s v="TXN03703"/>
    <x v="7"/>
    <x v="0"/>
    <x v="0"/>
    <x v="5"/>
    <d v="2025-07-08T00:00:00"/>
    <x v="1"/>
    <n v="73310.55"/>
    <n v="0"/>
    <x v="3"/>
    <n v="0"/>
    <x v="3701"/>
    <n v="293242.2"/>
    <x v="11"/>
    <n v="2025"/>
  </r>
  <r>
    <s v="TXN03704"/>
    <x v="9"/>
    <x v="1"/>
    <x v="12"/>
    <x v="5"/>
    <d v="2024-10-25T00:00:00"/>
    <x v="2"/>
    <n v="7438.1"/>
    <n v="0"/>
    <x v="2"/>
    <n v="0"/>
    <x v="3702"/>
    <n v="59504.800000000003"/>
    <x v="4"/>
    <n v="2024"/>
  </r>
  <r>
    <s v="TXN03705"/>
    <x v="1"/>
    <x v="2"/>
    <x v="10"/>
    <x v="2"/>
    <d v="2025-03-21T00:00:00"/>
    <x v="5"/>
    <n v="2857.08"/>
    <n v="5"/>
    <x v="6"/>
    <n v="285.70999999999998"/>
    <x v="3703"/>
    <n v="5428.45"/>
    <x v="6"/>
    <n v="2025"/>
  </r>
  <r>
    <s v="TXN03706"/>
    <x v="7"/>
    <x v="4"/>
    <x v="23"/>
    <x v="2"/>
    <d v="2024-01-03T00:00:00"/>
    <x v="2"/>
    <n v="10052.67"/>
    <n v="15"/>
    <x v="5"/>
    <n v="12063.2"/>
    <x v="3704"/>
    <n v="68358.16"/>
    <x v="10"/>
    <n v="2024"/>
  </r>
  <r>
    <s v="TXN03707"/>
    <x v="7"/>
    <x v="0"/>
    <x v="24"/>
    <x v="1"/>
    <d v="2024-05-30T00:00:00"/>
    <x v="8"/>
    <n v="6793.39"/>
    <n v="20"/>
    <x v="6"/>
    <n v="1358.68"/>
    <x v="3705"/>
    <n v="5434.71"/>
    <x v="9"/>
    <n v="2024"/>
  </r>
  <r>
    <s v="TXN03708"/>
    <x v="9"/>
    <x v="2"/>
    <x v="9"/>
    <x v="1"/>
    <d v="2024-04-15T00:00:00"/>
    <x v="6"/>
    <n v="4488.67"/>
    <n v="20"/>
    <x v="4"/>
    <n v="8079.61"/>
    <x v="3706"/>
    <n v="32318.42"/>
    <x v="1"/>
    <n v="2024"/>
  </r>
  <r>
    <s v="TXN03709"/>
    <x v="2"/>
    <x v="1"/>
    <x v="12"/>
    <x v="3"/>
    <d v="2025-01-31T00:00:00"/>
    <x v="7"/>
    <n v="6381.51"/>
    <n v="15"/>
    <x v="3"/>
    <n v="4786.13"/>
    <x v="3707"/>
    <n v="27121.42"/>
    <x v="10"/>
    <n v="2025"/>
  </r>
  <r>
    <s v="TXN03710"/>
    <x v="1"/>
    <x v="3"/>
    <x v="21"/>
    <x v="5"/>
    <d v="2024-04-21T00:00:00"/>
    <x v="9"/>
    <n v="2633.05"/>
    <n v="15"/>
    <x v="4"/>
    <n v="3949.57"/>
    <x v="3708"/>
    <n v="22380.93"/>
    <x v="1"/>
    <n v="2024"/>
  </r>
  <r>
    <s v="TXN03711"/>
    <x v="0"/>
    <x v="0"/>
    <x v="3"/>
    <x v="2"/>
    <d v="2025-09-15T00:00:00"/>
    <x v="8"/>
    <n v="17941.07"/>
    <n v="10"/>
    <x v="0"/>
    <n v="1794.11"/>
    <x v="3709"/>
    <n v="16146.96"/>
    <x v="7"/>
    <n v="2025"/>
  </r>
  <r>
    <s v="TXN03712"/>
    <x v="12"/>
    <x v="2"/>
    <x v="10"/>
    <x v="2"/>
    <d v="2025-10-22T00:00:00"/>
    <x v="8"/>
    <n v="2632.76"/>
    <n v="5"/>
    <x v="6"/>
    <n v="131.63999999999999"/>
    <x v="3710"/>
    <n v="2501.12"/>
    <x v="4"/>
    <n v="2025"/>
  </r>
  <r>
    <s v="TXN03713"/>
    <x v="0"/>
    <x v="3"/>
    <x v="15"/>
    <x v="6"/>
    <d v="2025-11-30T00:00:00"/>
    <x v="8"/>
    <n v="819.14"/>
    <n v="0"/>
    <x v="6"/>
    <n v="0"/>
    <x v="3711"/>
    <n v="819.14"/>
    <x v="8"/>
    <n v="2025"/>
  </r>
  <r>
    <s v="TXN03714"/>
    <x v="12"/>
    <x v="3"/>
    <x v="21"/>
    <x v="1"/>
    <d v="2025-02-10T00:00:00"/>
    <x v="6"/>
    <n v="2338.88"/>
    <n v="15"/>
    <x v="0"/>
    <n v="3157.49"/>
    <x v="3712"/>
    <n v="17892.43"/>
    <x v="2"/>
    <n v="2025"/>
  </r>
  <r>
    <s v="TXN03715"/>
    <x v="11"/>
    <x v="4"/>
    <x v="17"/>
    <x v="0"/>
    <d v="2024-04-30T00:00:00"/>
    <x v="3"/>
    <n v="3956.99"/>
    <n v="0"/>
    <x v="3"/>
    <n v="0"/>
    <x v="3713"/>
    <n v="23741.94"/>
    <x v="1"/>
    <n v="2024"/>
  </r>
  <r>
    <s v="TXN03716"/>
    <x v="8"/>
    <x v="2"/>
    <x v="5"/>
    <x v="5"/>
    <d v="2024-12-15T00:00:00"/>
    <x v="0"/>
    <n v="1320.5"/>
    <n v="0"/>
    <x v="3"/>
    <n v="0"/>
    <x v="3714"/>
    <n v="3961.5"/>
    <x v="3"/>
    <n v="2024"/>
  </r>
  <r>
    <s v="TXN03717"/>
    <x v="6"/>
    <x v="1"/>
    <x v="13"/>
    <x v="5"/>
    <d v="2025-07-17T00:00:00"/>
    <x v="6"/>
    <n v="12166.49"/>
    <n v="10"/>
    <x v="1"/>
    <n v="10949.84"/>
    <x v="3715"/>
    <n v="98548.57"/>
    <x v="11"/>
    <n v="2025"/>
  </r>
  <r>
    <s v="TXN03718"/>
    <x v="7"/>
    <x v="2"/>
    <x v="10"/>
    <x v="3"/>
    <d v="2024-07-22T00:00:00"/>
    <x v="3"/>
    <n v="2590.77"/>
    <n v="20"/>
    <x v="0"/>
    <n v="3108.92"/>
    <x v="3716"/>
    <n v="12435.7"/>
    <x v="11"/>
    <n v="2024"/>
  </r>
  <r>
    <s v="TXN03719"/>
    <x v="8"/>
    <x v="3"/>
    <x v="7"/>
    <x v="3"/>
    <d v="2024-01-05T00:00:00"/>
    <x v="4"/>
    <n v="1782.94"/>
    <n v="5"/>
    <x v="7"/>
    <n v="624.03"/>
    <x v="3717"/>
    <n v="11856.55"/>
    <x v="10"/>
    <n v="2024"/>
  </r>
  <r>
    <s v="TXN03720"/>
    <x v="11"/>
    <x v="3"/>
    <x v="15"/>
    <x v="0"/>
    <d v="2024-09-16T00:00:00"/>
    <x v="4"/>
    <n v="834.78"/>
    <n v="10"/>
    <x v="5"/>
    <n v="584.35"/>
    <x v="3718"/>
    <n v="5259.11"/>
    <x v="7"/>
    <n v="2024"/>
  </r>
  <r>
    <s v="TXN03721"/>
    <x v="14"/>
    <x v="0"/>
    <x v="0"/>
    <x v="4"/>
    <d v="2024-11-07T00:00:00"/>
    <x v="8"/>
    <n v="80568.81"/>
    <n v="0"/>
    <x v="7"/>
    <n v="0"/>
    <x v="3719"/>
    <n v="80568.81"/>
    <x v="8"/>
    <n v="2024"/>
  </r>
  <r>
    <s v="TXN03722"/>
    <x v="2"/>
    <x v="1"/>
    <x v="8"/>
    <x v="4"/>
    <d v="2025-08-08T00:00:00"/>
    <x v="3"/>
    <n v="39676.43"/>
    <n v="20"/>
    <x v="7"/>
    <n v="47611.72"/>
    <x v="3720"/>
    <n v="190446.86"/>
    <x v="0"/>
    <n v="2025"/>
  </r>
  <r>
    <s v="TXN03723"/>
    <x v="12"/>
    <x v="4"/>
    <x v="14"/>
    <x v="1"/>
    <d v="2024-12-13T00:00:00"/>
    <x v="9"/>
    <n v="1672.19"/>
    <n v="15"/>
    <x v="0"/>
    <n v="2508.29"/>
    <x v="3721"/>
    <n v="14213.61"/>
    <x v="3"/>
    <n v="2024"/>
  </r>
  <r>
    <s v="TXN03724"/>
    <x v="4"/>
    <x v="4"/>
    <x v="17"/>
    <x v="5"/>
    <d v="2024-07-15T00:00:00"/>
    <x v="8"/>
    <n v="3452.22"/>
    <n v="20"/>
    <x v="1"/>
    <n v="690.44"/>
    <x v="3722"/>
    <n v="2761.78"/>
    <x v="11"/>
    <n v="2024"/>
  </r>
  <r>
    <s v="TXN03725"/>
    <x v="14"/>
    <x v="4"/>
    <x v="17"/>
    <x v="6"/>
    <d v="2024-03-16T00:00:00"/>
    <x v="0"/>
    <n v="3371.94"/>
    <n v="15"/>
    <x v="4"/>
    <n v="1517.37"/>
    <x v="3723"/>
    <n v="8598.4500000000007"/>
    <x v="6"/>
    <n v="2024"/>
  </r>
  <r>
    <s v="TXN03726"/>
    <x v="6"/>
    <x v="0"/>
    <x v="3"/>
    <x v="5"/>
    <d v="2025-07-07T00:00:00"/>
    <x v="1"/>
    <n v="19623.45"/>
    <n v="20"/>
    <x v="4"/>
    <n v="15698.76"/>
    <x v="3724"/>
    <n v="62795.040000000001"/>
    <x v="11"/>
    <n v="2025"/>
  </r>
  <r>
    <s v="TXN03727"/>
    <x v="2"/>
    <x v="2"/>
    <x v="22"/>
    <x v="4"/>
    <d v="2025-01-29T00:00:00"/>
    <x v="6"/>
    <n v="868.25"/>
    <n v="20"/>
    <x v="6"/>
    <n v="1562.85"/>
    <x v="3725"/>
    <n v="6251.4"/>
    <x v="10"/>
    <n v="2025"/>
  </r>
  <r>
    <s v="TXN03728"/>
    <x v="11"/>
    <x v="4"/>
    <x v="23"/>
    <x v="5"/>
    <d v="2024-03-03T00:00:00"/>
    <x v="8"/>
    <n v="9969.43"/>
    <n v="5"/>
    <x v="2"/>
    <n v="498.47"/>
    <x v="3726"/>
    <n v="9470.9599999999991"/>
    <x v="6"/>
    <n v="2024"/>
  </r>
  <r>
    <s v="TXN03729"/>
    <x v="8"/>
    <x v="3"/>
    <x v="20"/>
    <x v="3"/>
    <d v="2025-11-23T00:00:00"/>
    <x v="1"/>
    <n v="4276.16"/>
    <n v="15"/>
    <x v="6"/>
    <n v="2565.6999999999998"/>
    <x v="3727"/>
    <n v="14538.94"/>
    <x v="8"/>
    <n v="2025"/>
  </r>
  <r>
    <s v="TXN03730"/>
    <x v="2"/>
    <x v="1"/>
    <x v="12"/>
    <x v="4"/>
    <d v="2024-09-27T00:00:00"/>
    <x v="9"/>
    <n v="6586.87"/>
    <n v="15"/>
    <x v="3"/>
    <n v="9880.2999999999993"/>
    <x v="3728"/>
    <n v="55988.4"/>
    <x v="7"/>
    <n v="2024"/>
  </r>
  <r>
    <s v="TXN03731"/>
    <x v="14"/>
    <x v="3"/>
    <x v="16"/>
    <x v="0"/>
    <d v="2024-04-29T00:00:00"/>
    <x v="8"/>
    <n v="1463.32"/>
    <n v="10"/>
    <x v="5"/>
    <n v="146.33000000000001"/>
    <x v="3729"/>
    <n v="1316.99"/>
    <x v="1"/>
    <n v="2024"/>
  </r>
  <r>
    <s v="TXN03732"/>
    <x v="12"/>
    <x v="2"/>
    <x v="10"/>
    <x v="0"/>
    <d v="2024-08-10T00:00:00"/>
    <x v="5"/>
    <n v="2588.38"/>
    <n v="10"/>
    <x v="6"/>
    <n v="517.67999999999995"/>
    <x v="3730"/>
    <n v="4659.08"/>
    <x v="0"/>
    <n v="2024"/>
  </r>
  <r>
    <s v="TXN03733"/>
    <x v="4"/>
    <x v="4"/>
    <x v="17"/>
    <x v="0"/>
    <d v="2024-06-15T00:00:00"/>
    <x v="2"/>
    <n v="3195.03"/>
    <n v="20"/>
    <x v="4"/>
    <n v="5112.05"/>
    <x v="3731"/>
    <n v="20448.189999999999"/>
    <x v="5"/>
    <n v="2024"/>
  </r>
  <r>
    <s v="TXN03734"/>
    <x v="4"/>
    <x v="2"/>
    <x v="22"/>
    <x v="6"/>
    <d v="2025-05-03T00:00:00"/>
    <x v="4"/>
    <n v="997.19"/>
    <n v="0"/>
    <x v="4"/>
    <n v="0"/>
    <x v="3732"/>
    <n v="6980.33"/>
    <x v="9"/>
    <n v="2025"/>
  </r>
  <r>
    <s v="TXN03735"/>
    <x v="11"/>
    <x v="0"/>
    <x v="0"/>
    <x v="6"/>
    <d v="2025-02-05T00:00:00"/>
    <x v="7"/>
    <n v="72818.080000000002"/>
    <n v="10"/>
    <x v="6"/>
    <n v="36409.040000000001"/>
    <x v="3733"/>
    <n v="327681.36"/>
    <x v="2"/>
    <n v="2025"/>
  </r>
  <r>
    <s v="TXN03736"/>
    <x v="1"/>
    <x v="3"/>
    <x v="20"/>
    <x v="0"/>
    <d v="2024-06-02T00:00:00"/>
    <x v="6"/>
    <n v="3644.62"/>
    <n v="15"/>
    <x v="6"/>
    <n v="4920.24"/>
    <x v="3734"/>
    <n v="27881.34"/>
    <x v="5"/>
    <n v="2024"/>
  </r>
  <r>
    <s v="TXN03737"/>
    <x v="1"/>
    <x v="1"/>
    <x v="13"/>
    <x v="2"/>
    <d v="2024-10-30T00:00:00"/>
    <x v="6"/>
    <n v="12994.92"/>
    <n v="0"/>
    <x v="0"/>
    <n v="0"/>
    <x v="3735"/>
    <n v="116954.28"/>
    <x v="4"/>
    <n v="2024"/>
  </r>
  <r>
    <s v="TXN03738"/>
    <x v="13"/>
    <x v="1"/>
    <x v="8"/>
    <x v="6"/>
    <d v="2025-12-02T00:00:00"/>
    <x v="4"/>
    <n v="45412.67"/>
    <n v="10"/>
    <x v="4"/>
    <n v="31788.87"/>
    <x v="3736"/>
    <n v="286099.82"/>
    <x v="3"/>
    <n v="2025"/>
  </r>
  <r>
    <s v="TXN03739"/>
    <x v="4"/>
    <x v="4"/>
    <x v="17"/>
    <x v="5"/>
    <d v="2025-08-27T00:00:00"/>
    <x v="9"/>
    <n v="3309.25"/>
    <n v="15"/>
    <x v="2"/>
    <n v="4963.88"/>
    <x v="3737"/>
    <n v="28128.62"/>
    <x v="0"/>
    <n v="2025"/>
  </r>
  <r>
    <s v="TXN03740"/>
    <x v="9"/>
    <x v="0"/>
    <x v="6"/>
    <x v="4"/>
    <d v="2025-07-15T00:00:00"/>
    <x v="2"/>
    <n v="22711.06"/>
    <n v="15"/>
    <x v="2"/>
    <n v="27253.27"/>
    <x v="3738"/>
    <n v="154435.21"/>
    <x v="11"/>
    <n v="2025"/>
  </r>
  <r>
    <s v="TXN03741"/>
    <x v="11"/>
    <x v="4"/>
    <x v="23"/>
    <x v="6"/>
    <d v="2025-04-24T00:00:00"/>
    <x v="8"/>
    <n v="10892.17"/>
    <n v="5"/>
    <x v="5"/>
    <n v="544.61"/>
    <x v="3739"/>
    <n v="10347.56"/>
    <x v="1"/>
    <n v="2025"/>
  </r>
  <r>
    <s v="TXN03742"/>
    <x v="14"/>
    <x v="2"/>
    <x v="11"/>
    <x v="3"/>
    <d v="2024-05-27T00:00:00"/>
    <x v="4"/>
    <n v="4778.53"/>
    <n v="15"/>
    <x v="2"/>
    <n v="5017.46"/>
    <x v="3740"/>
    <n v="28432.25"/>
    <x v="9"/>
    <n v="2024"/>
  </r>
  <r>
    <s v="TXN03743"/>
    <x v="14"/>
    <x v="2"/>
    <x v="5"/>
    <x v="2"/>
    <d v="2024-03-12T00:00:00"/>
    <x v="5"/>
    <n v="1096.55"/>
    <n v="15"/>
    <x v="6"/>
    <n v="328.96"/>
    <x v="3741"/>
    <n v="1864.14"/>
    <x v="6"/>
    <n v="2024"/>
  </r>
  <r>
    <s v="TXN03744"/>
    <x v="6"/>
    <x v="1"/>
    <x v="4"/>
    <x v="4"/>
    <d v="2024-06-25T00:00:00"/>
    <x v="0"/>
    <n v="8521.3799999999992"/>
    <n v="0"/>
    <x v="2"/>
    <n v="0"/>
    <x v="3742"/>
    <n v="25564.14"/>
    <x v="5"/>
    <n v="2024"/>
  </r>
  <r>
    <s v="TXN03745"/>
    <x v="14"/>
    <x v="4"/>
    <x v="14"/>
    <x v="2"/>
    <d v="2024-10-21T00:00:00"/>
    <x v="1"/>
    <n v="1552.63"/>
    <n v="5"/>
    <x v="3"/>
    <n v="310.52999999999997"/>
    <x v="3743"/>
    <n v="5899.99"/>
    <x v="4"/>
    <n v="2024"/>
  </r>
  <r>
    <s v="TXN03746"/>
    <x v="10"/>
    <x v="1"/>
    <x v="12"/>
    <x v="4"/>
    <d v="2025-09-23T00:00:00"/>
    <x v="9"/>
    <n v="6793.61"/>
    <n v="10"/>
    <x v="0"/>
    <n v="6793.61"/>
    <x v="3744"/>
    <n v="61142.49"/>
    <x v="7"/>
    <n v="2025"/>
  </r>
  <r>
    <s v="TXN03747"/>
    <x v="13"/>
    <x v="3"/>
    <x v="16"/>
    <x v="3"/>
    <d v="2025-12-26T00:00:00"/>
    <x v="8"/>
    <n v="1829.24"/>
    <n v="15"/>
    <x v="2"/>
    <n v="274.39"/>
    <x v="3745"/>
    <n v="1554.85"/>
    <x v="3"/>
    <n v="2025"/>
  </r>
  <r>
    <s v="TXN03748"/>
    <x v="0"/>
    <x v="2"/>
    <x v="22"/>
    <x v="4"/>
    <d v="2025-02-12T00:00:00"/>
    <x v="9"/>
    <n v="887.35"/>
    <n v="5"/>
    <x v="1"/>
    <n v="443.68"/>
    <x v="3746"/>
    <n v="8429.82"/>
    <x v="2"/>
    <n v="2025"/>
  </r>
  <r>
    <s v="TXN03749"/>
    <x v="11"/>
    <x v="1"/>
    <x v="4"/>
    <x v="6"/>
    <d v="2024-11-26T00:00:00"/>
    <x v="0"/>
    <n v="9237.33"/>
    <n v="0"/>
    <x v="2"/>
    <n v="0"/>
    <x v="3747"/>
    <n v="27711.99"/>
    <x v="8"/>
    <n v="2024"/>
  </r>
  <r>
    <s v="TXN03750"/>
    <x v="3"/>
    <x v="1"/>
    <x v="8"/>
    <x v="4"/>
    <d v="2024-02-19T00:00:00"/>
    <x v="8"/>
    <n v="43854.7"/>
    <n v="10"/>
    <x v="6"/>
    <n v="4385.47"/>
    <x v="3748"/>
    <n v="39469.230000000003"/>
    <x v="2"/>
    <n v="2024"/>
  </r>
  <r>
    <s v="TXN03751"/>
    <x v="14"/>
    <x v="3"/>
    <x v="21"/>
    <x v="3"/>
    <d v="2024-10-21T00:00:00"/>
    <x v="6"/>
    <n v="2804.23"/>
    <n v="10"/>
    <x v="5"/>
    <n v="2523.81"/>
    <x v="3749"/>
    <n v="22714.26"/>
    <x v="4"/>
    <n v="2024"/>
  </r>
  <r>
    <s v="TXN03752"/>
    <x v="6"/>
    <x v="1"/>
    <x v="12"/>
    <x v="6"/>
    <d v="2024-09-19T00:00:00"/>
    <x v="0"/>
    <n v="5943.16"/>
    <n v="10"/>
    <x v="1"/>
    <n v="1782.95"/>
    <x v="3750"/>
    <n v="16046.53"/>
    <x v="7"/>
    <n v="2024"/>
  </r>
  <r>
    <s v="TXN03753"/>
    <x v="10"/>
    <x v="1"/>
    <x v="8"/>
    <x v="1"/>
    <d v="2024-09-10T00:00:00"/>
    <x v="2"/>
    <n v="40101.97"/>
    <n v="10"/>
    <x v="5"/>
    <n v="32081.58"/>
    <x v="3751"/>
    <n v="288734.18"/>
    <x v="7"/>
    <n v="2024"/>
  </r>
  <r>
    <s v="TXN03754"/>
    <x v="3"/>
    <x v="1"/>
    <x v="4"/>
    <x v="3"/>
    <d v="2025-05-06T00:00:00"/>
    <x v="6"/>
    <n v="8919.2800000000007"/>
    <n v="15"/>
    <x v="1"/>
    <n v="12041.03"/>
    <x v="3752"/>
    <n v="68232.490000000005"/>
    <x v="9"/>
    <n v="2025"/>
  </r>
  <r>
    <s v="TXN03755"/>
    <x v="8"/>
    <x v="2"/>
    <x v="11"/>
    <x v="5"/>
    <d v="2024-01-29T00:00:00"/>
    <x v="0"/>
    <n v="4552.55"/>
    <n v="20"/>
    <x v="2"/>
    <n v="2731.53"/>
    <x v="3753"/>
    <n v="10926.12"/>
    <x v="10"/>
    <n v="2024"/>
  </r>
  <r>
    <s v="TXN03756"/>
    <x v="6"/>
    <x v="1"/>
    <x v="13"/>
    <x v="4"/>
    <d v="2025-05-07T00:00:00"/>
    <x v="8"/>
    <n v="13505.89"/>
    <n v="0"/>
    <x v="7"/>
    <n v="0"/>
    <x v="3754"/>
    <n v="13505.89"/>
    <x v="9"/>
    <n v="2025"/>
  </r>
  <r>
    <s v="TXN03757"/>
    <x v="9"/>
    <x v="2"/>
    <x v="22"/>
    <x v="5"/>
    <d v="2024-08-01T00:00:00"/>
    <x v="9"/>
    <n v="984.53"/>
    <n v="5"/>
    <x v="2"/>
    <n v="492.26"/>
    <x v="3755"/>
    <n v="9353.0400000000009"/>
    <x v="0"/>
    <n v="2024"/>
  </r>
  <r>
    <s v="TXN03758"/>
    <x v="12"/>
    <x v="2"/>
    <x v="9"/>
    <x v="6"/>
    <d v="2024-06-12T00:00:00"/>
    <x v="6"/>
    <n v="4609.2"/>
    <n v="0"/>
    <x v="6"/>
    <n v="0"/>
    <x v="3756"/>
    <n v="41482.800000000003"/>
    <x v="5"/>
    <n v="2024"/>
  </r>
  <r>
    <s v="TXN03759"/>
    <x v="10"/>
    <x v="3"/>
    <x v="7"/>
    <x v="0"/>
    <d v="2025-02-22T00:00:00"/>
    <x v="0"/>
    <n v="1879.32"/>
    <n v="0"/>
    <x v="5"/>
    <n v="0"/>
    <x v="3757"/>
    <n v="5637.96"/>
    <x v="2"/>
    <n v="2025"/>
  </r>
  <r>
    <s v="TXN03760"/>
    <x v="1"/>
    <x v="4"/>
    <x v="14"/>
    <x v="0"/>
    <d v="2024-04-27T00:00:00"/>
    <x v="4"/>
    <n v="1353.13"/>
    <n v="5"/>
    <x v="4"/>
    <n v="473.6"/>
    <x v="3758"/>
    <n v="8998.31"/>
    <x v="1"/>
    <n v="2024"/>
  </r>
  <r>
    <s v="TXN03761"/>
    <x v="9"/>
    <x v="1"/>
    <x v="8"/>
    <x v="6"/>
    <d v="2025-04-27T00:00:00"/>
    <x v="8"/>
    <n v="36193.86"/>
    <n v="0"/>
    <x v="1"/>
    <n v="0"/>
    <x v="3759"/>
    <n v="36193.86"/>
    <x v="1"/>
    <n v="2025"/>
  </r>
  <r>
    <s v="TXN03762"/>
    <x v="9"/>
    <x v="0"/>
    <x v="6"/>
    <x v="5"/>
    <d v="2024-12-12T00:00:00"/>
    <x v="5"/>
    <n v="25781.68"/>
    <n v="0"/>
    <x v="4"/>
    <n v="0"/>
    <x v="3760"/>
    <n v="51563.360000000001"/>
    <x v="3"/>
    <n v="2024"/>
  </r>
  <r>
    <s v="TXN03763"/>
    <x v="0"/>
    <x v="1"/>
    <x v="13"/>
    <x v="2"/>
    <d v="2024-03-25T00:00:00"/>
    <x v="2"/>
    <n v="11882.56"/>
    <n v="10"/>
    <x v="1"/>
    <n v="9506.0499999999993"/>
    <x v="3761"/>
    <n v="85554.43"/>
    <x v="6"/>
    <n v="2024"/>
  </r>
  <r>
    <s v="TXN03764"/>
    <x v="1"/>
    <x v="3"/>
    <x v="15"/>
    <x v="0"/>
    <d v="2025-09-26T00:00:00"/>
    <x v="0"/>
    <n v="851.71"/>
    <n v="0"/>
    <x v="6"/>
    <n v="0"/>
    <x v="3762"/>
    <n v="2555.13"/>
    <x v="7"/>
    <n v="2025"/>
  </r>
  <r>
    <s v="TXN03765"/>
    <x v="1"/>
    <x v="0"/>
    <x v="3"/>
    <x v="5"/>
    <d v="2025-04-22T00:00:00"/>
    <x v="3"/>
    <n v="19126.05"/>
    <n v="0"/>
    <x v="3"/>
    <n v="0"/>
    <x v="3763"/>
    <n v="114756.3"/>
    <x v="1"/>
    <n v="2025"/>
  </r>
  <r>
    <s v="TXN03766"/>
    <x v="7"/>
    <x v="0"/>
    <x v="3"/>
    <x v="5"/>
    <d v="2024-09-15T00:00:00"/>
    <x v="7"/>
    <n v="16968.650000000001"/>
    <n v="0"/>
    <x v="6"/>
    <n v="0"/>
    <x v="3764"/>
    <n v="84843.25"/>
    <x v="7"/>
    <n v="2024"/>
  </r>
  <r>
    <s v="TXN03767"/>
    <x v="13"/>
    <x v="1"/>
    <x v="2"/>
    <x v="5"/>
    <d v="2024-10-26T00:00:00"/>
    <x v="6"/>
    <n v="31157.53"/>
    <n v="5"/>
    <x v="5"/>
    <n v="14020.89"/>
    <x v="3765"/>
    <n v="266396.88"/>
    <x v="4"/>
    <n v="2024"/>
  </r>
  <r>
    <s v="TXN03768"/>
    <x v="12"/>
    <x v="1"/>
    <x v="12"/>
    <x v="0"/>
    <d v="2024-05-25T00:00:00"/>
    <x v="1"/>
    <n v="6433.19"/>
    <n v="5"/>
    <x v="6"/>
    <n v="1286.6400000000001"/>
    <x v="3766"/>
    <n v="24446.12"/>
    <x v="9"/>
    <n v="2024"/>
  </r>
  <r>
    <s v="TXN03769"/>
    <x v="0"/>
    <x v="4"/>
    <x v="14"/>
    <x v="2"/>
    <d v="2025-03-12T00:00:00"/>
    <x v="8"/>
    <n v="1648.36"/>
    <n v="10"/>
    <x v="1"/>
    <n v="164.84"/>
    <x v="3767"/>
    <n v="1483.52"/>
    <x v="6"/>
    <n v="2025"/>
  </r>
  <r>
    <s v="TXN03770"/>
    <x v="12"/>
    <x v="3"/>
    <x v="16"/>
    <x v="4"/>
    <d v="2024-05-17T00:00:00"/>
    <x v="4"/>
    <n v="1532.03"/>
    <n v="10"/>
    <x v="0"/>
    <n v="1072.42"/>
    <x v="3768"/>
    <n v="9651.7900000000009"/>
    <x v="9"/>
    <n v="2024"/>
  </r>
  <r>
    <s v="TXN03771"/>
    <x v="9"/>
    <x v="2"/>
    <x v="22"/>
    <x v="2"/>
    <d v="2025-09-27T00:00:00"/>
    <x v="2"/>
    <n v="811.57"/>
    <n v="10"/>
    <x v="7"/>
    <n v="649.26"/>
    <x v="3769"/>
    <n v="5843.3"/>
    <x v="7"/>
    <n v="2025"/>
  </r>
  <r>
    <s v="TXN03772"/>
    <x v="12"/>
    <x v="0"/>
    <x v="0"/>
    <x v="5"/>
    <d v="2025-09-15T00:00:00"/>
    <x v="2"/>
    <n v="69376.28"/>
    <n v="0"/>
    <x v="6"/>
    <n v="0"/>
    <x v="3770"/>
    <n v="555010.24"/>
    <x v="7"/>
    <n v="2025"/>
  </r>
  <r>
    <s v="TXN03773"/>
    <x v="3"/>
    <x v="2"/>
    <x v="5"/>
    <x v="1"/>
    <d v="2024-02-17T00:00:00"/>
    <x v="5"/>
    <n v="1334.52"/>
    <n v="5"/>
    <x v="3"/>
    <n v="133.44999999999999"/>
    <x v="3771"/>
    <n v="2535.59"/>
    <x v="2"/>
    <n v="2024"/>
  </r>
  <r>
    <s v="TXN03774"/>
    <x v="7"/>
    <x v="2"/>
    <x v="22"/>
    <x v="4"/>
    <d v="2025-12-22T00:00:00"/>
    <x v="0"/>
    <n v="1130.96"/>
    <n v="15"/>
    <x v="0"/>
    <n v="508.93"/>
    <x v="3772"/>
    <n v="2883.95"/>
    <x v="3"/>
    <n v="2025"/>
  </r>
  <r>
    <s v="TXN03775"/>
    <x v="12"/>
    <x v="0"/>
    <x v="3"/>
    <x v="2"/>
    <d v="2025-05-03T00:00:00"/>
    <x v="9"/>
    <n v="17732.099999999999"/>
    <n v="5"/>
    <x v="0"/>
    <n v="8866.0499999999993"/>
    <x v="3773"/>
    <n v="168454.95"/>
    <x v="9"/>
    <n v="2025"/>
  </r>
  <r>
    <s v="TXN03776"/>
    <x v="3"/>
    <x v="2"/>
    <x v="10"/>
    <x v="6"/>
    <d v="2024-11-26T00:00:00"/>
    <x v="5"/>
    <n v="2528.16"/>
    <n v="5"/>
    <x v="5"/>
    <n v="252.82"/>
    <x v="3774"/>
    <n v="4803.5"/>
    <x v="8"/>
    <n v="2024"/>
  </r>
  <r>
    <s v="TXN03777"/>
    <x v="6"/>
    <x v="2"/>
    <x v="9"/>
    <x v="0"/>
    <d v="2024-01-20T00:00:00"/>
    <x v="2"/>
    <n v="4426.03"/>
    <n v="15"/>
    <x v="3"/>
    <n v="5311.24"/>
    <x v="3775"/>
    <n v="30097"/>
    <x v="10"/>
    <n v="2024"/>
  </r>
  <r>
    <s v="TXN03778"/>
    <x v="10"/>
    <x v="3"/>
    <x v="15"/>
    <x v="0"/>
    <d v="2024-11-02T00:00:00"/>
    <x v="6"/>
    <n v="970.35"/>
    <n v="5"/>
    <x v="3"/>
    <n v="436.66"/>
    <x v="3776"/>
    <n v="8296.49"/>
    <x v="8"/>
    <n v="2024"/>
  </r>
  <r>
    <s v="TXN03779"/>
    <x v="7"/>
    <x v="2"/>
    <x v="9"/>
    <x v="5"/>
    <d v="2024-12-20T00:00:00"/>
    <x v="9"/>
    <n v="4553.66"/>
    <n v="20"/>
    <x v="3"/>
    <n v="9107.32"/>
    <x v="3777"/>
    <n v="36429.279999999999"/>
    <x v="3"/>
    <n v="2024"/>
  </r>
  <r>
    <s v="TXN03780"/>
    <x v="7"/>
    <x v="1"/>
    <x v="12"/>
    <x v="0"/>
    <d v="2025-04-05T00:00:00"/>
    <x v="1"/>
    <n v="6539.59"/>
    <n v="15"/>
    <x v="6"/>
    <n v="3923.75"/>
    <x v="3778"/>
    <n v="22234.61"/>
    <x v="1"/>
    <n v="2025"/>
  </r>
  <r>
    <s v="TXN03781"/>
    <x v="7"/>
    <x v="4"/>
    <x v="23"/>
    <x v="3"/>
    <d v="2024-10-31T00:00:00"/>
    <x v="1"/>
    <n v="11647.23"/>
    <n v="5"/>
    <x v="4"/>
    <n v="2329.4499999999998"/>
    <x v="3779"/>
    <n v="44259.47"/>
    <x v="4"/>
    <n v="2024"/>
  </r>
  <r>
    <s v="TXN03782"/>
    <x v="12"/>
    <x v="3"/>
    <x v="20"/>
    <x v="5"/>
    <d v="2024-06-17T00:00:00"/>
    <x v="9"/>
    <n v="4002.68"/>
    <n v="15"/>
    <x v="6"/>
    <n v="6004.02"/>
    <x v="3780"/>
    <n v="34022.78"/>
    <x v="5"/>
    <n v="2024"/>
  </r>
  <r>
    <s v="TXN03783"/>
    <x v="6"/>
    <x v="3"/>
    <x v="16"/>
    <x v="0"/>
    <d v="2025-12-29T00:00:00"/>
    <x v="7"/>
    <n v="1576.91"/>
    <n v="20"/>
    <x v="2"/>
    <n v="1576.91"/>
    <x v="3781"/>
    <n v="6307.64"/>
    <x v="3"/>
    <n v="2025"/>
  </r>
  <r>
    <s v="TXN03784"/>
    <x v="12"/>
    <x v="0"/>
    <x v="6"/>
    <x v="6"/>
    <d v="2024-08-19T00:00:00"/>
    <x v="7"/>
    <n v="28300.6"/>
    <n v="0"/>
    <x v="1"/>
    <n v="0"/>
    <x v="3782"/>
    <n v="141503"/>
    <x v="0"/>
    <n v="2024"/>
  </r>
  <r>
    <s v="TXN03785"/>
    <x v="5"/>
    <x v="3"/>
    <x v="7"/>
    <x v="5"/>
    <d v="2024-02-21T00:00:00"/>
    <x v="8"/>
    <n v="1944.45"/>
    <n v="20"/>
    <x v="2"/>
    <n v="388.89"/>
    <x v="3783"/>
    <n v="1555.56"/>
    <x v="2"/>
    <n v="2024"/>
  </r>
  <r>
    <s v="TXN03786"/>
    <x v="12"/>
    <x v="3"/>
    <x v="15"/>
    <x v="1"/>
    <d v="2025-12-16T00:00:00"/>
    <x v="3"/>
    <n v="898.24"/>
    <n v="15"/>
    <x v="2"/>
    <n v="808.42"/>
    <x v="3784"/>
    <n v="4581.0200000000004"/>
    <x v="3"/>
    <n v="2025"/>
  </r>
  <r>
    <s v="TXN03787"/>
    <x v="5"/>
    <x v="4"/>
    <x v="18"/>
    <x v="4"/>
    <d v="2025-01-26T00:00:00"/>
    <x v="0"/>
    <n v="11177.67"/>
    <n v="10"/>
    <x v="2"/>
    <n v="3353.3"/>
    <x v="3785"/>
    <n v="30179.71"/>
    <x v="10"/>
    <n v="2025"/>
  </r>
  <r>
    <s v="TXN03788"/>
    <x v="14"/>
    <x v="2"/>
    <x v="5"/>
    <x v="1"/>
    <d v="2025-02-26T00:00:00"/>
    <x v="9"/>
    <n v="1149.28"/>
    <n v="20"/>
    <x v="0"/>
    <n v="2298.56"/>
    <x v="3786"/>
    <n v="9194.24"/>
    <x v="2"/>
    <n v="2025"/>
  </r>
  <r>
    <s v="TXN03789"/>
    <x v="14"/>
    <x v="0"/>
    <x v="3"/>
    <x v="3"/>
    <d v="2024-04-12T00:00:00"/>
    <x v="3"/>
    <n v="16867.39"/>
    <n v="5"/>
    <x v="1"/>
    <n v="5060.22"/>
    <x v="3787"/>
    <n v="96144.12"/>
    <x v="1"/>
    <n v="2024"/>
  </r>
  <r>
    <s v="TXN03790"/>
    <x v="10"/>
    <x v="0"/>
    <x v="0"/>
    <x v="5"/>
    <d v="2024-07-05T00:00:00"/>
    <x v="4"/>
    <n v="63549.51"/>
    <n v="0"/>
    <x v="3"/>
    <n v="0"/>
    <x v="3788"/>
    <n v="444846.57"/>
    <x v="11"/>
    <n v="2024"/>
  </r>
  <r>
    <s v="TXN03791"/>
    <x v="4"/>
    <x v="3"/>
    <x v="16"/>
    <x v="0"/>
    <d v="2025-08-08T00:00:00"/>
    <x v="8"/>
    <n v="1679.55"/>
    <n v="0"/>
    <x v="2"/>
    <n v="0"/>
    <x v="3789"/>
    <n v="1679.55"/>
    <x v="0"/>
    <n v="2025"/>
  </r>
  <r>
    <s v="TXN03792"/>
    <x v="7"/>
    <x v="2"/>
    <x v="22"/>
    <x v="6"/>
    <d v="2024-08-10T00:00:00"/>
    <x v="3"/>
    <n v="947.43"/>
    <n v="10"/>
    <x v="0"/>
    <n v="568.46"/>
    <x v="3790"/>
    <n v="5116.12"/>
    <x v="0"/>
    <n v="2024"/>
  </r>
  <r>
    <s v="TXN03793"/>
    <x v="7"/>
    <x v="4"/>
    <x v="19"/>
    <x v="4"/>
    <d v="2025-10-24T00:00:00"/>
    <x v="3"/>
    <n v="9276.2000000000007"/>
    <n v="15"/>
    <x v="0"/>
    <n v="8348.58"/>
    <x v="3791"/>
    <n v="47308.62"/>
    <x v="4"/>
    <n v="2025"/>
  </r>
  <r>
    <s v="TXN03794"/>
    <x v="10"/>
    <x v="4"/>
    <x v="23"/>
    <x v="1"/>
    <d v="2024-09-12T00:00:00"/>
    <x v="9"/>
    <n v="9049.7000000000007"/>
    <n v="5"/>
    <x v="5"/>
    <n v="4524.8500000000004"/>
    <x v="3792"/>
    <n v="85972.15"/>
    <x v="7"/>
    <n v="2024"/>
  </r>
  <r>
    <s v="TXN03795"/>
    <x v="10"/>
    <x v="1"/>
    <x v="2"/>
    <x v="4"/>
    <d v="2025-04-21T00:00:00"/>
    <x v="1"/>
    <n v="25016.78"/>
    <n v="0"/>
    <x v="4"/>
    <n v="0"/>
    <x v="3793"/>
    <n v="100067.12"/>
    <x v="1"/>
    <n v="2025"/>
  </r>
  <r>
    <s v="TXN03796"/>
    <x v="7"/>
    <x v="0"/>
    <x v="6"/>
    <x v="6"/>
    <d v="2025-08-11T00:00:00"/>
    <x v="8"/>
    <n v="26894.82"/>
    <n v="0"/>
    <x v="1"/>
    <n v="0"/>
    <x v="3794"/>
    <n v="26894.82"/>
    <x v="0"/>
    <n v="2025"/>
  </r>
  <r>
    <s v="TXN03797"/>
    <x v="4"/>
    <x v="4"/>
    <x v="19"/>
    <x v="5"/>
    <d v="2024-03-10T00:00:00"/>
    <x v="7"/>
    <n v="7802.21"/>
    <n v="15"/>
    <x v="2"/>
    <n v="5851.66"/>
    <x v="3795"/>
    <n v="33159.39"/>
    <x v="6"/>
    <n v="2024"/>
  </r>
  <r>
    <s v="TXN03798"/>
    <x v="2"/>
    <x v="2"/>
    <x v="9"/>
    <x v="3"/>
    <d v="2024-11-21T00:00:00"/>
    <x v="7"/>
    <n v="5270.09"/>
    <n v="0"/>
    <x v="5"/>
    <n v="0"/>
    <x v="3796"/>
    <n v="26350.45"/>
    <x v="8"/>
    <n v="2024"/>
  </r>
  <r>
    <s v="TXN03799"/>
    <x v="8"/>
    <x v="3"/>
    <x v="7"/>
    <x v="4"/>
    <d v="2025-02-14T00:00:00"/>
    <x v="9"/>
    <n v="1841.72"/>
    <n v="5"/>
    <x v="7"/>
    <n v="920.86"/>
    <x v="3797"/>
    <n v="17496.34"/>
    <x v="2"/>
    <n v="2025"/>
  </r>
  <r>
    <s v="TXN03800"/>
    <x v="11"/>
    <x v="0"/>
    <x v="24"/>
    <x v="0"/>
    <d v="2025-08-07T00:00:00"/>
    <x v="1"/>
    <n v="7388.45"/>
    <n v="10"/>
    <x v="4"/>
    <n v="2955.38"/>
    <x v="3798"/>
    <n v="26598.42"/>
    <x v="0"/>
    <n v="2025"/>
  </r>
  <r>
    <s v="TXN03801"/>
    <x v="1"/>
    <x v="1"/>
    <x v="8"/>
    <x v="6"/>
    <d v="2024-10-10T00:00:00"/>
    <x v="3"/>
    <n v="48990.39"/>
    <n v="20"/>
    <x v="1"/>
    <n v="58788.47"/>
    <x v="3799"/>
    <n v="235153.87"/>
    <x v="4"/>
    <n v="2024"/>
  </r>
  <r>
    <s v="TXN03802"/>
    <x v="7"/>
    <x v="1"/>
    <x v="4"/>
    <x v="6"/>
    <d v="2025-07-25T00:00:00"/>
    <x v="1"/>
    <n v="7868.75"/>
    <n v="5"/>
    <x v="6"/>
    <n v="1573.75"/>
    <x v="3800"/>
    <n v="29901.25"/>
    <x v="11"/>
    <n v="2025"/>
  </r>
  <r>
    <s v="TXN03803"/>
    <x v="6"/>
    <x v="1"/>
    <x v="8"/>
    <x v="4"/>
    <d v="2024-01-21T00:00:00"/>
    <x v="2"/>
    <n v="38324.43"/>
    <n v="10"/>
    <x v="0"/>
    <n v="30659.54"/>
    <x v="3801"/>
    <n v="275935.90000000002"/>
    <x v="10"/>
    <n v="2024"/>
  </r>
  <r>
    <s v="TXN03804"/>
    <x v="13"/>
    <x v="1"/>
    <x v="13"/>
    <x v="4"/>
    <d v="2025-03-09T00:00:00"/>
    <x v="7"/>
    <n v="11104.41"/>
    <n v="5"/>
    <x v="0"/>
    <n v="2776.1"/>
    <x v="3802"/>
    <n v="52745.95"/>
    <x v="6"/>
    <n v="2025"/>
  </r>
  <r>
    <s v="TXN03805"/>
    <x v="10"/>
    <x v="1"/>
    <x v="4"/>
    <x v="5"/>
    <d v="2024-01-23T00:00:00"/>
    <x v="9"/>
    <n v="8277.4699999999993"/>
    <n v="5"/>
    <x v="4"/>
    <n v="4138.7299999999996"/>
    <x v="3803"/>
    <n v="78635.97"/>
    <x v="10"/>
    <n v="2024"/>
  </r>
  <r>
    <s v="TXN03806"/>
    <x v="13"/>
    <x v="4"/>
    <x v="18"/>
    <x v="4"/>
    <d v="2024-12-21T00:00:00"/>
    <x v="8"/>
    <n v="12949.85"/>
    <n v="0"/>
    <x v="0"/>
    <n v="0"/>
    <x v="3804"/>
    <n v="12949.85"/>
    <x v="3"/>
    <n v="2024"/>
  </r>
  <r>
    <s v="TXN03807"/>
    <x v="7"/>
    <x v="4"/>
    <x v="17"/>
    <x v="4"/>
    <d v="2024-11-30T00:00:00"/>
    <x v="5"/>
    <n v="4253.1499999999996"/>
    <n v="15"/>
    <x v="3"/>
    <n v="1275.94"/>
    <x v="3805"/>
    <n v="7230.36"/>
    <x v="8"/>
    <n v="2024"/>
  </r>
  <r>
    <s v="TXN03808"/>
    <x v="3"/>
    <x v="0"/>
    <x v="3"/>
    <x v="0"/>
    <d v="2024-02-25T00:00:00"/>
    <x v="9"/>
    <n v="20502.099999999999"/>
    <n v="10"/>
    <x v="6"/>
    <n v="20502.099999999999"/>
    <x v="3806"/>
    <n v="184518.9"/>
    <x v="2"/>
    <n v="2024"/>
  </r>
  <r>
    <s v="TXN03809"/>
    <x v="7"/>
    <x v="0"/>
    <x v="3"/>
    <x v="4"/>
    <d v="2024-12-15T00:00:00"/>
    <x v="4"/>
    <n v="19332.46"/>
    <n v="0"/>
    <x v="4"/>
    <n v="0"/>
    <x v="3807"/>
    <n v="135327.22"/>
    <x v="3"/>
    <n v="2024"/>
  </r>
  <r>
    <s v="TXN03810"/>
    <x v="7"/>
    <x v="2"/>
    <x v="11"/>
    <x v="0"/>
    <d v="2024-03-30T00:00:00"/>
    <x v="0"/>
    <n v="4900.93"/>
    <n v="20"/>
    <x v="5"/>
    <n v="2940.56"/>
    <x v="3808"/>
    <n v="11762.23"/>
    <x v="6"/>
    <n v="2024"/>
  </r>
  <r>
    <s v="TXN03811"/>
    <x v="10"/>
    <x v="0"/>
    <x v="24"/>
    <x v="6"/>
    <d v="2025-08-23T00:00:00"/>
    <x v="5"/>
    <n v="7777.84"/>
    <n v="10"/>
    <x v="7"/>
    <n v="1555.57"/>
    <x v="3809"/>
    <n v="14000.11"/>
    <x v="0"/>
    <n v="2025"/>
  </r>
  <r>
    <s v="TXN03812"/>
    <x v="0"/>
    <x v="0"/>
    <x v="3"/>
    <x v="2"/>
    <d v="2025-12-06T00:00:00"/>
    <x v="7"/>
    <n v="20845.64"/>
    <n v="10"/>
    <x v="0"/>
    <n v="10422.82"/>
    <x v="3810"/>
    <n v="93805.38"/>
    <x v="3"/>
    <n v="2025"/>
  </r>
  <r>
    <s v="TXN03813"/>
    <x v="0"/>
    <x v="0"/>
    <x v="1"/>
    <x v="3"/>
    <d v="2024-04-22T00:00:00"/>
    <x v="3"/>
    <n v="3219"/>
    <n v="10"/>
    <x v="6"/>
    <n v="1931.4"/>
    <x v="3811"/>
    <n v="17382.599999999999"/>
    <x v="1"/>
    <n v="2024"/>
  </r>
  <r>
    <s v="TXN03814"/>
    <x v="6"/>
    <x v="3"/>
    <x v="16"/>
    <x v="5"/>
    <d v="2024-08-24T00:00:00"/>
    <x v="0"/>
    <n v="1709.55"/>
    <n v="5"/>
    <x v="2"/>
    <n v="256.43"/>
    <x v="3812"/>
    <n v="4872.22"/>
    <x v="0"/>
    <n v="2024"/>
  </r>
  <r>
    <s v="TXN03815"/>
    <x v="2"/>
    <x v="3"/>
    <x v="16"/>
    <x v="1"/>
    <d v="2024-05-03T00:00:00"/>
    <x v="4"/>
    <n v="1400.3"/>
    <n v="0"/>
    <x v="2"/>
    <n v="0"/>
    <x v="3813"/>
    <n v="9802.1"/>
    <x v="9"/>
    <n v="2024"/>
  </r>
  <r>
    <s v="TXN03816"/>
    <x v="14"/>
    <x v="2"/>
    <x v="22"/>
    <x v="2"/>
    <d v="2024-08-31T00:00:00"/>
    <x v="3"/>
    <n v="839.57"/>
    <n v="0"/>
    <x v="2"/>
    <n v="0"/>
    <x v="3814"/>
    <n v="5037.42"/>
    <x v="0"/>
    <n v="2024"/>
  </r>
  <r>
    <s v="TXN03817"/>
    <x v="6"/>
    <x v="4"/>
    <x v="23"/>
    <x v="0"/>
    <d v="2024-10-23T00:00:00"/>
    <x v="0"/>
    <n v="10050.52"/>
    <n v="20"/>
    <x v="1"/>
    <n v="6030.31"/>
    <x v="3815"/>
    <n v="24121.25"/>
    <x v="4"/>
    <n v="2024"/>
  </r>
  <r>
    <s v="TXN03818"/>
    <x v="9"/>
    <x v="2"/>
    <x v="9"/>
    <x v="3"/>
    <d v="2025-11-14T00:00:00"/>
    <x v="4"/>
    <n v="5192.1099999999997"/>
    <n v="15"/>
    <x v="5"/>
    <n v="5451.72"/>
    <x v="3816"/>
    <n v="30893.05"/>
    <x v="8"/>
    <n v="2025"/>
  </r>
  <r>
    <s v="TXN03819"/>
    <x v="2"/>
    <x v="0"/>
    <x v="3"/>
    <x v="2"/>
    <d v="2025-12-10T00:00:00"/>
    <x v="4"/>
    <n v="17938.689999999999"/>
    <n v="20"/>
    <x v="0"/>
    <n v="25114.17"/>
    <x v="3817"/>
    <n v="100456.66"/>
    <x v="3"/>
    <n v="2025"/>
  </r>
  <r>
    <s v="TXN03820"/>
    <x v="13"/>
    <x v="0"/>
    <x v="1"/>
    <x v="1"/>
    <d v="2024-03-21T00:00:00"/>
    <x v="7"/>
    <n v="3273.97"/>
    <n v="15"/>
    <x v="1"/>
    <n v="2455.48"/>
    <x v="3818"/>
    <n v="13914.37"/>
    <x v="6"/>
    <n v="2024"/>
  </r>
  <r>
    <s v="TXN03821"/>
    <x v="0"/>
    <x v="0"/>
    <x v="0"/>
    <x v="4"/>
    <d v="2025-05-12T00:00:00"/>
    <x v="6"/>
    <n v="67022.23"/>
    <n v="20"/>
    <x v="3"/>
    <n v="120640.01"/>
    <x v="3819"/>
    <n v="482560.06"/>
    <x v="9"/>
    <n v="2025"/>
  </r>
  <r>
    <s v="TXN03822"/>
    <x v="12"/>
    <x v="0"/>
    <x v="1"/>
    <x v="4"/>
    <d v="2024-10-14T00:00:00"/>
    <x v="4"/>
    <n v="3511.57"/>
    <n v="15"/>
    <x v="1"/>
    <n v="3687.15"/>
    <x v="3820"/>
    <n v="20893.84"/>
    <x v="4"/>
    <n v="2024"/>
  </r>
  <r>
    <s v="TXN03823"/>
    <x v="9"/>
    <x v="1"/>
    <x v="8"/>
    <x v="1"/>
    <d v="2025-06-04T00:00:00"/>
    <x v="2"/>
    <n v="43077.22"/>
    <n v="10"/>
    <x v="2"/>
    <n v="34461.78"/>
    <x v="3821"/>
    <n v="310155.98"/>
    <x v="5"/>
    <n v="2025"/>
  </r>
  <r>
    <s v="TXN03824"/>
    <x v="4"/>
    <x v="0"/>
    <x v="1"/>
    <x v="2"/>
    <d v="2025-03-06T00:00:00"/>
    <x v="9"/>
    <n v="2734.31"/>
    <n v="10"/>
    <x v="5"/>
    <n v="2734.31"/>
    <x v="3822"/>
    <n v="24608.79"/>
    <x v="6"/>
    <n v="2025"/>
  </r>
  <r>
    <s v="TXN03825"/>
    <x v="1"/>
    <x v="0"/>
    <x v="1"/>
    <x v="0"/>
    <d v="2025-07-24T00:00:00"/>
    <x v="6"/>
    <n v="3269"/>
    <n v="15"/>
    <x v="2"/>
    <n v="4413.1499999999996"/>
    <x v="3823"/>
    <n v="25007.85"/>
    <x v="11"/>
    <n v="2025"/>
  </r>
  <r>
    <s v="TXN03826"/>
    <x v="9"/>
    <x v="4"/>
    <x v="18"/>
    <x v="1"/>
    <d v="2025-05-05T00:00:00"/>
    <x v="0"/>
    <n v="12943.61"/>
    <n v="5"/>
    <x v="1"/>
    <n v="1941.54"/>
    <x v="3824"/>
    <n v="36889.29"/>
    <x v="9"/>
    <n v="2025"/>
  </r>
  <r>
    <s v="TXN03827"/>
    <x v="6"/>
    <x v="0"/>
    <x v="1"/>
    <x v="2"/>
    <d v="2025-04-03T00:00:00"/>
    <x v="0"/>
    <n v="3174.21"/>
    <n v="15"/>
    <x v="4"/>
    <n v="1428.39"/>
    <x v="3825"/>
    <n v="8094.24"/>
    <x v="1"/>
    <n v="2025"/>
  </r>
  <r>
    <s v="TXN03828"/>
    <x v="1"/>
    <x v="1"/>
    <x v="4"/>
    <x v="0"/>
    <d v="2025-04-22T00:00:00"/>
    <x v="6"/>
    <n v="7646.55"/>
    <n v="0"/>
    <x v="1"/>
    <n v="0"/>
    <x v="3826"/>
    <n v="68818.95"/>
    <x v="1"/>
    <n v="2025"/>
  </r>
  <r>
    <s v="TXN03829"/>
    <x v="13"/>
    <x v="2"/>
    <x v="5"/>
    <x v="3"/>
    <d v="2025-09-10T00:00:00"/>
    <x v="2"/>
    <n v="1365.69"/>
    <n v="20"/>
    <x v="2"/>
    <n v="2185.1"/>
    <x v="3827"/>
    <n v="8740.42"/>
    <x v="7"/>
    <n v="2025"/>
  </r>
  <r>
    <s v="TXN03830"/>
    <x v="8"/>
    <x v="2"/>
    <x v="11"/>
    <x v="6"/>
    <d v="2024-04-15T00:00:00"/>
    <x v="7"/>
    <n v="4933.3500000000004"/>
    <n v="10"/>
    <x v="5"/>
    <n v="2466.6799999999998"/>
    <x v="3828"/>
    <n v="22200.07"/>
    <x v="1"/>
    <n v="2024"/>
  </r>
  <r>
    <s v="TXN03831"/>
    <x v="2"/>
    <x v="2"/>
    <x v="11"/>
    <x v="5"/>
    <d v="2024-03-22T00:00:00"/>
    <x v="7"/>
    <n v="4984.41"/>
    <n v="10"/>
    <x v="6"/>
    <n v="2492.1999999999998"/>
    <x v="3829"/>
    <n v="22429.85"/>
    <x v="6"/>
    <n v="2024"/>
  </r>
  <r>
    <s v="TXN03832"/>
    <x v="1"/>
    <x v="2"/>
    <x v="10"/>
    <x v="5"/>
    <d v="2025-04-05T00:00:00"/>
    <x v="3"/>
    <n v="2292.7399999999998"/>
    <n v="20"/>
    <x v="2"/>
    <n v="2751.29"/>
    <x v="3830"/>
    <n v="11005.15"/>
    <x v="1"/>
    <n v="2025"/>
  </r>
  <r>
    <s v="TXN03833"/>
    <x v="14"/>
    <x v="3"/>
    <x v="16"/>
    <x v="1"/>
    <d v="2025-03-11T00:00:00"/>
    <x v="7"/>
    <n v="1482.87"/>
    <n v="0"/>
    <x v="7"/>
    <n v="0"/>
    <x v="3831"/>
    <n v="7414.35"/>
    <x v="6"/>
    <n v="2025"/>
  </r>
  <r>
    <s v="TXN03834"/>
    <x v="10"/>
    <x v="3"/>
    <x v="21"/>
    <x v="0"/>
    <d v="2024-07-31T00:00:00"/>
    <x v="7"/>
    <n v="2405.59"/>
    <n v="0"/>
    <x v="2"/>
    <n v="0"/>
    <x v="3832"/>
    <n v="12027.95"/>
    <x v="11"/>
    <n v="2024"/>
  </r>
  <r>
    <s v="TXN03835"/>
    <x v="14"/>
    <x v="2"/>
    <x v="10"/>
    <x v="2"/>
    <d v="2024-08-02T00:00:00"/>
    <x v="9"/>
    <n v="2832.5"/>
    <n v="0"/>
    <x v="6"/>
    <n v="0"/>
    <x v="3833"/>
    <n v="28325"/>
    <x v="0"/>
    <n v="2024"/>
  </r>
  <r>
    <s v="TXN03836"/>
    <x v="3"/>
    <x v="0"/>
    <x v="6"/>
    <x v="6"/>
    <d v="2025-03-14T00:00:00"/>
    <x v="3"/>
    <n v="27240.14"/>
    <n v="5"/>
    <x v="5"/>
    <n v="8172.04"/>
    <x v="3834"/>
    <n v="155268.79999999999"/>
    <x v="6"/>
    <n v="2025"/>
  </r>
  <r>
    <s v="TXN03837"/>
    <x v="0"/>
    <x v="1"/>
    <x v="2"/>
    <x v="5"/>
    <d v="2024-09-04T00:00:00"/>
    <x v="8"/>
    <n v="26731.29"/>
    <n v="0"/>
    <x v="6"/>
    <n v="0"/>
    <x v="3835"/>
    <n v="26731.29"/>
    <x v="7"/>
    <n v="2024"/>
  </r>
  <r>
    <s v="TXN03838"/>
    <x v="0"/>
    <x v="4"/>
    <x v="23"/>
    <x v="6"/>
    <d v="2024-04-20T00:00:00"/>
    <x v="9"/>
    <n v="10956.91"/>
    <n v="15"/>
    <x v="6"/>
    <n v="16435.37"/>
    <x v="3836"/>
    <n v="93133.73"/>
    <x v="1"/>
    <n v="2024"/>
  </r>
  <r>
    <s v="TXN03839"/>
    <x v="5"/>
    <x v="0"/>
    <x v="3"/>
    <x v="6"/>
    <d v="2025-11-20T00:00:00"/>
    <x v="0"/>
    <n v="17882.45"/>
    <n v="0"/>
    <x v="6"/>
    <n v="0"/>
    <x v="3837"/>
    <n v="53647.35"/>
    <x v="8"/>
    <n v="2025"/>
  </r>
  <r>
    <s v="TXN03840"/>
    <x v="8"/>
    <x v="1"/>
    <x v="4"/>
    <x v="1"/>
    <d v="2025-01-18T00:00:00"/>
    <x v="7"/>
    <n v="7874.03"/>
    <n v="0"/>
    <x v="3"/>
    <n v="0"/>
    <x v="3838"/>
    <n v="39370.15"/>
    <x v="10"/>
    <n v="2025"/>
  </r>
  <r>
    <s v="TXN03841"/>
    <x v="5"/>
    <x v="0"/>
    <x v="3"/>
    <x v="6"/>
    <d v="2025-06-03T00:00:00"/>
    <x v="8"/>
    <n v="19196.14"/>
    <n v="20"/>
    <x v="1"/>
    <n v="3839.23"/>
    <x v="3839"/>
    <n v="15356.91"/>
    <x v="5"/>
    <n v="2025"/>
  </r>
  <r>
    <s v="TXN03842"/>
    <x v="12"/>
    <x v="2"/>
    <x v="5"/>
    <x v="3"/>
    <d v="2025-02-15T00:00:00"/>
    <x v="2"/>
    <n v="1151.07"/>
    <n v="20"/>
    <x v="6"/>
    <n v="1841.71"/>
    <x v="3840"/>
    <n v="7366.85"/>
    <x v="2"/>
    <n v="2025"/>
  </r>
  <r>
    <s v="TXN03843"/>
    <x v="5"/>
    <x v="4"/>
    <x v="18"/>
    <x v="5"/>
    <d v="2025-02-05T00:00:00"/>
    <x v="1"/>
    <n v="10839.57"/>
    <n v="10"/>
    <x v="7"/>
    <n v="4335.83"/>
    <x v="3841"/>
    <n v="39022.449999999997"/>
    <x v="2"/>
    <n v="2025"/>
  </r>
  <r>
    <s v="TXN03844"/>
    <x v="2"/>
    <x v="1"/>
    <x v="8"/>
    <x v="3"/>
    <d v="2024-01-29T00:00:00"/>
    <x v="8"/>
    <n v="41802.629999999997"/>
    <n v="10"/>
    <x v="1"/>
    <n v="4180.26"/>
    <x v="3842"/>
    <n v="37622.370000000003"/>
    <x v="10"/>
    <n v="2024"/>
  </r>
  <r>
    <s v="TXN03845"/>
    <x v="7"/>
    <x v="1"/>
    <x v="4"/>
    <x v="6"/>
    <d v="2025-09-25T00:00:00"/>
    <x v="1"/>
    <n v="9171.83"/>
    <n v="15"/>
    <x v="4"/>
    <n v="5503.1"/>
    <x v="3843"/>
    <n v="31184.22"/>
    <x v="7"/>
    <n v="2025"/>
  </r>
  <r>
    <s v="TXN03846"/>
    <x v="11"/>
    <x v="3"/>
    <x v="15"/>
    <x v="6"/>
    <d v="2024-11-17T00:00:00"/>
    <x v="7"/>
    <n v="882.93"/>
    <n v="15"/>
    <x v="2"/>
    <n v="662.2"/>
    <x v="3844"/>
    <n v="3752.45"/>
    <x v="8"/>
    <n v="2024"/>
  </r>
  <r>
    <s v="TXN03847"/>
    <x v="12"/>
    <x v="1"/>
    <x v="8"/>
    <x v="5"/>
    <d v="2025-01-02T00:00:00"/>
    <x v="5"/>
    <n v="41218.69"/>
    <n v="15"/>
    <x v="0"/>
    <n v="12365.61"/>
    <x v="3845"/>
    <n v="70071.77"/>
    <x v="10"/>
    <n v="2025"/>
  </r>
  <r>
    <s v="TXN03848"/>
    <x v="3"/>
    <x v="1"/>
    <x v="13"/>
    <x v="4"/>
    <d v="2024-12-01T00:00:00"/>
    <x v="4"/>
    <n v="12063.77"/>
    <n v="5"/>
    <x v="6"/>
    <n v="4222.32"/>
    <x v="3846"/>
    <n v="80224.070000000007"/>
    <x v="3"/>
    <n v="2024"/>
  </r>
  <r>
    <s v="TXN03849"/>
    <x v="13"/>
    <x v="1"/>
    <x v="13"/>
    <x v="4"/>
    <d v="2024-10-20T00:00:00"/>
    <x v="8"/>
    <n v="13108.53"/>
    <n v="15"/>
    <x v="0"/>
    <n v="1966.28"/>
    <x v="3847"/>
    <n v="11142.25"/>
    <x v="4"/>
    <n v="2024"/>
  </r>
  <r>
    <s v="TXN03850"/>
    <x v="7"/>
    <x v="4"/>
    <x v="17"/>
    <x v="0"/>
    <d v="2025-11-06T00:00:00"/>
    <x v="3"/>
    <n v="3964.21"/>
    <n v="0"/>
    <x v="7"/>
    <n v="0"/>
    <x v="3848"/>
    <n v="23785.26"/>
    <x v="8"/>
    <n v="2025"/>
  </r>
  <r>
    <s v="TXN03851"/>
    <x v="14"/>
    <x v="3"/>
    <x v="15"/>
    <x v="6"/>
    <d v="2025-06-03T00:00:00"/>
    <x v="8"/>
    <n v="787.36"/>
    <n v="15"/>
    <x v="3"/>
    <n v="118.1"/>
    <x v="3849"/>
    <n v="669.26"/>
    <x v="5"/>
    <n v="2025"/>
  </r>
  <r>
    <s v="TXN03852"/>
    <x v="13"/>
    <x v="4"/>
    <x v="23"/>
    <x v="2"/>
    <d v="2024-07-03T00:00:00"/>
    <x v="1"/>
    <n v="10447.790000000001"/>
    <n v="15"/>
    <x v="7"/>
    <n v="6268.67"/>
    <x v="3850"/>
    <n v="35522.49"/>
    <x v="11"/>
    <n v="2024"/>
  </r>
  <r>
    <s v="TXN03853"/>
    <x v="5"/>
    <x v="2"/>
    <x v="11"/>
    <x v="3"/>
    <d v="2025-05-12T00:00:00"/>
    <x v="9"/>
    <n v="4542.0600000000004"/>
    <n v="20"/>
    <x v="4"/>
    <n v="9084.1200000000008"/>
    <x v="3851"/>
    <n v="36336.480000000003"/>
    <x v="9"/>
    <n v="2025"/>
  </r>
  <r>
    <s v="TXN03854"/>
    <x v="1"/>
    <x v="4"/>
    <x v="18"/>
    <x v="1"/>
    <d v="2024-05-23T00:00:00"/>
    <x v="2"/>
    <n v="11972.72"/>
    <n v="10"/>
    <x v="5"/>
    <n v="9578.18"/>
    <x v="3852"/>
    <n v="86203.58"/>
    <x v="9"/>
    <n v="2024"/>
  </r>
  <r>
    <s v="TXN03855"/>
    <x v="5"/>
    <x v="2"/>
    <x v="22"/>
    <x v="0"/>
    <d v="2024-01-16T00:00:00"/>
    <x v="0"/>
    <n v="846.02"/>
    <n v="10"/>
    <x v="3"/>
    <n v="253.81"/>
    <x v="3853"/>
    <n v="2284.25"/>
    <x v="10"/>
    <n v="2024"/>
  </r>
  <r>
    <s v="TXN03856"/>
    <x v="5"/>
    <x v="2"/>
    <x v="5"/>
    <x v="6"/>
    <d v="2024-07-14T00:00:00"/>
    <x v="5"/>
    <n v="1153.29"/>
    <n v="15"/>
    <x v="2"/>
    <n v="345.99"/>
    <x v="3854"/>
    <n v="1960.59"/>
    <x v="11"/>
    <n v="2024"/>
  </r>
  <r>
    <s v="TXN03857"/>
    <x v="6"/>
    <x v="1"/>
    <x v="2"/>
    <x v="0"/>
    <d v="2024-02-12T00:00:00"/>
    <x v="1"/>
    <n v="28393.89"/>
    <n v="0"/>
    <x v="5"/>
    <n v="0"/>
    <x v="3855"/>
    <n v="113575.56"/>
    <x v="2"/>
    <n v="2024"/>
  </r>
  <r>
    <s v="TXN03858"/>
    <x v="0"/>
    <x v="2"/>
    <x v="10"/>
    <x v="4"/>
    <d v="2025-11-26T00:00:00"/>
    <x v="4"/>
    <n v="2909.02"/>
    <n v="0"/>
    <x v="2"/>
    <n v="0"/>
    <x v="3856"/>
    <n v="20363.14"/>
    <x v="8"/>
    <n v="2025"/>
  </r>
  <r>
    <s v="TXN03859"/>
    <x v="12"/>
    <x v="3"/>
    <x v="15"/>
    <x v="3"/>
    <d v="2025-11-16T00:00:00"/>
    <x v="9"/>
    <n v="881.93"/>
    <n v="15"/>
    <x v="0"/>
    <n v="1322.89"/>
    <x v="3857"/>
    <n v="7496.41"/>
    <x v="8"/>
    <n v="2025"/>
  </r>
  <r>
    <s v="TXN03860"/>
    <x v="5"/>
    <x v="0"/>
    <x v="0"/>
    <x v="5"/>
    <d v="2025-05-28T00:00:00"/>
    <x v="9"/>
    <n v="72041.33"/>
    <n v="0"/>
    <x v="7"/>
    <n v="0"/>
    <x v="3858"/>
    <n v="720413.3"/>
    <x v="9"/>
    <n v="2025"/>
  </r>
  <r>
    <s v="TXN03861"/>
    <x v="10"/>
    <x v="0"/>
    <x v="1"/>
    <x v="3"/>
    <d v="2024-11-18T00:00:00"/>
    <x v="4"/>
    <n v="3759.04"/>
    <n v="20"/>
    <x v="3"/>
    <n v="5262.66"/>
    <x v="3859"/>
    <n v="21050.62"/>
    <x v="8"/>
    <n v="2024"/>
  </r>
  <r>
    <s v="TXN03862"/>
    <x v="0"/>
    <x v="1"/>
    <x v="4"/>
    <x v="5"/>
    <d v="2025-07-27T00:00:00"/>
    <x v="6"/>
    <n v="8538.16"/>
    <n v="5"/>
    <x v="2"/>
    <n v="3842.17"/>
    <x v="3860"/>
    <n v="73001.27"/>
    <x v="11"/>
    <n v="2025"/>
  </r>
  <r>
    <s v="TXN03863"/>
    <x v="13"/>
    <x v="3"/>
    <x v="15"/>
    <x v="4"/>
    <d v="2024-03-21T00:00:00"/>
    <x v="7"/>
    <n v="738.65"/>
    <n v="0"/>
    <x v="4"/>
    <n v="0"/>
    <x v="3861"/>
    <n v="3693.25"/>
    <x v="6"/>
    <n v="2024"/>
  </r>
  <r>
    <s v="TXN03864"/>
    <x v="6"/>
    <x v="2"/>
    <x v="10"/>
    <x v="3"/>
    <d v="2024-11-15T00:00:00"/>
    <x v="8"/>
    <n v="3127.28"/>
    <n v="10"/>
    <x v="7"/>
    <n v="312.73"/>
    <x v="3862"/>
    <n v="2814.55"/>
    <x v="8"/>
    <n v="2024"/>
  </r>
  <r>
    <s v="TXN03865"/>
    <x v="7"/>
    <x v="0"/>
    <x v="6"/>
    <x v="0"/>
    <d v="2025-03-31T00:00:00"/>
    <x v="9"/>
    <n v="26678.23"/>
    <n v="10"/>
    <x v="7"/>
    <n v="26678.23"/>
    <x v="3863"/>
    <n v="240104.07"/>
    <x v="6"/>
    <n v="2025"/>
  </r>
  <r>
    <s v="TXN03866"/>
    <x v="13"/>
    <x v="3"/>
    <x v="16"/>
    <x v="6"/>
    <d v="2025-02-28T00:00:00"/>
    <x v="8"/>
    <n v="1564.7"/>
    <n v="10"/>
    <x v="5"/>
    <n v="156.47"/>
    <x v="3864"/>
    <n v="1408.23"/>
    <x v="2"/>
    <n v="2025"/>
  </r>
  <r>
    <s v="TXN03867"/>
    <x v="11"/>
    <x v="0"/>
    <x v="24"/>
    <x v="1"/>
    <d v="2025-11-07T00:00:00"/>
    <x v="6"/>
    <n v="7813.13"/>
    <n v="5"/>
    <x v="4"/>
    <n v="3515.91"/>
    <x v="3865"/>
    <n v="66802.259999999995"/>
    <x v="8"/>
    <n v="2025"/>
  </r>
  <r>
    <s v="TXN03868"/>
    <x v="2"/>
    <x v="0"/>
    <x v="0"/>
    <x v="1"/>
    <d v="2024-12-28T00:00:00"/>
    <x v="4"/>
    <n v="69207.820000000007"/>
    <n v="15"/>
    <x v="4"/>
    <n v="72668.210000000006"/>
    <x v="3866"/>
    <n v="411786.53"/>
    <x v="3"/>
    <n v="2024"/>
  </r>
  <r>
    <s v="TXN03869"/>
    <x v="11"/>
    <x v="1"/>
    <x v="13"/>
    <x v="0"/>
    <d v="2025-09-06T00:00:00"/>
    <x v="7"/>
    <n v="13171.68"/>
    <n v="15"/>
    <x v="6"/>
    <n v="9878.76"/>
    <x v="3867"/>
    <n v="55979.64"/>
    <x v="7"/>
    <n v="2025"/>
  </r>
  <r>
    <s v="TXN03870"/>
    <x v="2"/>
    <x v="3"/>
    <x v="15"/>
    <x v="4"/>
    <d v="2024-09-28T00:00:00"/>
    <x v="7"/>
    <n v="843.65"/>
    <n v="20"/>
    <x v="6"/>
    <n v="843.65"/>
    <x v="3868"/>
    <n v="3374.6"/>
    <x v="7"/>
    <n v="2024"/>
  </r>
  <r>
    <s v="TXN03871"/>
    <x v="11"/>
    <x v="2"/>
    <x v="11"/>
    <x v="1"/>
    <d v="2024-09-09T00:00:00"/>
    <x v="9"/>
    <n v="4633.18"/>
    <n v="5"/>
    <x v="0"/>
    <n v="2316.59"/>
    <x v="3869"/>
    <n v="44015.21"/>
    <x v="7"/>
    <n v="2024"/>
  </r>
  <r>
    <s v="TXN03872"/>
    <x v="5"/>
    <x v="4"/>
    <x v="14"/>
    <x v="1"/>
    <d v="2025-10-07T00:00:00"/>
    <x v="4"/>
    <n v="1882.43"/>
    <n v="0"/>
    <x v="3"/>
    <n v="0"/>
    <x v="3870"/>
    <n v="13177.01"/>
    <x v="4"/>
    <n v="2025"/>
  </r>
  <r>
    <s v="TXN03873"/>
    <x v="13"/>
    <x v="0"/>
    <x v="24"/>
    <x v="4"/>
    <d v="2025-03-12T00:00:00"/>
    <x v="2"/>
    <n v="6913.54"/>
    <n v="0"/>
    <x v="3"/>
    <n v="0"/>
    <x v="3871"/>
    <n v="55308.32"/>
    <x v="6"/>
    <n v="2025"/>
  </r>
  <r>
    <s v="TXN03874"/>
    <x v="3"/>
    <x v="2"/>
    <x v="10"/>
    <x v="5"/>
    <d v="2024-09-04T00:00:00"/>
    <x v="5"/>
    <n v="2678.4"/>
    <n v="0"/>
    <x v="2"/>
    <n v="0"/>
    <x v="3872"/>
    <n v="5356.8"/>
    <x v="7"/>
    <n v="2024"/>
  </r>
  <r>
    <s v="TXN03875"/>
    <x v="9"/>
    <x v="0"/>
    <x v="0"/>
    <x v="6"/>
    <d v="2025-10-21T00:00:00"/>
    <x v="3"/>
    <n v="69628.89"/>
    <n v="0"/>
    <x v="2"/>
    <n v="0"/>
    <x v="3873"/>
    <n v="417773.34"/>
    <x v="4"/>
    <n v="2025"/>
  </r>
  <r>
    <s v="TXN03876"/>
    <x v="2"/>
    <x v="1"/>
    <x v="4"/>
    <x v="5"/>
    <d v="2025-02-01T00:00:00"/>
    <x v="7"/>
    <n v="7242.64"/>
    <n v="10"/>
    <x v="1"/>
    <n v="3621.32"/>
    <x v="3874"/>
    <n v="32591.88"/>
    <x v="2"/>
    <n v="2025"/>
  </r>
  <r>
    <s v="TXN03877"/>
    <x v="9"/>
    <x v="4"/>
    <x v="19"/>
    <x v="5"/>
    <d v="2025-09-05T00:00:00"/>
    <x v="7"/>
    <n v="8953.6299999999992"/>
    <n v="15"/>
    <x v="6"/>
    <n v="6715.22"/>
    <x v="3875"/>
    <n v="38052.93"/>
    <x v="7"/>
    <n v="2025"/>
  </r>
  <r>
    <s v="TXN03878"/>
    <x v="12"/>
    <x v="2"/>
    <x v="11"/>
    <x v="0"/>
    <d v="2025-06-13T00:00:00"/>
    <x v="5"/>
    <n v="5084.12"/>
    <n v="5"/>
    <x v="4"/>
    <n v="508.41"/>
    <x v="3876"/>
    <n v="9659.83"/>
    <x v="5"/>
    <n v="2025"/>
  </r>
  <r>
    <s v="TXN03879"/>
    <x v="13"/>
    <x v="4"/>
    <x v="17"/>
    <x v="1"/>
    <d v="2025-04-24T00:00:00"/>
    <x v="8"/>
    <n v="3809.31"/>
    <n v="15"/>
    <x v="6"/>
    <n v="571.4"/>
    <x v="3877"/>
    <n v="3237.91"/>
    <x v="1"/>
    <n v="2025"/>
  </r>
  <r>
    <s v="TXN03880"/>
    <x v="8"/>
    <x v="4"/>
    <x v="18"/>
    <x v="5"/>
    <d v="2025-08-10T00:00:00"/>
    <x v="7"/>
    <n v="12586.55"/>
    <n v="5"/>
    <x v="5"/>
    <n v="3146.64"/>
    <x v="3878"/>
    <n v="59786.11"/>
    <x v="0"/>
    <n v="2025"/>
  </r>
  <r>
    <s v="TXN03881"/>
    <x v="9"/>
    <x v="0"/>
    <x v="24"/>
    <x v="1"/>
    <d v="2024-03-16T00:00:00"/>
    <x v="2"/>
    <n v="6486.58"/>
    <n v="15"/>
    <x v="7"/>
    <n v="7783.9"/>
    <x v="3879"/>
    <n v="44108.74"/>
    <x v="6"/>
    <n v="2024"/>
  </r>
  <r>
    <s v="TXN03882"/>
    <x v="5"/>
    <x v="0"/>
    <x v="0"/>
    <x v="6"/>
    <d v="2024-06-23T00:00:00"/>
    <x v="5"/>
    <n v="62855.8"/>
    <n v="10"/>
    <x v="1"/>
    <n v="12571.16"/>
    <x v="3880"/>
    <n v="113140.44"/>
    <x v="5"/>
    <n v="2024"/>
  </r>
  <r>
    <s v="TXN03883"/>
    <x v="3"/>
    <x v="0"/>
    <x v="3"/>
    <x v="3"/>
    <d v="2025-04-03T00:00:00"/>
    <x v="7"/>
    <n v="17223.52"/>
    <n v="5"/>
    <x v="2"/>
    <n v="4305.88"/>
    <x v="3881"/>
    <n v="81811.72"/>
    <x v="1"/>
    <n v="2025"/>
  </r>
  <r>
    <s v="TXN03884"/>
    <x v="8"/>
    <x v="2"/>
    <x v="22"/>
    <x v="6"/>
    <d v="2025-12-19T00:00:00"/>
    <x v="3"/>
    <n v="983.57"/>
    <n v="5"/>
    <x v="2"/>
    <n v="295.07"/>
    <x v="3882"/>
    <n v="5606.35"/>
    <x v="3"/>
    <n v="2025"/>
  </r>
  <r>
    <s v="TXN03885"/>
    <x v="6"/>
    <x v="1"/>
    <x v="8"/>
    <x v="5"/>
    <d v="2024-08-04T00:00:00"/>
    <x v="1"/>
    <n v="39601.93"/>
    <n v="0"/>
    <x v="1"/>
    <n v="0"/>
    <x v="3883"/>
    <n v="158407.72"/>
    <x v="0"/>
    <n v="2024"/>
  </r>
  <r>
    <s v="TXN03886"/>
    <x v="12"/>
    <x v="0"/>
    <x v="3"/>
    <x v="2"/>
    <d v="2025-01-28T00:00:00"/>
    <x v="4"/>
    <n v="20609.759999999998"/>
    <n v="5"/>
    <x v="3"/>
    <n v="7213.42"/>
    <x v="3884"/>
    <n v="137054.9"/>
    <x v="10"/>
    <n v="2025"/>
  </r>
  <r>
    <s v="TXN03887"/>
    <x v="0"/>
    <x v="4"/>
    <x v="17"/>
    <x v="6"/>
    <d v="2025-10-25T00:00:00"/>
    <x v="2"/>
    <n v="3691.53"/>
    <n v="15"/>
    <x v="6"/>
    <n v="4429.84"/>
    <x v="3885"/>
    <n v="25102.400000000001"/>
    <x v="4"/>
    <n v="2025"/>
  </r>
  <r>
    <s v="TXN03888"/>
    <x v="4"/>
    <x v="1"/>
    <x v="8"/>
    <x v="0"/>
    <d v="2025-12-12T00:00:00"/>
    <x v="0"/>
    <n v="42603.51"/>
    <n v="15"/>
    <x v="2"/>
    <n v="19171.580000000002"/>
    <x v="3886"/>
    <n v="108638.95"/>
    <x v="3"/>
    <n v="2025"/>
  </r>
  <r>
    <s v="TXN03889"/>
    <x v="10"/>
    <x v="1"/>
    <x v="13"/>
    <x v="2"/>
    <d v="2025-06-22T00:00:00"/>
    <x v="4"/>
    <n v="13373.47"/>
    <n v="5"/>
    <x v="5"/>
    <n v="4680.71"/>
    <x v="3887"/>
    <n v="88933.58"/>
    <x v="5"/>
    <n v="2025"/>
  </r>
  <r>
    <s v="TXN03890"/>
    <x v="4"/>
    <x v="2"/>
    <x v="5"/>
    <x v="5"/>
    <d v="2025-07-20T00:00:00"/>
    <x v="2"/>
    <n v="1279.1300000000001"/>
    <n v="10"/>
    <x v="2"/>
    <n v="1023.3"/>
    <x v="3888"/>
    <n v="9209.74"/>
    <x v="11"/>
    <n v="2025"/>
  </r>
  <r>
    <s v="TXN03891"/>
    <x v="5"/>
    <x v="0"/>
    <x v="6"/>
    <x v="6"/>
    <d v="2024-05-07T00:00:00"/>
    <x v="2"/>
    <n v="28233.82"/>
    <n v="15"/>
    <x v="0"/>
    <n v="33880.58"/>
    <x v="3889"/>
    <n v="191989.98"/>
    <x v="9"/>
    <n v="2024"/>
  </r>
  <r>
    <s v="TXN03892"/>
    <x v="1"/>
    <x v="4"/>
    <x v="17"/>
    <x v="1"/>
    <d v="2025-01-07T00:00:00"/>
    <x v="6"/>
    <n v="3710.95"/>
    <n v="15"/>
    <x v="5"/>
    <n v="5009.78"/>
    <x v="3890"/>
    <n v="28388.77"/>
    <x v="10"/>
    <n v="2025"/>
  </r>
  <r>
    <s v="TXN03893"/>
    <x v="11"/>
    <x v="1"/>
    <x v="4"/>
    <x v="6"/>
    <d v="2024-05-01T00:00:00"/>
    <x v="5"/>
    <n v="7977.16"/>
    <n v="10"/>
    <x v="3"/>
    <n v="1595.43"/>
    <x v="3891"/>
    <n v="14358.89"/>
    <x v="9"/>
    <n v="2024"/>
  </r>
  <r>
    <s v="TXN03894"/>
    <x v="0"/>
    <x v="0"/>
    <x v="24"/>
    <x v="3"/>
    <d v="2025-01-14T00:00:00"/>
    <x v="7"/>
    <n v="6988"/>
    <n v="15"/>
    <x v="0"/>
    <n v="5241"/>
    <x v="3892"/>
    <n v="29699"/>
    <x v="10"/>
    <n v="2025"/>
  </r>
  <r>
    <s v="TXN03895"/>
    <x v="9"/>
    <x v="1"/>
    <x v="8"/>
    <x v="2"/>
    <d v="2024-01-16T00:00:00"/>
    <x v="5"/>
    <n v="45386.720000000001"/>
    <n v="10"/>
    <x v="6"/>
    <n v="9077.34"/>
    <x v="3893"/>
    <n v="81696.100000000006"/>
    <x v="10"/>
    <n v="2024"/>
  </r>
  <r>
    <s v="TXN03896"/>
    <x v="13"/>
    <x v="3"/>
    <x v="16"/>
    <x v="3"/>
    <d v="2025-09-05T00:00:00"/>
    <x v="1"/>
    <n v="1443.95"/>
    <n v="5"/>
    <x v="0"/>
    <n v="288.79000000000002"/>
    <x v="3894"/>
    <n v="5487.01"/>
    <x v="7"/>
    <n v="2025"/>
  </r>
  <r>
    <s v="TXN03897"/>
    <x v="0"/>
    <x v="4"/>
    <x v="17"/>
    <x v="6"/>
    <d v="2025-02-11T00:00:00"/>
    <x v="9"/>
    <n v="3994.27"/>
    <n v="10"/>
    <x v="2"/>
    <n v="3994.27"/>
    <x v="3895"/>
    <n v="35948.43"/>
    <x v="2"/>
    <n v="2025"/>
  </r>
  <r>
    <s v="TXN03898"/>
    <x v="12"/>
    <x v="3"/>
    <x v="7"/>
    <x v="3"/>
    <d v="2024-12-03T00:00:00"/>
    <x v="8"/>
    <n v="2089.46"/>
    <n v="5"/>
    <x v="1"/>
    <n v="104.47"/>
    <x v="3896"/>
    <n v="1984.99"/>
    <x v="3"/>
    <n v="2024"/>
  </r>
  <r>
    <s v="TXN03899"/>
    <x v="13"/>
    <x v="4"/>
    <x v="17"/>
    <x v="1"/>
    <d v="2024-04-23T00:00:00"/>
    <x v="8"/>
    <n v="3222.77"/>
    <n v="10"/>
    <x v="7"/>
    <n v="322.27999999999997"/>
    <x v="3897"/>
    <n v="2900.49"/>
    <x v="1"/>
    <n v="2024"/>
  </r>
  <r>
    <s v="TXN03900"/>
    <x v="1"/>
    <x v="4"/>
    <x v="17"/>
    <x v="1"/>
    <d v="2024-07-16T00:00:00"/>
    <x v="6"/>
    <n v="3375.68"/>
    <n v="10"/>
    <x v="6"/>
    <n v="3038.11"/>
    <x v="3898"/>
    <n v="27343.01"/>
    <x v="11"/>
    <n v="2024"/>
  </r>
  <r>
    <s v="TXN03901"/>
    <x v="6"/>
    <x v="2"/>
    <x v="11"/>
    <x v="4"/>
    <d v="2024-08-24T00:00:00"/>
    <x v="8"/>
    <n v="4558.6000000000004"/>
    <n v="20"/>
    <x v="7"/>
    <n v="911.72"/>
    <x v="3899"/>
    <n v="3646.88"/>
    <x v="0"/>
    <n v="2024"/>
  </r>
  <r>
    <s v="TXN03902"/>
    <x v="8"/>
    <x v="2"/>
    <x v="5"/>
    <x v="3"/>
    <d v="2025-06-27T00:00:00"/>
    <x v="7"/>
    <n v="1279.8"/>
    <n v="15"/>
    <x v="0"/>
    <n v="959.85"/>
    <x v="3900"/>
    <n v="5439.15"/>
    <x v="5"/>
    <n v="2025"/>
  </r>
  <r>
    <s v="TXN03903"/>
    <x v="13"/>
    <x v="2"/>
    <x v="11"/>
    <x v="3"/>
    <d v="2025-05-04T00:00:00"/>
    <x v="0"/>
    <n v="4745.8"/>
    <n v="5"/>
    <x v="2"/>
    <n v="711.87"/>
    <x v="3901"/>
    <n v="13525.53"/>
    <x v="9"/>
    <n v="2025"/>
  </r>
  <r>
    <s v="TXN03904"/>
    <x v="5"/>
    <x v="0"/>
    <x v="0"/>
    <x v="2"/>
    <d v="2025-06-25T00:00:00"/>
    <x v="5"/>
    <n v="66524.09"/>
    <n v="15"/>
    <x v="4"/>
    <n v="19957.23"/>
    <x v="3902"/>
    <n v="113090.95"/>
    <x v="5"/>
    <n v="2025"/>
  </r>
  <r>
    <s v="TXN03905"/>
    <x v="4"/>
    <x v="1"/>
    <x v="2"/>
    <x v="0"/>
    <d v="2025-03-05T00:00:00"/>
    <x v="5"/>
    <n v="26286.93"/>
    <n v="5"/>
    <x v="5"/>
    <n v="2628.69"/>
    <x v="3903"/>
    <n v="49945.17"/>
    <x v="6"/>
    <n v="2025"/>
  </r>
  <r>
    <s v="TXN03906"/>
    <x v="9"/>
    <x v="0"/>
    <x v="1"/>
    <x v="4"/>
    <d v="2024-01-22T00:00:00"/>
    <x v="4"/>
    <n v="2859.99"/>
    <n v="0"/>
    <x v="3"/>
    <n v="0"/>
    <x v="3904"/>
    <n v="20019.93"/>
    <x v="10"/>
    <n v="2024"/>
  </r>
  <r>
    <s v="TXN03907"/>
    <x v="4"/>
    <x v="2"/>
    <x v="9"/>
    <x v="0"/>
    <d v="2025-05-07T00:00:00"/>
    <x v="4"/>
    <n v="4121.0200000000004"/>
    <n v="5"/>
    <x v="7"/>
    <n v="1442.36"/>
    <x v="3905"/>
    <n v="27404.78"/>
    <x v="9"/>
    <n v="2025"/>
  </r>
  <r>
    <s v="TXN03908"/>
    <x v="2"/>
    <x v="0"/>
    <x v="6"/>
    <x v="5"/>
    <d v="2024-04-29T00:00:00"/>
    <x v="4"/>
    <n v="26297.19"/>
    <n v="15"/>
    <x v="4"/>
    <n v="27612.05"/>
    <x v="3906"/>
    <n v="156468.28"/>
    <x v="1"/>
    <n v="2024"/>
  </r>
  <r>
    <s v="TXN03909"/>
    <x v="3"/>
    <x v="2"/>
    <x v="5"/>
    <x v="2"/>
    <d v="2025-02-27T00:00:00"/>
    <x v="2"/>
    <n v="1210.3599999999999"/>
    <n v="0"/>
    <x v="7"/>
    <n v="0"/>
    <x v="3907"/>
    <n v="9682.8799999999992"/>
    <x v="2"/>
    <n v="2025"/>
  </r>
  <r>
    <s v="TXN03910"/>
    <x v="2"/>
    <x v="1"/>
    <x v="13"/>
    <x v="3"/>
    <d v="2025-12-31T00:00:00"/>
    <x v="9"/>
    <n v="14302.77"/>
    <n v="5"/>
    <x v="7"/>
    <n v="7151.39"/>
    <x v="3908"/>
    <n v="135876.31"/>
    <x v="3"/>
    <n v="2025"/>
  </r>
  <r>
    <s v="TXN03911"/>
    <x v="10"/>
    <x v="3"/>
    <x v="7"/>
    <x v="6"/>
    <d v="2025-10-12T00:00:00"/>
    <x v="4"/>
    <n v="2180.5"/>
    <n v="0"/>
    <x v="3"/>
    <n v="0"/>
    <x v="3909"/>
    <n v="15263.5"/>
    <x v="4"/>
    <n v="2025"/>
  </r>
  <r>
    <s v="TXN03912"/>
    <x v="14"/>
    <x v="1"/>
    <x v="2"/>
    <x v="6"/>
    <d v="2025-04-17T00:00:00"/>
    <x v="9"/>
    <n v="24125.23"/>
    <n v="20"/>
    <x v="0"/>
    <n v="48250.46"/>
    <x v="3910"/>
    <n v="193001.84"/>
    <x v="1"/>
    <n v="2025"/>
  </r>
  <r>
    <s v="TXN03913"/>
    <x v="4"/>
    <x v="2"/>
    <x v="22"/>
    <x v="3"/>
    <d v="2024-07-09T00:00:00"/>
    <x v="3"/>
    <n v="851.63"/>
    <n v="20"/>
    <x v="3"/>
    <n v="1021.96"/>
    <x v="3911"/>
    <n v="4087.82"/>
    <x v="11"/>
    <n v="2024"/>
  </r>
  <r>
    <s v="TXN03914"/>
    <x v="5"/>
    <x v="4"/>
    <x v="19"/>
    <x v="0"/>
    <d v="2024-09-11T00:00:00"/>
    <x v="4"/>
    <n v="8733.49"/>
    <n v="20"/>
    <x v="4"/>
    <n v="12226.89"/>
    <x v="3912"/>
    <n v="48907.54"/>
    <x v="7"/>
    <n v="2024"/>
  </r>
  <r>
    <s v="TXN03915"/>
    <x v="6"/>
    <x v="4"/>
    <x v="14"/>
    <x v="3"/>
    <d v="2024-03-17T00:00:00"/>
    <x v="7"/>
    <n v="1643.68"/>
    <n v="5"/>
    <x v="7"/>
    <n v="410.92"/>
    <x v="3913"/>
    <n v="7807.48"/>
    <x v="6"/>
    <n v="2024"/>
  </r>
  <r>
    <s v="TXN03916"/>
    <x v="1"/>
    <x v="1"/>
    <x v="12"/>
    <x v="0"/>
    <d v="2025-09-11T00:00:00"/>
    <x v="6"/>
    <n v="5436.78"/>
    <n v="20"/>
    <x v="1"/>
    <n v="9786.2000000000007"/>
    <x v="3914"/>
    <n v="39144.82"/>
    <x v="7"/>
    <n v="2025"/>
  </r>
  <r>
    <s v="TXN03917"/>
    <x v="6"/>
    <x v="4"/>
    <x v="23"/>
    <x v="3"/>
    <d v="2024-11-20T00:00:00"/>
    <x v="3"/>
    <n v="11533.04"/>
    <n v="0"/>
    <x v="5"/>
    <n v="0"/>
    <x v="3915"/>
    <n v="69198.240000000005"/>
    <x v="8"/>
    <n v="2024"/>
  </r>
  <r>
    <s v="TXN03918"/>
    <x v="10"/>
    <x v="4"/>
    <x v="18"/>
    <x v="5"/>
    <d v="2025-09-16T00:00:00"/>
    <x v="8"/>
    <n v="11315.19"/>
    <n v="10"/>
    <x v="6"/>
    <n v="1131.52"/>
    <x v="3916"/>
    <n v="10183.67"/>
    <x v="7"/>
    <n v="2025"/>
  </r>
  <r>
    <s v="TXN03919"/>
    <x v="0"/>
    <x v="2"/>
    <x v="10"/>
    <x v="4"/>
    <d v="2025-12-31T00:00:00"/>
    <x v="7"/>
    <n v="3131.24"/>
    <n v="5"/>
    <x v="1"/>
    <n v="782.81"/>
    <x v="3917"/>
    <n v="14873.39"/>
    <x v="3"/>
    <n v="2025"/>
  </r>
  <r>
    <s v="TXN03920"/>
    <x v="6"/>
    <x v="4"/>
    <x v="18"/>
    <x v="5"/>
    <d v="2025-02-10T00:00:00"/>
    <x v="4"/>
    <n v="12974.54"/>
    <n v="5"/>
    <x v="3"/>
    <n v="4541.09"/>
    <x v="3918"/>
    <n v="86280.69"/>
    <x v="2"/>
    <n v="2025"/>
  </r>
  <r>
    <s v="TXN03921"/>
    <x v="3"/>
    <x v="1"/>
    <x v="13"/>
    <x v="6"/>
    <d v="2024-03-15T00:00:00"/>
    <x v="6"/>
    <n v="13188.91"/>
    <n v="5"/>
    <x v="4"/>
    <n v="5935.01"/>
    <x v="3919"/>
    <n v="112765.18"/>
    <x v="6"/>
    <n v="2024"/>
  </r>
  <r>
    <s v="TXN03922"/>
    <x v="3"/>
    <x v="2"/>
    <x v="22"/>
    <x v="2"/>
    <d v="2025-04-24T00:00:00"/>
    <x v="1"/>
    <n v="972.33"/>
    <n v="20"/>
    <x v="6"/>
    <n v="777.86"/>
    <x v="3920"/>
    <n v="3111.46"/>
    <x v="1"/>
    <n v="2025"/>
  </r>
  <r>
    <s v="TXN03923"/>
    <x v="4"/>
    <x v="1"/>
    <x v="8"/>
    <x v="0"/>
    <d v="2025-08-15T00:00:00"/>
    <x v="3"/>
    <n v="43636.41"/>
    <n v="0"/>
    <x v="6"/>
    <n v="0"/>
    <x v="3921"/>
    <n v="261818.46"/>
    <x v="0"/>
    <n v="2025"/>
  </r>
  <r>
    <s v="TXN03924"/>
    <x v="5"/>
    <x v="2"/>
    <x v="5"/>
    <x v="2"/>
    <d v="2024-10-02T00:00:00"/>
    <x v="5"/>
    <n v="1212.25"/>
    <n v="15"/>
    <x v="6"/>
    <n v="363.68"/>
    <x v="3922"/>
    <n v="2060.8200000000002"/>
    <x v="4"/>
    <n v="2024"/>
  </r>
  <r>
    <s v="TXN03925"/>
    <x v="14"/>
    <x v="1"/>
    <x v="2"/>
    <x v="5"/>
    <d v="2024-08-11T00:00:00"/>
    <x v="6"/>
    <n v="25160.6"/>
    <n v="10"/>
    <x v="1"/>
    <n v="22644.54"/>
    <x v="3923"/>
    <n v="203800.86"/>
    <x v="0"/>
    <n v="2024"/>
  </r>
  <r>
    <s v="TXN03926"/>
    <x v="4"/>
    <x v="4"/>
    <x v="23"/>
    <x v="5"/>
    <d v="2024-04-15T00:00:00"/>
    <x v="0"/>
    <n v="9911.92"/>
    <n v="20"/>
    <x v="7"/>
    <n v="5947.15"/>
    <x v="3924"/>
    <n v="23788.61"/>
    <x v="1"/>
    <n v="2024"/>
  </r>
  <r>
    <s v="TXN03927"/>
    <x v="2"/>
    <x v="3"/>
    <x v="7"/>
    <x v="4"/>
    <d v="2024-01-15T00:00:00"/>
    <x v="6"/>
    <n v="1639.33"/>
    <n v="15"/>
    <x v="1"/>
    <n v="2213.1"/>
    <x v="3925"/>
    <n v="12540.87"/>
    <x v="10"/>
    <n v="2024"/>
  </r>
  <r>
    <s v="TXN03928"/>
    <x v="0"/>
    <x v="1"/>
    <x v="12"/>
    <x v="6"/>
    <d v="2025-08-14T00:00:00"/>
    <x v="0"/>
    <n v="6342.42"/>
    <n v="20"/>
    <x v="3"/>
    <n v="3805.45"/>
    <x v="3926"/>
    <n v="15221.81"/>
    <x v="0"/>
    <n v="2025"/>
  </r>
  <r>
    <s v="TXN03929"/>
    <x v="11"/>
    <x v="1"/>
    <x v="8"/>
    <x v="4"/>
    <d v="2024-04-23T00:00:00"/>
    <x v="8"/>
    <n v="44879.76"/>
    <n v="20"/>
    <x v="3"/>
    <n v="8975.9500000000007"/>
    <x v="3927"/>
    <n v="35903.81"/>
    <x v="1"/>
    <n v="2024"/>
  </r>
  <r>
    <s v="TXN03930"/>
    <x v="6"/>
    <x v="2"/>
    <x v="5"/>
    <x v="4"/>
    <d v="2024-08-23T00:00:00"/>
    <x v="4"/>
    <n v="1374.48"/>
    <n v="10"/>
    <x v="6"/>
    <n v="962.14"/>
    <x v="3928"/>
    <n v="8659.2199999999993"/>
    <x v="0"/>
    <n v="2024"/>
  </r>
  <r>
    <s v="TXN03931"/>
    <x v="7"/>
    <x v="2"/>
    <x v="22"/>
    <x v="4"/>
    <d v="2025-04-28T00:00:00"/>
    <x v="0"/>
    <n v="811.48"/>
    <n v="20"/>
    <x v="1"/>
    <n v="486.89"/>
    <x v="3929"/>
    <n v="1947.55"/>
    <x v="1"/>
    <n v="2025"/>
  </r>
  <r>
    <s v="TXN03932"/>
    <x v="9"/>
    <x v="4"/>
    <x v="17"/>
    <x v="0"/>
    <d v="2025-07-11T00:00:00"/>
    <x v="2"/>
    <n v="3371.71"/>
    <n v="0"/>
    <x v="3"/>
    <n v="0"/>
    <x v="3930"/>
    <n v="26973.68"/>
    <x v="11"/>
    <n v="2025"/>
  </r>
  <r>
    <s v="TXN03933"/>
    <x v="11"/>
    <x v="4"/>
    <x v="18"/>
    <x v="6"/>
    <d v="2024-08-02T00:00:00"/>
    <x v="4"/>
    <n v="11778.74"/>
    <n v="5"/>
    <x v="2"/>
    <n v="4122.5600000000004"/>
    <x v="3931"/>
    <n v="78328.62"/>
    <x v="0"/>
    <n v="2024"/>
  </r>
  <r>
    <s v="TXN03934"/>
    <x v="3"/>
    <x v="2"/>
    <x v="22"/>
    <x v="0"/>
    <d v="2025-12-01T00:00:00"/>
    <x v="8"/>
    <n v="895.53"/>
    <n v="10"/>
    <x v="7"/>
    <n v="89.55"/>
    <x v="3932"/>
    <n v="805.98"/>
    <x v="3"/>
    <n v="2025"/>
  </r>
  <r>
    <s v="TXN03935"/>
    <x v="9"/>
    <x v="0"/>
    <x v="0"/>
    <x v="1"/>
    <d v="2025-12-06T00:00:00"/>
    <x v="6"/>
    <n v="78088.429999999993"/>
    <n v="5"/>
    <x v="4"/>
    <n v="35139.79"/>
    <x v="3933"/>
    <n v="667656.07999999996"/>
    <x v="3"/>
    <n v="2025"/>
  </r>
  <r>
    <s v="TXN03936"/>
    <x v="14"/>
    <x v="1"/>
    <x v="2"/>
    <x v="4"/>
    <d v="2025-12-07T00:00:00"/>
    <x v="8"/>
    <n v="24838.45"/>
    <n v="15"/>
    <x v="0"/>
    <n v="3725.77"/>
    <x v="3934"/>
    <n v="21112.68"/>
    <x v="3"/>
    <n v="2025"/>
  </r>
  <r>
    <s v="TXN03937"/>
    <x v="7"/>
    <x v="0"/>
    <x v="24"/>
    <x v="4"/>
    <d v="2024-11-25T00:00:00"/>
    <x v="8"/>
    <n v="7225.57"/>
    <n v="20"/>
    <x v="0"/>
    <n v="1445.11"/>
    <x v="3935"/>
    <n v="5780.46"/>
    <x v="8"/>
    <n v="2024"/>
  </r>
  <r>
    <s v="TXN03938"/>
    <x v="0"/>
    <x v="1"/>
    <x v="12"/>
    <x v="4"/>
    <d v="2025-11-30T00:00:00"/>
    <x v="0"/>
    <n v="7387.31"/>
    <n v="10"/>
    <x v="4"/>
    <n v="2216.19"/>
    <x v="3936"/>
    <n v="19945.740000000002"/>
    <x v="8"/>
    <n v="2025"/>
  </r>
  <r>
    <s v="TXN03939"/>
    <x v="3"/>
    <x v="1"/>
    <x v="2"/>
    <x v="3"/>
    <d v="2025-08-11T00:00:00"/>
    <x v="5"/>
    <n v="28628.82"/>
    <n v="20"/>
    <x v="0"/>
    <n v="11451.53"/>
    <x v="3937"/>
    <n v="45806.11"/>
    <x v="0"/>
    <n v="2025"/>
  </r>
  <r>
    <s v="TXN03940"/>
    <x v="13"/>
    <x v="1"/>
    <x v="8"/>
    <x v="3"/>
    <d v="2025-03-01T00:00:00"/>
    <x v="4"/>
    <n v="38211.14"/>
    <n v="15"/>
    <x v="7"/>
    <n v="40121.699999999997"/>
    <x v="3938"/>
    <n v="227356.28"/>
    <x v="6"/>
    <n v="2025"/>
  </r>
  <r>
    <s v="TXN03941"/>
    <x v="1"/>
    <x v="4"/>
    <x v="14"/>
    <x v="3"/>
    <d v="2025-11-23T00:00:00"/>
    <x v="7"/>
    <n v="1488.82"/>
    <n v="5"/>
    <x v="6"/>
    <n v="372.21"/>
    <x v="3939"/>
    <n v="7071.89"/>
    <x v="8"/>
    <n v="2025"/>
  </r>
  <r>
    <s v="TXN03942"/>
    <x v="3"/>
    <x v="0"/>
    <x v="3"/>
    <x v="0"/>
    <d v="2024-03-06T00:00:00"/>
    <x v="8"/>
    <n v="17952.91"/>
    <n v="15"/>
    <x v="4"/>
    <n v="2692.94"/>
    <x v="3940"/>
    <n v="15259.97"/>
    <x v="6"/>
    <n v="2024"/>
  </r>
  <r>
    <s v="TXN03943"/>
    <x v="12"/>
    <x v="4"/>
    <x v="19"/>
    <x v="5"/>
    <d v="2024-02-01T00:00:00"/>
    <x v="6"/>
    <n v="7774.79"/>
    <n v="10"/>
    <x v="1"/>
    <n v="6997.31"/>
    <x v="3941"/>
    <n v="62975.8"/>
    <x v="2"/>
    <n v="2024"/>
  </r>
  <r>
    <s v="TXN03944"/>
    <x v="6"/>
    <x v="2"/>
    <x v="10"/>
    <x v="0"/>
    <d v="2025-05-16T00:00:00"/>
    <x v="4"/>
    <n v="2437.08"/>
    <n v="20"/>
    <x v="7"/>
    <n v="3411.91"/>
    <x v="3942"/>
    <n v="13647.65"/>
    <x v="9"/>
    <n v="2025"/>
  </r>
  <r>
    <s v="TXN03945"/>
    <x v="9"/>
    <x v="4"/>
    <x v="18"/>
    <x v="1"/>
    <d v="2024-10-29T00:00:00"/>
    <x v="5"/>
    <n v="12272.75"/>
    <n v="0"/>
    <x v="3"/>
    <n v="0"/>
    <x v="3943"/>
    <n v="24545.5"/>
    <x v="4"/>
    <n v="2024"/>
  </r>
  <r>
    <s v="TXN03946"/>
    <x v="8"/>
    <x v="3"/>
    <x v="15"/>
    <x v="6"/>
    <d v="2025-09-22T00:00:00"/>
    <x v="9"/>
    <n v="915.64"/>
    <n v="15"/>
    <x v="2"/>
    <n v="1373.46"/>
    <x v="3944"/>
    <n v="7782.94"/>
    <x v="7"/>
    <n v="2025"/>
  </r>
  <r>
    <s v="TXN03947"/>
    <x v="6"/>
    <x v="0"/>
    <x v="6"/>
    <x v="0"/>
    <d v="2025-12-26T00:00:00"/>
    <x v="3"/>
    <n v="27310.79"/>
    <n v="5"/>
    <x v="3"/>
    <n v="8193.24"/>
    <x v="3945"/>
    <n v="155671.5"/>
    <x v="3"/>
    <n v="2025"/>
  </r>
  <r>
    <s v="TXN03948"/>
    <x v="8"/>
    <x v="1"/>
    <x v="13"/>
    <x v="3"/>
    <d v="2024-11-28T00:00:00"/>
    <x v="6"/>
    <n v="14643.6"/>
    <n v="5"/>
    <x v="1"/>
    <n v="6589.62"/>
    <x v="3946"/>
    <n v="125202.78"/>
    <x v="8"/>
    <n v="2024"/>
  </r>
  <r>
    <s v="TXN03949"/>
    <x v="8"/>
    <x v="4"/>
    <x v="23"/>
    <x v="0"/>
    <d v="2024-12-24T00:00:00"/>
    <x v="7"/>
    <n v="11935.47"/>
    <n v="10"/>
    <x v="0"/>
    <n v="5967.74"/>
    <x v="3947"/>
    <n v="53709.61"/>
    <x v="3"/>
    <n v="2024"/>
  </r>
  <r>
    <s v="TXN03950"/>
    <x v="7"/>
    <x v="4"/>
    <x v="23"/>
    <x v="0"/>
    <d v="2025-09-02T00:00:00"/>
    <x v="3"/>
    <n v="9116.81"/>
    <n v="0"/>
    <x v="0"/>
    <n v="0"/>
    <x v="3948"/>
    <n v="54700.86"/>
    <x v="7"/>
    <n v="2025"/>
  </r>
  <r>
    <s v="TXN03951"/>
    <x v="14"/>
    <x v="0"/>
    <x v="0"/>
    <x v="0"/>
    <d v="2024-11-28T00:00:00"/>
    <x v="3"/>
    <n v="73404.44"/>
    <n v="15"/>
    <x v="3"/>
    <n v="66064"/>
    <x v="3949"/>
    <n v="374362.64"/>
    <x v="8"/>
    <n v="2024"/>
  </r>
  <r>
    <s v="TXN03952"/>
    <x v="11"/>
    <x v="1"/>
    <x v="2"/>
    <x v="2"/>
    <d v="2025-02-15T00:00:00"/>
    <x v="8"/>
    <n v="23881.56"/>
    <n v="15"/>
    <x v="3"/>
    <n v="3582.23"/>
    <x v="3950"/>
    <n v="20299.330000000002"/>
    <x v="2"/>
    <n v="2025"/>
  </r>
  <r>
    <s v="TXN03953"/>
    <x v="12"/>
    <x v="3"/>
    <x v="21"/>
    <x v="1"/>
    <d v="2024-01-21T00:00:00"/>
    <x v="7"/>
    <n v="2817.8"/>
    <n v="10"/>
    <x v="0"/>
    <n v="1408.9"/>
    <x v="3951"/>
    <n v="12680.1"/>
    <x v="10"/>
    <n v="2024"/>
  </r>
  <r>
    <s v="TXN03954"/>
    <x v="13"/>
    <x v="2"/>
    <x v="11"/>
    <x v="2"/>
    <d v="2024-04-30T00:00:00"/>
    <x v="6"/>
    <n v="5039.71"/>
    <n v="10"/>
    <x v="6"/>
    <n v="4535.74"/>
    <x v="3952"/>
    <n v="40821.65"/>
    <x v="1"/>
    <n v="2024"/>
  </r>
  <r>
    <s v="TXN03955"/>
    <x v="12"/>
    <x v="1"/>
    <x v="13"/>
    <x v="4"/>
    <d v="2025-12-20T00:00:00"/>
    <x v="3"/>
    <n v="15046.76"/>
    <n v="10"/>
    <x v="5"/>
    <n v="9028.06"/>
    <x v="3953"/>
    <n v="81252.5"/>
    <x v="3"/>
    <n v="2025"/>
  </r>
  <r>
    <s v="TXN03956"/>
    <x v="14"/>
    <x v="3"/>
    <x v="21"/>
    <x v="4"/>
    <d v="2024-11-29T00:00:00"/>
    <x v="3"/>
    <n v="2862.43"/>
    <n v="15"/>
    <x v="1"/>
    <n v="2576.19"/>
    <x v="3954"/>
    <n v="14598.39"/>
    <x v="8"/>
    <n v="2024"/>
  </r>
  <r>
    <s v="TXN03957"/>
    <x v="11"/>
    <x v="3"/>
    <x v="16"/>
    <x v="6"/>
    <d v="2024-04-19T00:00:00"/>
    <x v="1"/>
    <n v="1644.47"/>
    <n v="20"/>
    <x v="7"/>
    <n v="1315.58"/>
    <x v="3955"/>
    <n v="5262.3"/>
    <x v="1"/>
    <n v="2024"/>
  </r>
  <r>
    <s v="TXN03958"/>
    <x v="13"/>
    <x v="2"/>
    <x v="5"/>
    <x v="2"/>
    <d v="2024-12-05T00:00:00"/>
    <x v="2"/>
    <n v="1323.85"/>
    <n v="5"/>
    <x v="4"/>
    <n v="529.54"/>
    <x v="3956"/>
    <n v="10061.26"/>
    <x v="3"/>
    <n v="2024"/>
  </r>
  <r>
    <s v="TXN03959"/>
    <x v="3"/>
    <x v="4"/>
    <x v="19"/>
    <x v="3"/>
    <d v="2024-03-30T00:00:00"/>
    <x v="4"/>
    <n v="7201.12"/>
    <n v="20"/>
    <x v="7"/>
    <n v="10081.57"/>
    <x v="3957"/>
    <n v="40326.269999999997"/>
    <x v="6"/>
    <n v="2024"/>
  </r>
  <r>
    <s v="TXN03960"/>
    <x v="12"/>
    <x v="3"/>
    <x v="21"/>
    <x v="5"/>
    <d v="2024-04-21T00:00:00"/>
    <x v="3"/>
    <n v="2662.06"/>
    <n v="5"/>
    <x v="1"/>
    <n v="798.62"/>
    <x v="3958"/>
    <n v="15173.74"/>
    <x v="1"/>
    <n v="2024"/>
  </r>
  <r>
    <s v="TXN03961"/>
    <x v="10"/>
    <x v="1"/>
    <x v="12"/>
    <x v="4"/>
    <d v="2025-01-23T00:00:00"/>
    <x v="6"/>
    <n v="6292.67"/>
    <n v="15"/>
    <x v="0"/>
    <n v="8495.1"/>
    <x v="3959"/>
    <n v="48138.93"/>
    <x v="10"/>
    <n v="2025"/>
  </r>
  <r>
    <s v="TXN03962"/>
    <x v="14"/>
    <x v="0"/>
    <x v="0"/>
    <x v="6"/>
    <d v="2024-10-05T00:00:00"/>
    <x v="2"/>
    <n v="72083.14"/>
    <n v="0"/>
    <x v="0"/>
    <n v="0"/>
    <x v="3960"/>
    <n v="576665.12"/>
    <x v="4"/>
    <n v="2024"/>
  </r>
  <r>
    <s v="TXN03963"/>
    <x v="8"/>
    <x v="1"/>
    <x v="8"/>
    <x v="6"/>
    <d v="2024-01-08T00:00:00"/>
    <x v="2"/>
    <n v="38807.629999999997"/>
    <n v="0"/>
    <x v="0"/>
    <n v="0"/>
    <x v="3961"/>
    <n v="310461.03999999998"/>
    <x v="10"/>
    <n v="2024"/>
  </r>
  <r>
    <s v="TXN03964"/>
    <x v="0"/>
    <x v="0"/>
    <x v="6"/>
    <x v="3"/>
    <d v="2025-08-14T00:00:00"/>
    <x v="9"/>
    <n v="23291.54"/>
    <n v="0"/>
    <x v="6"/>
    <n v="0"/>
    <x v="3962"/>
    <n v="232915.4"/>
    <x v="0"/>
    <n v="2025"/>
  </r>
  <r>
    <s v="TXN03965"/>
    <x v="14"/>
    <x v="3"/>
    <x v="16"/>
    <x v="1"/>
    <d v="2024-08-04T00:00:00"/>
    <x v="6"/>
    <n v="1603.78"/>
    <n v="20"/>
    <x v="0"/>
    <n v="2886.8"/>
    <x v="3963"/>
    <n v="11547.22"/>
    <x v="0"/>
    <n v="2024"/>
  </r>
  <r>
    <s v="TXN03966"/>
    <x v="14"/>
    <x v="2"/>
    <x v="22"/>
    <x v="3"/>
    <d v="2025-06-09T00:00:00"/>
    <x v="3"/>
    <n v="975.12"/>
    <n v="20"/>
    <x v="3"/>
    <n v="1170.1400000000001"/>
    <x v="3964"/>
    <n v="4680.58"/>
    <x v="5"/>
    <n v="2025"/>
  </r>
  <r>
    <s v="TXN03967"/>
    <x v="1"/>
    <x v="2"/>
    <x v="11"/>
    <x v="6"/>
    <d v="2025-07-13T00:00:00"/>
    <x v="7"/>
    <n v="5469.93"/>
    <n v="20"/>
    <x v="7"/>
    <n v="5469.93"/>
    <x v="3965"/>
    <n v="21879.72"/>
    <x v="11"/>
    <n v="2025"/>
  </r>
  <r>
    <s v="TXN03968"/>
    <x v="0"/>
    <x v="4"/>
    <x v="23"/>
    <x v="4"/>
    <d v="2025-12-29T00:00:00"/>
    <x v="9"/>
    <n v="9923.52"/>
    <n v="0"/>
    <x v="1"/>
    <n v="0"/>
    <x v="3966"/>
    <n v="99235.199999999997"/>
    <x v="3"/>
    <n v="2025"/>
  </r>
  <r>
    <s v="TXN03969"/>
    <x v="11"/>
    <x v="4"/>
    <x v="18"/>
    <x v="6"/>
    <d v="2025-09-22T00:00:00"/>
    <x v="9"/>
    <n v="13740.65"/>
    <n v="10"/>
    <x v="4"/>
    <n v="13740.65"/>
    <x v="3967"/>
    <n v="123665.85"/>
    <x v="7"/>
    <n v="2025"/>
  </r>
  <r>
    <s v="TXN03970"/>
    <x v="11"/>
    <x v="3"/>
    <x v="20"/>
    <x v="2"/>
    <d v="2024-11-13T00:00:00"/>
    <x v="7"/>
    <n v="3571.18"/>
    <n v="0"/>
    <x v="4"/>
    <n v="0"/>
    <x v="3968"/>
    <n v="17855.900000000001"/>
    <x v="8"/>
    <n v="2024"/>
  </r>
  <r>
    <s v="TXN03971"/>
    <x v="12"/>
    <x v="4"/>
    <x v="23"/>
    <x v="3"/>
    <d v="2025-03-12T00:00:00"/>
    <x v="0"/>
    <n v="9964"/>
    <n v="10"/>
    <x v="3"/>
    <n v="2989.2"/>
    <x v="3969"/>
    <n v="26902.799999999999"/>
    <x v="6"/>
    <n v="2025"/>
  </r>
  <r>
    <s v="TXN03972"/>
    <x v="5"/>
    <x v="3"/>
    <x v="7"/>
    <x v="3"/>
    <d v="2024-12-29T00:00:00"/>
    <x v="9"/>
    <n v="1836.02"/>
    <n v="15"/>
    <x v="6"/>
    <n v="2754.03"/>
    <x v="3970"/>
    <n v="15606.17"/>
    <x v="3"/>
    <n v="2024"/>
  </r>
  <r>
    <s v="TXN03973"/>
    <x v="2"/>
    <x v="0"/>
    <x v="3"/>
    <x v="0"/>
    <d v="2025-09-17T00:00:00"/>
    <x v="6"/>
    <n v="17682.25"/>
    <n v="20"/>
    <x v="0"/>
    <n v="31828.05"/>
    <x v="3971"/>
    <n v="127312.2"/>
    <x v="7"/>
    <n v="2025"/>
  </r>
  <r>
    <s v="TXN03974"/>
    <x v="10"/>
    <x v="0"/>
    <x v="24"/>
    <x v="6"/>
    <d v="2025-01-07T00:00:00"/>
    <x v="6"/>
    <n v="7796.38"/>
    <n v="15"/>
    <x v="2"/>
    <n v="10525.11"/>
    <x v="3972"/>
    <n v="59642.31"/>
    <x v="10"/>
    <n v="2025"/>
  </r>
  <r>
    <s v="TXN03975"/>
    <x v="14"/>
    <x v="2"/>
    <x v="5"/>
    <x v="2"/>
    <d v="2024-12-03T00:00:00"/>
    <x v="4"/>
    <n v="1407.78"/>
    <n v="20"/>
    <x v="6"/>
    <n v="1970.89"/>
    <x v="3973"/>
    <n v="7883.57"/>
    <x v="3"/>
    <n v="2024"/>
  </r>
  <r>
    <s v="TXN03976"/>
    <x v="11"/>
    <x v="0"/>
    <x v="24"/>
    <x v="6"/>
    <d v="2024-08-11T00:00:00"/>
    <x v="7"/>
    <n v="7485.08"/>
    <n v="15"/>
    <x v="4"/>
    <n v="5613.81"/>
    <x v="3974"/>
    <n v="31811.59"/>
    <x v="0"/>
    <n v="2024"/>
  </r>
  <r>
    <s v="TXN03977"/>
    <x v="11"/>
    <x v="1"/>
    <x v="12"/>
    <x v="2"/>
    <d v="2025-12-04T00:00:00"/>
    <x v="2"/>
    <n v="6708.39"/>
    <n v="15"/>
    <x v="7"/>
    <n v="8050.07"/>
    <x v="3975"/>
    <n v="45617.05"/>
    <x v="3"/>
    <n v="2025"/>
  </r>
  <r>
    <s v="TXN03978"/>
    <x v="3"/>
    <x v="0"/>
    <x v="6"/>
    <x v="2"/>
    <d v="2025-10-19T00:00:00"/>
    <x v="8"/>
    <n v="28132.02"/>
    <n v="20"/>
    <x v="1"/>
    <n v="5626.4"/>
    <x v="3976"/>
    <n v="22505.62"/>
    <x v="4"/>
    <n v="2025"/>
  </r>
  <r>
    <s v="TXN03979"/>
    <x v="12"/>
    <x v="1"/>
    <x v="2"/>
    <x v="4"/>
    <d v="2024-07-14T00:00:00"/>
    <x v="1"/>
    <n v="26971.85"/>
    <n v="20"/>
    <x v="3"/>
    <n v="21577.48"/>
    <x v="3977"/>
    <n v="86309.92"/>
    <x v="11"/>
    <n v="2024"/>
  </r>
  <r>
    <s v="TXN03980"/>
    <x v="13"/>
    <x v="3"/>
    <x v="20"/>
    <x v="4"/>
    <d v="2025-02-22T00:00:00"/>
    <x v="9"/>
    <n v="3664.39"/>
    <n v="10"/>
    <x v="0"/>
    <n v="3664.39"/>
    <x v="3978"/>
    <n v="32979.51"/>
    <x v="2"/>
    <n v="2025"/>
  </r>
  <r>
    <s v="TXN03981"/>
    <x v="3"/>
    <x v="1"/>
    <x v="8"/>
    <x v="2"/>
    <d v="2024-07-10T00:00:00"/>
    <x v="1"/>
    <n v="36869.980000000003"/>
    <n v="5"/>
    <x v="1"/>
    <n v="7374"/>
    <x v="3979"/>
    <n v="140105.92000000001"/>
    <x v="11"/>
    <n v="2024"/>
  </r>
  <r>
    <s v="TXN03982"/>
    <x v="2"/>
    <x v="4"/>
    <x v="19"/>
    <x v="4"/>
    <d v="2024-08-31T00:00:00"/>
    <x v="3"/>
    <n v="8588.7099999999991"/>
    <n v="10"/>
    <x v="6"/>
    <n v="5153.2299999999996"/>
    <x v="3980"/>
    <n v="46379.03"/>
    <x v="0"/>
    <n v="2024"/>
  </r>
  <r>
    <s v="TXN03983"/>
    <x v="12"/>
    <x v="0"/>
    <x v="3"/>
    <x v="5"/>
    <d v="2024-09-25T00:00:00"/>
    <x v="9"/>
    <n v="19304.87"/>
    <n v="5"/>
    <x v="3"/>
    <n v="9652.44"/>
    <x v="3981"/>
    <n v="183396.26"/>
    <x v="7"/>
    <n v="2024"/>
  </r>
  <r>
    <s v="TXN03984"/>
    <x v="2"/>
    <x v="1"/>
    <x v="13"/>
    <x v="0"/>
    <d v="2025-05-13T00:00:00"/>
    <x v="5"/>
    <n v="11676.06"/>
    <n v="20"/>
    <x v="6"/>
    <n v="4670.42"/>
    <x v="3982"/>
    <n v="18681.7"/>
    <x v="9"/>
    <n v="2025"/>
  </r>
  <r>
    <s v="TXN03985"/>
    <x v="12"/>
    <x v="3"/>
    <x v="15"/>
    <x v="4"/>
    <d v="2024-11-17T00:00:00"/>
    <x v="3"/>
    <n v="867.83"/>
    <n v="15"/>
    <x v="5"/>
    <n v="781.05"/>
    <x v="3983"/>
    <n v="4425.93"/>
    <x v="8"/>
    <n v="2024"/>
  </r>
  <r>
    <s v="TXN03986"/>
    <x v="13"/>
    <x v="0"/>
    <x v="6"/>
    <x v="1"/>
    <d v="2024-04-26T00:00:00"/>
    <x v="2"/>
    <n v="24071.73"/>
    <n v="5"/>
    <x v="2"/>
    <n v="9628.69"/>
    <x v="3984"/>
    <n v="182945.15"/>
    <x v="1"/>
    <n v="2024"/>
  </r>
  <r>
    <s v="TXN03987"/>
    <x v="5"/>
    <x v="4"/>
    <x v="19"/>
    <x v="3"/>
    <d v="2025-07-31T00:00:00"/>
    <x v="7"/>
    <n v="8798.64"/>
    <n v="15"/>
    <x v="5"/>
    <n v="6598.98"/>
    <x v="3985"/>
    <n v="37394.22"/>
    <x v="11"/>
    <n v="2025"/>
  </r>
  <r>
    <s v="TXN03988"/>
    <x v="6"/>
    <x v="0"/>
    <x v="6"/>
    <x v="6"/>
    <d v="2025-11-09T00:00:00"/>
    <x v="9"/>
    <n v="25391.05"/>
    <n v="5"/>
    <x v="0"/>
    <n v="12695.53"/>
    <x v="3986"/>
    <n v="241214.97"/>
    <x v="8"/>
    <n v="2025"/>
  </r>
  <r>
    <s v="TXN03989"/>
    <x v="4"/>
    <x v="4"/>
    <x v="17"/>
    <x v="5"/>
    <d v="2024-01-31T00:00:00"/>
    <x v="2"/>
    <n v="3793.08"/>
    <n v="0"/>
    <x v="5"/>
    <n v="0"/>
    <x v="3987"/>
    <n v="30344.639999999999"/>
    <x v="10"/>
    <n v="2024"/>
  </r>
  <r>
    <s v="TXN03990"/>
    <x v="4"/>
    <x v="1"/>
    <x v="13"/>
    <x v="4"/>
    <d v="2025-11-02T00:00:00"/>
    <x v="8"/>
    <n v="13083.44"/>
    <n v="10"/>
    <x v="0"/>
    <n v="1308.3399999999999"/>
    <x v="3988"/>
    <n v="11775.1"/>
    <x v="8"/>
    <n v="2025"/>
  </r>
  <r>
    <s v="TXN03991"/>
    <x v="9"/>
    <x v="3"/>
    <x v="16"/>
    <x v="2"/>
    <d v="2024-09-11T00:00:00"/>
    <x v="8"/>
    <n v="1701.3"/>
    <n v="10"/>
    <x v="5"/>
    <n v="170.13"/>
    <x v="3989"/>
    <n v="1531.17"/>
    <x v="7"/>
    <n v="2024"/>
  </r>
  <r>
    <s v="TXN03992"/>
    <x v="10"/>
    <x v="3"/>
    <x v="20"/>
    <x v="0"/>
    <d v="2024-02-22T00:00:00"/>
    <x v="0"/>
    <n v="3998.33"/>
    <n v="5"/>
    <x v="5"/>
    <n v="599.75"/>
    <x v="3990"/>
    <n v="11395.24"/>
    <x v="2"/>
    <n v="2024"/>
  </r>
  <r>
    <s v="TXN03993"/>
    <x v="13"/>
    <x v="3"/>
    <x v="16"/>
    <x v="5"/>
    <d v="2025-05-13T00:00:00"/>
    <x v="6"/>
    <n v="1577.14"/>
    <n v="10"/>
    <x v="6"/>
    <n v="1419.43"/>
    <x v="3991"/>
    <n v="12774.83"/>
    <x v="9"/>
    <n v="2025"/>
  </r>
  <r>
    <s v="TXN03994"/>
    <x v="8"/>
    <x v="1"/>
    <x v="13"/>
    <x v="4"/>
    <d v="2025-02-23T00:00:00"/>
    <x v="1"/>
    <n v="12529.68"/>
    <n v="20"/>
    <x v="6"/>
    <n v="10023.74"/>
    <x v="3992"/>
    <n v="40094.980000000003"/>
    <x v="2"/>
    <n v="2025"/>
  </r>
  <r>
    <s v="TXN03995"/>
    <x v="8"/>
    <x v="0"/>
    <x v="3"/>
    <x v="3"/>
    <d v="2024-02-06T00:00:00"/>
    <x v="8"/>
    <n v="18537.97"/>
    <n v="5"/>
    <x v="2"/>
    <n v="926.9"/>
    <x v="3993"/>
    <n v="17611.07"/>
    <x v="2"/>
    <n v="2024"/>
  </r>
  <r>
    <s v="TXN03996"/>
    <x v="1"/>
    <x v="4"/>
    <x v="14"/>
    <x v="2"/>
    <d v="2025-03-10T00:00:00"/>
    <x v="9"/>
    <n v="1356.51"/>
    <n v="5"/>
    <x v="3"/>
    <n v="678.26"/>
    <x v="3994"/>
    <n v="12886.84"/>
    <x v="6"/>
    <n v="2025"/>
  </r>
  <r>
    <s v="TXN03997"/>
    <x v="12"/>
    <x v="1"/>
    <x v="12"/>
    <x v="5"/>
    <d v="2024-12-11T00:00:00"/>
    <x v="8"/>
    <n v="6600.68"/>
    <n v="15"/>
    <x v="5"/>
    <n v="990.1"/>
    <x v="3995"/>
    <n v="5610.58"/>
    <x v="3"/>
    <n v="2024"/>
  </r>
  <r>
    <s v="TXN03998"/>
    <x v="1"/>
    <x v="2"/>
    <x v="10"/>
    <x v="2"/>
    <d v="2024-01-25T00:00:00"/>
    <x v="5"/>
    <n v="2847.62"/>
    <n v="0"/>
    <x v="6"/>
    <n v="0"/>
    <x v="3996"/>
    <n v="5695.24"/>
    <x v="10"/>
    <n v="2024"/>
  </r>
  <r>
    <s v="TXN03999"/>
    <x v="13"/>
    <x v="1"/>
    <x v="12"/>
    <x v="4"/>
    <d v="2024-09-15T00:00:00"/>
    <x v="7"/>
    <n v="6317.4"/>
    <n v="15"/>
    <x v="0"/>
    <n v="4738.05"/>
    <x v="3997"/>
    <n v="26848.95"/>
    <x v="7"/>
    <n v="2024"/>
  </r>
  <r>
    <s v="TXN04000"/>
    <x v="11"/>
    <x v="4"/>
    <x v="14"/>
    <x v="4"/>
    <d v="2025-01-26T00:00:00"/>
    <x v="0"/>
    <n v="1623.04"/>
    <n v="20"/>
    <x v="7"/>
    <n v="973.82"/>
    <x v="3998"/>
    <n v="3895.3"/>
    <x v="10"/>
    <n v="20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14494137.849999992"/>
    <x v="0"/>
    <n v="57516.420039682511"/>
  </r>
  <r>
    <x v="1"/>
    <n v="12869930.759999992"/>
    <x v="1"/>
    <n v="47666.410222222192"/>
  </r>
  <r>
    <x v="2"/>
    <n v="15401274.000000002"/>
    <x v="2"/>
    <n v="58783.488549618327"/>
  </r>
  <r>
    <x v="3"/>
    <n v="16923734.399999984"/>
    <x v="3"/>
    <n v="63148.262686567105"/>
  </r>
  <r>
    <x v="4"/>
    <n v="17732962.829999998"/>
    <x v="4"/>
    <n v="58524.629801980191"/>
  </r>
  <r>
    <x v="5"/>
    <n v="13926389.139999999"/>
    <x v="5"/>
    <n v="55483.622071713144"/>
  </r>
  <r>
    <x v="6"/>
    <n v="14017348.329999996"/>
    <x v="6"/>
    <n v="54755.266914062486"/>
  </r>
  <r>
    <x v="7"/>
    <n v="13836491.34999999"/>
    <x v="7"/>
    <n v="53217.274423076888"/>
  </r>
  <r>
    <x v="8"/>
    <n v="15144810.180000013"/>
    <x v="8"/>
    <n v="51865.788287671276"/>
  </r>
  <r>
    <x v="9"/>
    <n v="14843663.10999999"/>
    <x v="9"/>
    <n v="53203.093584229355"/>
  </r>
  <r>
    <x v="10"/>
    <n v="13995994.169999998"/>
    <x v="10"/>
    <n v="58316.642374999989"/>
  </r>
  <r>
    <x v="11"/>
    <n v="14251952.600000003"/>
    <x v="2"/>
    <n v="54396.765648854976"/>
  </r>
  <r>
    <x v="12"/>
    <n v="15578120.989999998"/>
    <x v="11"/>
    <n v="56854.456167883203"/>
  </r>
  <r>
    <x v="13"/>
    <n v="14221409.729999991"/>
    <x v="12"/>
    <n v="54073.80125475282"/>
  </r>
  <r>
    <x v="14"/>
    <n v="16077728.430000009"/>
    <x v="3"/>
    <n v="59991.5239925373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880190-0B83-4A63-BC0F-2AF87D6F6751}" name="PivotTable1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3" rowHeaderCaption="Customer Name">
  <location ref="BM4:BN14" firstHeaderRow="1" firstDataRow="1" firstDataCol="1"/>
  <pivotFields count="20">
    <pivotField showAll="0"/>
    <pivotField axis="axisRow" showAll="0" measureFilter="1" sortType="ascending">
      <items count="16">
        <item x="13"/>
        <item x="8"/>
        <item x="11"/>
        <item x="5"/>
        <item x="12"/>
        <item x="10"/>
        <item x="2"/>
        <item x="0"/>
        <item x="6"/>
        <item x="7"/>
        <item x="9"/>
        <item x="4"/>
        <item x="3"/>
        <item x="1"/>
        <item x="14"/>
        <item t="default"/>
      </items>
      <autoSortScope>
        <pivotArea dataOnly="0" outline="0" fieldPosition="0">
          <references count="1">
            <reference field="4294967294" count="1" selected="0">
              <x v="0"/>
            </reference>
          </references>
        </pivotArea>
      </autoSortScope>
    </pivotField>
    <pivotField showAll="0">
      <items count="6">
        <item x="3"/>
        <item x="0"/>
        <item x="1"/>
        <item x="4"/>
        <item x="2"/>
        <item t="default"/>
      </items>
    </pivotField>
    <pivotField showAll="0" sortType="descending">
      <items count="26">
        <item x="22"/>
        <item x="23"/>
        <item x="15"/>
        <item x="11"/>
        <item x="3"/>
        <item x="8"/>
        <item x="24"/>
        <item x="6"/>
        <item x="21"/>
        <item x="12"/>
        <item x="17"/>
        <item x="18"/>
        <item x="0"/>
        <item x="16"/>
        <item x="7"/>
        <item x="20"/>
        <item x="14"/>
        <item x="1"/>
        <item x="5"/>
        <item x="9"/>
        <item x="2"/>
        <item x="13"/>
        <item x="10"/>
        <item x="4"/>
        <item x="19"/>
        <item t="default"/>
      </items>
    </pivotField>
    <pivotField showAll="0">
      <items count="8">
        <item x="0"/>
        <item x="2"/>
        <item x="1"/>
        <item x="5"/>
        <item x="3"/>
        <item x="4"/>
        <item x="6"/>
        <item t="default"/>
      </items>
    </pivotField>
    <pivotField numFmtId="14" showAll="0"/>
    <pivotField showAll="0"/>
    <pivotField showAll="0"/>
    <pivotField dataField="1" showAll="0"/>
    <pivotField showAll="0">
      <items count="9">
        <item x="1"/>
        <item x="4"/>
        <item x="3"/>
        <item x="6"/>
        <item x="5"/>
        <item x="7"/>
        <item x="0"/>
        <item x="2"/>
        <item t="default"/>
      </items>
    </pivotField>
    <pivotField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10">
    <i>
      <x v="2"/>
    </i>
    <i>
      <x v="8"/>
    </i>
    <i>
      <x v="14"/>
    </i>
    <i>
      <x v="7"/>
    </i>
    <i>
      <x v="3"/>
    </i>
    <i>
      <x v="4"/>
    </i>
    <i>
      <x v="13"/>
    </i>
    <i>
      <x v="9"/>
    </i>
    <i>
      <x/>
    </i>
    <i>
      <x v="1"/>
    </i>
  </rowItems>
  <colItems count="1">
    <i/>
  </colItems>
  <dataFields count="1">
    <dataField name="Average of Discount_%" fld="8" subtotal="average" baseField="1" baseItem="0" numFmtId="167"/>
  </dataFields>
  <formats count="2">
    <format dxfId="3">
      <pivotArea collapsedLevelsAreSubtotals="1" fieldPosition="0">
        <references count="1">
          <reference field="1" count="1">
            <x v="2"/>
          </reference>
        </references>
      </pivotArea>
    </format>
    <format dxfId="2">
      <pivotArea outline="0" collapsedLevelsAreSubtotals="1" fieldPosition="0"/>
    </format>
  </formats>
  <chartFormats count="2">
    <chartFormat chart="47"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97E0D3-08C0-4D11-8577-DAAC3AF00242}" name="PivotTable 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5" rowHeaderCaption="Product Name">
  <location ref="B3:B4" firstHeaderRow="1" firstDataRow="1" firstDataCol="0"/>
  <pivotFields count="20">
    <pivotField showAll="0"/>
    <pivotField showAll="0"/>
    <pivotField showAll="0">
      <items count="6">
        <item x="3"/>
        <item x="0"/>
        <item x="1"/>
        <item x="4"/>
        <item x="2"/>
        <item t="default"/>
      </items>
    </pivotField>
    <pivotField showAll="0" sortType="descending">
      <items count="26">
        <item x="22"/>
        <item x="23"/>
        <item x="15"/>
        <item x="11"/>
        <item x="3"/>
        <item x="8"/>
        <item x="24"/>
        <item x="6"/>
        <item x="21"/>
        <item x="12"/>
        <item x="17"/>
        <item x="18"/>
        <item x="0"/>
        <item x="16"/>
        <item x="7"/>
        <item x="20"/>
        <item x="14"/>
        <item x="1"/>
        <item x="5"/>
        <item x="9"/>
        <item x="2"/>
        <item x="13"/>
        <item x="10"/>
        <item x="4"/>
        <item x="19"/>
        <item t="default"/>
      </items>
    </pivotField>
    <pivotField showAll="0">
      <items count="8">
        <item x="0"/>
        <item x="2"/>
        <item x="1"/>
        <item x="5"/>
        <item x="3"/>
        <item x="4"/>
        <item x="6"/>
        <item t="default"/>
      </items>
    </pivotField>
    <pivotField numFmtId="14" showAll="0"/>
    <pivotField showAll="0"/>
    <pivotField showAll="0"/>
    <pivotField showAll="0"/>
    <pivotField showAll="0">
      <items count="9">
        <item x="1"/>
        <item x="4"/>
        <item x="3"/>
        <item x="6"/>
        <item x="5"/>
        <item x="7"/>
        <item x="0"/>
        <item x="2"/>
        <item t="default"/>
      </items>
    </pivotField>
    <pivotField showAll="0"/>
    <pivotField dataField="1"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Gross_Sale" fld="11" baseField="0" baseItem="0"/>
  </dataFields>
  <formats count="1">
    <format dxfId="4">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2C6ED8-BF64-4B2D-893C-1A1A2DE484C9}" name="PivotTable 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5" rowHeaderCaption="Product Name">
  <location ref="B7:B8" firstHeaderRow="1" firstDataRow="1" firstDataCol="0"/>
  <pivotFields count="20">
    <pivotField showAll="0"/>
    <pivotField showAll="0"/>
    <pivotField showAll="0">
      <items count="6">
        <item x="3"/>
        <item x="0"/>
        <item x="1"/>
        <item x="4"/>
        <item x="2"/>
        <item t="default"/>
      </items>
    </pivotField>
    <pivotField showAll="0" sortType="descending">
      <items count="26">
        <item x="22"/>
        <item x="23"/>
        <item x="15"/>
        <item x="11"/>
        <item x="3"/>
        <item x="8"/>
        <item x="24"/>
        <item x="6"/>
        <item x="21"/>
        <item x="12"/>
        <item x="17"/>
        <item x="18"/>
        <item x="0"/>
        <item x="16"/>
        <item x="7"/>
        <item x="20"/>
        <item x="14"/>
        <item x="1"/>
        <item x="5"/>
        <item x="9"/>
        <item x="2"/>
        <item x="13"/>
        <item x="10"/>
        <item x="4"/>
        <item x="19"/>
        <item t="default"/>
      </items>
    </pivotField>
    <pivotField showAll="0">
      <items count="8">
        <item x="0"/>
        <item x="2"/>
        <item x="1"/>
        <item x="5"/>
        <item x="3"/>
        <item x="4"/>
        <item x="6"/>
        <item t="default"/>
      </items>
    </pivotField>
    <pivotField numFmtId="14" showAll="0"/>
    <pivotField showAll="0"/>
    <pivotField showAll="0"/>
    <pivotField showAll="0"/>
    <pivotField showAll="0">
      <items count="9">
        <item x="1"/>
        <item x="4"/>
        <item x="3"/>
        <item x="6"/>
        <item x="5"/>
        <item x="7"/>
        <item x="0"/>
        <item x="2"/>
        <item t="default"/>
      </items>
    </pivotField>
    <pivotField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dataField="1"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Total_Sales" fld="12"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377EE5-BF42-4288-AB7D-DFC7AB8AE9C4}" name="PivotTable1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6" rowHeaderCaption="Customer Name">
  <location ref="BE3:BF13" firstHeaderRow="1" firstDataRow="1" firstDataCol="1"/>
  <pivotFields count="20">
    <pivotField showAll="0"/>
    <pivotField axis="axisRow" showAll="0" measureFilter="1" sortType="ascending">
      <items count="16">
        <item x="13"/>
        <item x="8"/>
        <item x="11"/>
        <item x="5"/>
        <item x="12"/>
        <item x="10"/>
        <item x="2"/>
        <item x="0"/>
        <item x="6"/>
        <item x="7"/>
        <item x="9"/>
        <item x="4"/>
        <item x="3"/>
        <item x="1"/>
        <item x="14"/>
        <item t="default"/>
      </items>
      <autoSortScope>
        <pivotArea dataOnly="0" outline="0" fieldPosition="0">
          <references count="1">
            <reference field="4294967294" count="1" selected="0">
              <x v="0"/>
            </reference>
          </references>
        </pivotArea>
      </autoSortScope>
    </pivotField>
    <pivotField showAll="0">
      <items count="6">
        <item x="3"/>
        <item x="0"/>
        <item x="1"/>
        <item x="4"/>
        <item x="2"/>
        <item t="default"/>
      </items>
    </pivotField>
    <pivotField showAll="0" sortType="descending">
      <items count="26">
        <item x="22"/>
        <item x="23"/>
        <item x="15"/>
        <item x="11"/>
        <item x="3"/>
        <item x="8"/>
        <item x="24"/>
        <item x="6"/>
        <item x="21"/>
        <item x="12"/>
        <item x="17"/>
        <item x="18"/>
        <item x="0"/>
        <item x="16"/>
        <item x="7"/>
        <item x="20"/>
        <item x="14"/>
        <item x="1"/>
        <item x="5"/>
        <item x="9"/>
        <item x="2"/>
        <item x="13"/>
        <item x="10"/>
        <item x="4"/>
        <item x="19"/>
        <item t="default"/>
      </items>
    </pivotField>
    <pivotField showAll="0">
      <items count="8">
        <item x="0"/>
        <item x="2"/>
        <item x="1"/>
        <item x="5"/>
        <item x="3"/>
        <item x="4"/>
        <item x="6"/>
        <item t="default"/>
      </items>
    </pivotField>
    <pivotField numFmtId="14" showAll="0"/>
    <pivotField showAll="0"/>
    <pivotField showAll="0"/>
    <pivotField showAll="0"/>
    <pivotField showAll="0">
      <items count="9">
        <item x="1"/>
        <item x="4"/>
        <item x="3"/>
        <item x="6"/>
        <item x="5"/>
        <item x="7"/>
        <item x="0"/>
        <item x="2"/>
        <item t="default"/>
      </items>
    </pivotField>
    <pivotField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dataField="1"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10">
    <i>
      <x v="13"/>
    </i>
    <i>
      <x v="11"/>
    </i>
    <i>
      <x/>
    </i>
    <i>
      <x v="9"/>
    </i>
    <i>
      <x v="8"/>
    </i>
    <i>
      <x v="2"/>
    </i>
    <i>
      <x v="12"/>
    </i>
    <i>
      <x v="14"/>
    </i>
    <i>
      <x v="3"/>
    </i>
    <i>
      <x v="4"/>
    </i>
  </rowItems>
  <colItems count="1">
    <i/>
  </colItems>
  <dataFields count="1">
    <dataField name="Sum of Total_Sales" fld="12" baseField="0" baseItem="0"/>
  </dataFields>
  <formats count="1">
    <format dxfId="6">
      <pivotArea outline="0" collapsedLevelsAreSubtotals="1" fieldPosition="0"/>
    </format>
  </formats>
  <chartFormats count="2">
    <chartFormat chart="52"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D6A237-A142-4F66-B38F-F8584E69605E}"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7" rowHeaderCaption="Sales Representative">
  <location ref="AV4:AW12" firstHeaderRow="1" firstDataRow="1" firstDataCol="1"/>
  <pivotFields count="20">
    <pivotField showAll="0"/>
    <pivotField showAll="0"/>
    <pivotField showAll="0">
      <items count="6">
        <item x="3"/>
        <item x="0"/>
        <item x="1"/>
        <item x="4"/>
        <item x="2"/>
        <item t="default"/>
      </items>
    </pivotField>
    <pivotField showAll="0" sortType="descending">
      <items count="26">
        <item x="22"/>
        <item x="23"/>
        <item x="15"/>
        <item x="11"/>
        <item x="3"/>
        <item x="8"/>
        <item x="24"/>
        <item x="6"/>
        <item x="21"/>
        <item x="12"/>
        <item x="17"/>
        <item x="18"/>
        <item x="0"/>
        <item x="16"/>
        <item x="7"/>
        <item x="20"/>
        <item x="14"/>
        <item x="1"/>
        <item x="5"/>
        <item x="9"/>
        <item x="2"/>
        <item x="13"/>
        <item x="10"/>
        <item x="4"/>
        <item x="19"/>
        <item t="default"/>
      </items>
    </pivotField>
    <pivotField showAll="0">
      <items count="8">
        <item x="0"/>
        <item x="2"/>
        <item x="1"/>
        <item x="5"/>
        <item x="3"/>
        <item x="4"/>
        <item x="6"/>
        <item t="default"/>
      </items>
    </pivotField>
    <pivotField numFmtId="14" showAll="0"/>
    <pivotField dataField="1" showAll="0"/>
    <pivotField showAll="0"/>
    <pivotField showAll="0"/>
    <pivotField axis="axisRow" showAll="0" measureFilter="1" sortType="descending">
      <items count="9">
        <item x="1"/>
        <item x="4"/>
        <item x="3"/>
        <item x="6"/>
        <item x="5"/>
        <item x="7"/>
        <item x="0"/>
        <item x="2"/>
        <item t="default"/>
      </items>
      <autoSortScope>
        <pivotArea dataOnly="0" outline="0" fieldPosition="0">
          <references count="1">
            <reference field="4294967294" count="1" selected="0">
              <x v="0"/>
            </reference>
          </references>
        </pivotArea>
      </autoSortScope>
    </pivotField>
    <pivotField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8">
    <i>
      <x v="7"/>
    </i>
    <i>
      <x v="5"/>
    </i>
    <i>
      <x v="2"/>
    </i>
    <i>
      <x v="4"/>
    </i>
    <i>
      <x v="6"/>
    </i>
    <i>
      <x/>
    </i>
    <i>
      <x v="3"/>
    </i>
    <i>
      <x v="1"/>
    </i>
  </rowItems>
  <colItems count="1">
    <i/>
  </colItems>
  <dataFields count="1">
    <dataField name="Sum of Units_Sold" fld="6" baseField="0" baseItem="0"/>
  </dataFields>
  <formats count="2">
    <format dxfId="8">
      <pivotArea outline="0" collapsedLevelsAreSubtotals="1" fieldPosition="0"/>
    </format>
    <format dxfId="7">
      <pivotArea collapsedLevelsAreSubtotals="1" fieldPosition="0">
        <references count="1">
          <reference field="9" count="0"/>
        </references>
      </pivotArea>
    </format>
  </formats>
  <chartFormats count="4">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BF26FD-1565-4262-BBA5-F9FA34066747}" name="PivotTable 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rowHeaderCaption="Sales Reprentative">
  <location ref="AS4:AT12" firstHeaderRow="1" firstDataRow="1" firstDataCol="1"/>
  <pivotFields count="20">
    <pivotField showAll="0"/>
    <pivotField showAll="0"/>
    <pivotField showAll="0">
      <items count="6">
        <item x="3"/>
        <item x="0"/>
        <item x="1"/>
        <item x="4"/>
        <item x="2"/>
        <item t="default"/>
      </items>
    </pivotField>
    <pivotField showAll="0" sortType="descending">
      <items count="26">
        <item x="22"/>
        <item x="23"/>
        <item x="15"/>
        <item x="11"/>
        <item x="3"/>
        <item x="8"/>
        <item x="24"/>
        <item x="6"/>
        <item x="21"/>
        <item x="12"/>
        <item x="17"/>
        <item x="18"/>
        <item x="0"/>
        <item x="16"/>
        <item x="7"/>
        <item x="20"/>
        <item x="14"/>
        <item x="1"/>
        <item x="5"/>
        <item x="9"/>
        <item x="2"/>
        <item x="13"/>
        <item x="10"/>
        <item x="4"/>
        <item x="19"/>
        <item t="default"/>
      </items>
    </pivotField>
    <pivotField showAll="0">
      <items count="8">
        <item x="0"/>
        <item x="2"/>
        <item x="1"/>
        <item x="5"/>
        <item x="3"/>
        <item x="4"/>
        <item x="6"/>
        <item t="default"/>
      </items>
    </pivotField>
    <pivotField numFmtId="14" showAll="0"/>
    <pivotField showAll="0"/>
    <pivotField showAll="0"/>
    <pivotField showAll="0"/>
    <pivotField axis="axisRow" showAll="0" measureFilter="1" sortType="ascending">
      <items count="9">
        <item x="1"/>
        <item x="4"/>
        <item x="3"/>
        <item x="6"/>
        <item x="5"/>
        <item x="7"/>
        <item x="0"/>
        <item x="2"/>
        <item t="default"/>
      </items>
      <autoSortScope>
        <pivotArea dataOnly="0" outline="0" fieldPosition="0">
          <references count="1">
            <reference field="4294967294" count="1" selected="0">
              <x v="0"/>
            </reference>
          </references>
        </pivotArea>
      </autoSortScope>
    </pivotField>
    <pivotField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dataField="1"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8">
    <i>
      <x v="3"/>
    </i>
    <i>
      <x v="6"/>
    </i>
    <i>
      <x v="1"/>
    </i>
    <i>
      <x v="5"/>
    </i>
    <i>
      <x/>
    </i>
    <i>
      <x v="2"/>
    </i>
    <i>
      <x v="4"/>
    </i>
    <i>
      <x v="7"/>
    </i>
  </rowItems>
  <colItems count="1">
    <i/>
  </colItems>
  <dataFields count="1">
    <dataField name="Sum of Total_Sales" fld="12" baseField="0" baseItem="0"/>
  </dataFields>
  <formats count="1">
    <format dxfId="9">
      <pivotArea outline="0" collapsedLevelsAreSubtotals="1" fieldPosition="0"/>
    </format>
  </formats>
  <chartFormats count="3">
    <chartFormat chart="33"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0E0AE7-BACB-49A9-9163-EC03A3AF116A}" name="PivotTable 4"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5" rowHeaderCaption="Product Name">
  <location ref="B14:B15" firstHeaderRow="1" firstDataRow="1" firstDataCol="0"/>
  <pivotFields count="20">
    <pivotField showAll="0"/>
    <pivotField showAll="0"/>
    <pivotField showAll="0">
      <items count="6">
        <item x="3"/>
        <item x="0"/>
        <item x="1"/>
        <item x="4"/>
        <item x="2"/>
        <item t="default"/>
      </items>
    </pivotField>
    <pivotField showAll="0" sortType="descending">
      <items count="26">
        <item x="22"/>
        <item x="23"/>
        <item x="15"/>
        <item x="11"/>
        <item x="3"/>
        <item x="8"/>
        <item x="24"/>
        <item x="6"/>
        <item x="21"/>
        <item x="12"/>
        <item x="17"/>
        <item x="18"/>
        <item x="0"/>
        <item x="16"/>
        <item x="7"/>
        <item x="20"/>
        <item x="14"/>
        <item x="1"/>
        <item x="5"/>
        <item x="9"/>
        <item x="2"/>
        <item x="13"/>
        <item x="10"/>
        <item x="4"/>
        <item x="19"/>
        <item t="default"/>
      </items>
    </pivotField>
    <pivotField showAll="0">
      <items count="8">
        <item x="0"/>
        <item x="2"/>
        <item x="1"/>
        <item x="5"/>
        <item x="3"/>
        <item x="4"/>
        <item x="6"/>
        <item t="default"/>
      </items>
    </pivotField>
    <pivotField numFmtId="14" showAll="0"/>
    <pivotField showAll="0"/>
    <pivotField showAll="0"/>
    <pivotField showAll="0"/>
    <pivotField showAll="0">
      <items count="9">
        <item x="1"/>
        <item x="4"/>
        <item x="3"/>
        <item x="6"/>
        <item x="5"/>
        <item x="7"/>
        <item x="0"/>
        <item x="2"/>
        <item t="default"/>
      </items>
    </pivotField>
    <pivotField dataField="1"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Discount_Amount" fld="10" baseField="0" baseItem="0" numFmtId="165"/>
  </dataFields>
  <formats count="3">
    <format dxfId="12">
      <pivotArea type="all" dataOnly="0" outline="0" fieldPosition="0"/>
    </format>
    <format dxfId="11">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D5D19A-2658-4FE4-8419-44B772CDE3B6}" name="PivotTable 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rowHeaderCaption="Product Name">
  <location ref="E3:F13" firstHeaderRow="1" firstDataRow="1" firstDataCol="1"/>
  <pivotFields count="20">
    <pivotField showAll="0"/>
    <pivotField showAll="0"/>
    <pivotField showAll="0">
      <items count="6">
        <item x="3"/>
        <item x="0"/>
        <item x="1"/>
        <item x="4"/>
        <item x="2"/>
        <item t="default"/>
      </items>
    </pivotField>
    <pivotField axis="axisRow" showAll="0" measureFilter="1" sortType="ascending">
      <items count="26">
        <item x="22"/>
        <item x="23"/>
        <item x="15"/>
        <item x="11"/>
        <item x="3"/>
        <item x="8"/>
        <item x="24"/>
        <item x="6"/>
        <item x="21"/>
        <item x="12"/>
        <item x="17"/>
        <item x="18"/>
        <item x="0"/>
        <item x="16"/>
        <item x="7"/>
        <item x="20"/>
        <item x="14"/>
        <item x="1"/>
        <item x="5"/>
        <item x="9"/>
        <item x="2"/>
        <item x="13"/>
        <item x="10"/>
        <item x="4"/>
        <item x="19"/>
        <item t="default"/>
      </items>
      <autoSortScope>
        <pivotArea dataOnly="0" outline="0" fieldPosition="0">
          <references count="1">
            <reference field="4294967294" count="1" selected="0">
              <x v="0"/>
            </reference>
          </references>
        </pivotArea>
      </autoSortScope>
    </pivotField>
    <pivotField showAll="0">
      <items count="8">
        <item x="0"/>
        <item x="2"/>
        <item x="1"/>
        <item x="5"/>
        <item x="3"/>
        <item x="4"/>
        <item x="6"/>
        <item t="default"/>
      </items>
    </pivotField>
    <pivotField numFmtId="14" showAll="0"/>
    <pivotField showAll="0"/>
    <pivotField showAll="0"/>
    <pivotField showAll="0"/>
    <pivotField showAll="0">
      <items count="9">
        <item x="1"/>
        <item x="4"/>
        <item x="3"/>
        <item x="6"/>
        <item x="5"/>
        <item x="7"/>
        <item x="0"/>
        <item x="2"/>
        <item t="default"/>
      </items>
    </pivotField>
    <pivotField showAll="0"/>
    <pivotField dataField="1"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0">
    <i>
      <x v="6"/>
    </i>
    <i>
      <x v="23"/>
    </i>
    <i>
      <x v="1"/>
    </i>
    <i>
      <x v="11"/>
    </i>
    <i>
      <x v="21"/>
    </i>
    <i>
      <x v="4"/>
    </i>
    <i>
      <x v="20"/>
    </i>
    <i>
      <x v="7"/>
    </i>
    <i>
      <x v="5"/>
    </i>
    <i>
      <x v="12"/>
    </i>
  </rowItems>
  <colItems count="1">
    <i/>
  </colItems>
  <dataFields count="1">
    <dataField name="Sum of Gross_Sale" fld="11" baseField="0" baseItem="0" numFmtId="165"/>
  </dataFields>
  <formats count="2">
    <format dxfId="14">
      <pivotArea collapsedLevelsAreSubtotals="1" fieldPosition="0">
        <references count="1">
          <reference field="3" count="10">
            <x v="1"/>
            <x v="4"/>
            <x v="5"/>
            <x v="6"/>
            <x v="7"/>
            <x v="11"/>
            <x v="12"/>
            <x v="20"/>
            <x v="21"/>
            <x v="23"/>
          </reference>
        </references>
      </pivotArea>
    </format>
    <format dxfId="13">
      <pivotArea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C123A5-4F83-4C58-BBFE-1A69B671DE13}" name="PivotTable 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rowHeaderCaption="Product Name">
  <location ref="X3:Y13" firstHeaderRow="1" firstDataRow="1" firstDataCol="1"/>
  <pivotFields count="20">
    <pivotField showAll="0"/>
    <pivotField showAll="0"/>
    <pivotField showAll="0">
      <items count="6">
        <item x="3"/>
        <item x="0"/>
        <item x="1"/>
        <item x="4"/>
        <item x="2"/>
        <item t="default"/>
      </items>
    </pivotField>
    <pivotField axis="axisRow" showAll="0" measureFilter="1" sortType="descending">
      <items count="26">
        <item x="22"/>
        <item x="23"/>
        <item x="15"/>
        <item x="11"/>
        <item x="3"/>
        <item x="8"/>
        <item x="24"/>
        <item x="6"/>
        <item x="21"/>
        <item x="12"/>
        <item x="17"/>
        <item x="18"/>
        <item x="0"/>
        <item x="16"/>
        <item x="7"/>
        <item x="20"/>
        <item x="14"/>
        <item x="1"/>
        <item x="5"/>
        <item x="9"/>
        <item x="2"/>
        <item x="13"/>
        <item x="10"/>
        <item x="4"/>
        <item x="19"/>
        <item t="default"/>
      </items>
      <autoSortScope>
        <pivotArea dataOnly="0" outline="0" fieldPosition="0">
          <references count="1">
            <reference field="4294967294" count="1" selected="0">
              <x v="0"/>
            </reference>
          </references>
        </pivotArea>
      </autoSortScope>
    </pivotField>
    <pivotField showAll="0">
      <items count="8">
        <item x="0"/>
        <item x="2"/>
        <item x="1"/>
        <item x="5"/>
        <item x="3"/>
        <item x="4"/>
        <item x="6"/>
        <item t="default"/>
      </items>
    </pivotField>
    <pivotField numFmtId="14" showAll="0"/>
    <pivotField dataField="1" showAll="0">
      <items count="11">
        <item x="8"/>
        <item x="5"/>
        <item x="0"/>
        <item x="1"/>
        <item x="7"/>
        <item x="3"/>
        <item x="4"/>
        <item x="2"/>
        <item x="6"/>
        <item x="9"/>
        <item t="default"/>
      </items>
    </pivotField>
    <pivotField showAll="0"/>
    <pivotField showAll="0"/>
    <pivotField showAll="0">
      <items count="9">
        <item x="1"/>
        <item x="4"/>
        <item x="3"/>
        <item x="6"/>
        <item x="5"/>
        <item x="7"/>
        <item x="0"/>
        <item x="2"/>
        <item t="default"/>
      </items>
    </pivotField>
    <pivotField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0">
    <i>
      <x v="7"/>
    </i>
    <i>
      <x v="8"/>
    </i>
    <i>
      <x v="10"/>
    </i>
    <i>
      <x v="15"/>
    </i>
    <i>
      <x v="19"/>
    </i>
    <i>
      <x v="4"/>
    </i>
    <i>
      <x v="6"/>
    </i>
    <i>
      <x v="13"/>
    </i>
    <i>
      <x v="9"/>
    </i>
    <i>
      <x v="16"/>
    </i>
  </rowItems>
  <colItems count="1">
    <i/>
  </colItems>
  <dataFields count="1">
    <dataField name="Sum of Units_Sold" fld="6" baseField="0" baseItem="0"/>
  </dataFields>
  <formats count="2">
    <format dxfId="16">
      <pivotArea outline="0" collapsedLevelsAreSubtotals="1" fieldPosition="0"/>
    </format>
    <format dxfId="15">
      <pivotArea collapsedLevelsAreSubtotals="1" fieldPosition="0">
        <references count="1">
          <reference field="3" count="10">
            <x v="4"/>
            <x v="6"/>
            <x v="7"/>
            <x v="8"/>
            <x v="9"/>
            <x v="10"/>
            <x v="13"/>
            <x v="15"/>
            <x v="16"/>
            <x v="19"/>
          </reference>
        </references>
      </pivotArea>
    </format>
  </formats>
  <chartFormats count="4">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ADE2FF-CC96-4E88-89B3-37ABFDECD5B8}" name="PivotTable1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Customer Name">
  <location ref="BJ4:BK14" firstHeaderRow="1" firstDataRow="1" firstDataCol="1"/>
  <pivotFields count="5">
    <pivotField axis="axisRow" showAll="0" measureFilter="1" sortType="descending">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numFmtId="165" showAll="0"/>
    <pivotField numFmtId="165" showAll="0">
      <items count="14">
        <item x="10"/>
        <item x="5"/>
        <item x="0"/>
        <item x="6"/>
        <item x="7"/>
        <item x="2"/>
        <item x="12"/>
        <item x="3"/>
        <item x="1"/>
        <item x="11"/>
        <item x="9"/>
        <item x="8"/>
        <item x="4"/>
        <item t="default"/>
      </items>
    </pivotField>
    <pivotField dataField="1" numFmtId="166" showAll="0"/>
    <pivotField dragToRow="0" dragToCol="0" dragToPage="0" showAll="0" defaultSubtotal="0"/>
  </pivotFields>
  <rowFields count="1">
    <field x="0"/>
  </rowFields>
  <rowItems count="10">
    <i>
      <x v="3"/>
    </i>
    <i>
      <x v="14"/>
    </i>
    <i>
      <x v="2"/>
    </i>
    <i>
      <x v="4"/>
    </i>
    <i>
      <x v="10"/>
    </i>
    <i>
      <x/>
    </i>
    <i>
      <x v="12"/>
    </i>
    <i>
      <x v="5"/>
    </i>
    <i>
      <x v="6"/>
    </i>
    <i>
      <x v="11"/>
    </i>
  </rowItems>
  <colItems count="1">
    <i/>
  </colItems>
  <dataFields count="1">
    <dataField name="Sum of Average Order Value" fld="3" baseField="0" baseItem="0" numFmtId="166"/>
  </dataFields>
  <chartFormats count="2">
    <chartFormat chart="9"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A06A69-1EE6-4CE4-ADE2-49E318472741}"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rowHeaderCaption="Store Location">
  <location ref="AE4:AF11" firstHeaderRow="1" firstDataRow="1" firstDataCol="1"/>
  <pivotFields count="20">
    <pivotField showAll="0"/>
    <pivotField showAll="0"/>
    <pivotField showAll="0">
      <items count="6">
        <item x="3"/>
        <item x="0"/>
        <item x="1"/>
        <item x="4"/>
        <item x="2"/>
        <item t="default"/>
      </items>
    </pivotField>
    <pivotField showAll="0" sortType="descending">
      <items count="26">
        <item x="22"/>
        <item x="23"/>
        <item x="15"/>
        <item x="11"/>
        <item x="3"/>
        <item x="8"/>
        <item x="24"/>
        <item x="6"/>
        <item x="21"/>
        <item x="12"/>
        <item x="17"/>
        <item x="18"/>
        <item x="0"/>
        <item x="16"/>
        <item x="7"/>
        <item x="20"/>
        <item x="14"/>
        <item x="1"/>
        <item x="5"/>
        <item x="9"/>
        <item x="2"/>
        <item x="13"/>
        <item x="10"/>
        <item x="4"/>
        <item x="19"/>
        <item t="default"/>
      </items>
    </pivotField>
    <pivotField axis="axisRow" showAll="0" measureFilter="1" sortType="ascending">
      <items count="8">
        <item x="0"/>
        <item x="2"/>
        <item x="1"/>
        <item x="5"/>
        <item x="3"/>
        <item x="4"/>
        <item x="6"/>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items count="9">
        <item x="1"/>
        <item x="4"/>
        <item x="3"/>
        <item x="6"/>
        <item x="5"/>
        <item x="7"/>
        <item x="0"/>
        <item x="2"/>
        <item t="default"/>
      </items>
    </pivotField>
    <pivotField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dataField="1"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7">
    <i>
      <x v="1"/>
    </i>
    <i>
      <x v="5"/>
    </i>
    <i>
      <x/>
    </i>
    <i>
      <x v="6"/>
    </i>
    <i>
      <x v="2"/>
    </i>
    <i>
      <x v="4"/>
    </i>
    <i>
      <x v="3"/>
    </i>
  </rowItems>
  <colItems count="1">
    <i/>
  </colItems>
  <dataFields count="1">
    <dataField name="Sum of Total_Sales" fld="12" baseField="0" baseItem="0"/>
  </dataFields>
  <formats count="1">
    <format dxfId="17">
      <pivotArea outline="0" collapsedLevelsAreSubtotals="1" fieldPosition="0"/>
    </format>
  </formats>
  <chartFormats count="4">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43B5DF-1EB3-4573-A3DC-73B746E239E1}" name="PivotTable 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Product Name">
  <location ref="H3:I13" firstHeaderRow="1" firstDataRow="1" firstDataCol="1"/>
  <pivotFields count="20">
    <pivotField showAll="0"/>
    <pivotField showAll="0"/>
    <pivotField showAll="0">
      <items count="6">
        <item x="3"/>
        <item x="0"/>
        <item x="1"/>
        <item x="4"/>
        <item x="2"/>
        <item t="default"/>
      </items>
    </pivotField>
    <pivotField axis="axisRow" showAll="0" measureFilter="1" sortType="ascending">
      <items count="26">
        <item x="19"/>
        <item x="4"/>
        <item x="10"/>
        <item x="13"/>
        <item x="2"/>
        <item x="9"/>
        <item x="5"/>
        <item x="1"/>
        <item x="14"/>
        <item x="20"/>
        <item x="7"/>
        <item x="16"/>
        <item x="0"/>
        <item x="18"/>
        <item x="17"/>
        <item x="12"/>
        <item x="21"/>
        <item x="6"/>
        <item x="24"/>
        <item x="8"/>
        <item x="3"/>
        <item x="11"/>
        <item x="15"/>
        <item x="23"/>
        <item x="22"/>
        <item t="default"/>
      </items>
      <autoSortScope>
        <pivotArea dataOnly="0" outline="0" fieldPosition="0">
          <references count="1">
            <reference field="4294967294" count="1" selected="0">
              <x v="0"/>
            </reference>
          </references>
        </pivotArea>
      </autoSortScope>
    </pivotField>
    <pivotField showAll="0">
      <items count="8">
        <item x="0"/>
        <item x="2"/>
        <item x="1"/>
        <item x="5"/>
        <item x="3"/>
        <item x="4"/>
        <item x="6"/>
        <item t="default"/>
      </items>
    </pivotField>
    <pivotField numFmtId="14" showAll="0"/>
    <pivotField showAll="0"/>
    <pivotField showAll="0"/>
    <pivotField showAll="0"/>
    <pivotField showAll="0">
      <items count="9">
        <item x="1"/>
        <item x="4"/>
        <item x="3"/>
        <item x="6"/>
        <item x="5"/>
        <item x="7"/>
        <item x="0"/>
        <item x="2"/>
        <item t="default"/>
      </items>
    </pivotField>
    <pivotField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dataField="1"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0">
    <i>
      <x v="18"/>
    </i>
    <i>
      <x v="1"/>
    </i>
    <i>
      <x v="23"/>
    </i>
    <i>
      <x v="13"/>
    </i>
    <i>
      <x v="3"/>
    </i>
    <i>
      <x v="20"/>
    </i>
    <i>
      <x v="4"/>
    </i>
    <i>
      <x v="17"/>
    </i>
    <i>
      <x v="19"/>
    </i>
    <i>
      <x v="12"/>
    </i>
  </rowItems>
  <colItems count="1">
    <i/>
  </colItems>
  <dataFields count="1">
    <dataField name="Total Sales" fld="12" baseField="3" baseItem="9" numFmtId="165"/>
  </dataFields>
  <formats count="2">
    <format dxfId="19">
      <pivotArea collapsedLevelsAreSubtotals="1" fieldPosition="0">
        <references count="1">
          <reference field="3" count="1">
            <x v="1"/>
          </reference>
        </references>
      </pivotArea>
    </format>
    <format dxfId="18">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9"/>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4D271C-21D9-4AD3-8D00-79EEFC88D8C3}" name="PivotTable 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rowHeaderCaption="Product  Category">
  <location ref="U3:V8" firstHeaderRow="1" firstDataRow="1" firstDataCol="1"/>
  <pivotFields count="20">
    <pivotField showAll="0"/>
    <pivotField showAll="0"/>
    <pivotField axis="axisRow" showAll="0" measureFilter="1"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sortType="descending">
      <items count="26">
        <item x="22"/>
        <item x="23"/>
        <item x="15"/>
        <item x="11"/>
        <item x="3"/>
        <item x="8"/>
        <item x="24"/>
        <item x="6"/>
        <item x="21"/>
        <item x="12"/>
        <item x="17"/>
        <item x="18"/>
        <item x="0"/>
        <item x="16"/>
        <item x="7"/>
        <item x="20"/>
        <item x="14"/>
        <item x="1"/>
        <item x="5"/>
        <item x="9"/>
        <item x="2"/>
        <item x="13"/>
        <item x="10"/>
        <item x="4"/>
        <item x="19"/>
        <item t="default"/>
      </items>
    </pivotField>
    <pivotField showAll="0">
      <items count="8">
        <item x="0"/>
        <item x="2"/>
        <item x="1"/>
        <item x="5"/>
        <item x="3"/>
        <item x="4"/>
        <item x="6"/>
        <item t="default"/>
      </items>
    </pivotField>
    <pivotField numFmtId="14" showAll="0"/>
    <pivotField showAll="0"/>
    <pivotField showAll="0"/>
    <pivotField showAll="0"/>
    <pivotField showAll="0">
      <items count="9">
        <item x="1"/>
        <item x="4"/>
        <item x="3"/>
        <item x="6"/>
        <item x="5"/>
        <item x="7"/>
        <item x="0"/>
        <item x="2"/>
        <item t="default"/>
      </items>
    </pivotField>
    <pivotField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dataField="1"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4"/>
    </i>
    <i>
      <x v="3"/>
    </i>
    <i>
      <x v="2"/>
    </i>
    <i>
      <x v="1"/>
    </i>
  </rowItems>
  <colItems count="1">
    <i/>
  </colItems>
  <dataFields count="1">
    <dataField name="Sum of Total_Sales" fld="12" baseField="0" baseItem="0"/>
  </dataFields>
  <formats count="1">
    <format dxfId="20">
      <pivotArea outline="0" collapsedLevelsAreSubtotals="1" fieldPosition="0"/>
    </format>
  </formats>
  <chartFormats count="8">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2" count="1" selected="0">
            <x v="4"/>
          </reference>
        </references>
      </pivotArea>
    </chartFormat>
    <chartFormat chart="18" format="4">
      <pivotArea type="data" outline="0" fieldPosition="0">
        <references count="2">
          <reference field="4294967294" count="1" selected="0">
            <x v="0"/>
          </reference>
          <reference field="2" count="1" selected="0">
            <x v="3"/>
          </reference>
        </references>
      </pivotArea>
    </chartFormat>
    <chartFormat chart="18" format="5">
      <pivotArea type="data" outline="0" fieldPosition="0">
        <references count="2">
          <reference field="4294967294" count="1" selected="0">
            <x v="0"/>
          </reference>
          <reference field="2" count="1" selected="0">
            <x v="2"/>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0FC624F-EA55-4D20-81CD-EFA6863D2727}"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4" rowHeaderCaption="Store Location">
  <location ref="AI4:AJ11" firstHeaderRow="1" firstDataRow="1" firstDataCol="1"/>
  <pivotFields count="20">
    <pivotField showAll="0"/>
    <pivotField showAll="0"/>
    <pivotField showAll="0">
      <items count="6">
        <item x="3"/>
        <item x="0"/>
        <item x="1"/>
        <item x="4"/>
        <item x="2"/>
        <item t="default"/>
      </items>
    </pivotField>
    <pivotField showAll="0" sortType="descending">
      <items count="26">
        <item x="22"/>
        <item x="23"/>
        <item x="15"/>
        <item x="11"/>
        <item x="3"/>
        <item x="8"/>
        <item x="24"/>
        <item x="6"/>
        <item x="21"/>
        <item x="12"/>
        <item x="17"/>
        <item x="18"/>
        <item x="0"/>
        <item x="16"/>
        <item x="7"/>
        <item x="20"/>
        <item x="14"/>
        <item x="1"/>
        <item x="5"/>
        <item x="9"/>
        <item x="2"/>
        <item x="13"/>
        <item x="10"/>
        <item x="4"/>
        <item x="19"/>
        <item t="default"/>
      </items>
    </pivotField>
    <pivotField axis="axisRow" showAll="0" measureFilter="1" sortType="ascending">
      <items count="8">
        <item x="0"/>
        <item x="2"/>
        <item x="1"/>
        <item x="5"/>
        <item x="3"/>
        <item x="4"/>
        <item x="6"/>
        <item t="default"/>
      </items>
      <autoSortScope>
        <pivotArea dataOnly="0" outline="0" fieldPosition="0">
          <references count="1">
            <reference field="4294967294" count="1" selected="0">
              <x v="0"/>
            </reference>
          </references>
        </pivotArea>
      </autoSortScope>
    </pivotField>
    <pivotField numFmtId="14" showAll="0"/>
    <pivotField dataField="1" showAll="0"/>
    <pivotField showAll="0"/>
    <pivotField showAll="0"/>
    <pivotField showAll="0">
      <items count="9">
        <item x="1"/>
        <item x="4"/>
        <item x="3"/>
        <item x="6"/>
        <item x="5"/>
        <item x="7"/>
        <item x="0"/>
        <item x="2"/>
        <item t="default"/>
      </items>
    </pivotField>
    <pivotField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7">
    <i>
      <x v="5"/>
    </i>
    <i>
      <x v="6"/>
    </i>
    <i>
      <x/>
    </i>
    <i>
      <x v="2"/>
    </i>
    <i>
      <x v="4"/>
    </i>
    <i>
      <x v="1"/>
    </i>
    <i>
      <x v="3"/>
    </i>
  </rowItems>
  <colItems count="1">
    <i/>
  </colItems>
  <dataFields count="1">
    <dataField name="Sum of Units_Sold" fld="6" baseField="0" baseItem="0"/>
  </dataFields>
  <formats count="2">
    <format dxfId="22">
      <pivotArea outline="0" collapsedLevelsAreSubtotals="1" fieldPosition="0"/>
    </format>
    <format dxfId="21">
      <pivotArea collapsedLevelsAreSubtotals="1" fieldPosition="0">
        <references count="1">
          <reference field="4" count="0"/>
        </references>
      </pivotArea>
    </format>
  </formats>
  <chartFormats count="4">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C80035-0F30-4F92-A290-550E3C7E024F}"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9" rowHeaderCaption="Sales Representative">
  <location ref="BA4:BB12" firstHeaderRow="1" firstDataRow="1" firstDataCol="1"/>
  <pivotFields count="20">
    <pivotField showAll="0"/>
    <pivotField showAll="0"/>
    <pivotField showAll="0">
      <items count="6">
        <item x="3"/>
        <item x="0"/>
        <item x="1"/>
        <item x="4"/>
        <item x="2"/>
        <item t="default"/>
      </items>
    </pivotField>
    <pivotField showAll="0" sortType="descending">
      <items count="26">
        <item x="22"/>
        <item x="23"/>
        <item x="15"/>
        <item x="11"/>
        <item x="3"/>
        <item x="8"/>
        <item x="24"/>
        <item x="6"/>
        <item x="21"/>
        <item x="12"/>
        <item x="17"/>
        <item x="18"/>
        <item x="0"/>
        <item x="16"/>
        <item x="7"/>
        <item x="20"/>
        <item x="14"/>
        <item x="1"/>
        <item x="5"/>
        <item x="9"/>
        <item x="2"/>
        <item x="13"/>
        <item x="10"/>
        <item x="4"/>
        <item x="19"/>
        <item t="default"/>
      </items>
    </pivotField>
    <pivotField showAll="0">
      <items count="8">
        <item x="0"/>
        <item x="2"/>
        <item x="1"/>
        <item x="5"/>
        <item x="3"/>
        <item x="4"/>
        <item x="6"/>
        <item t="default"/>
      </items>
    </pivotField>
    <pivotField numFmtId="14" showAll="0"/>
    <pivotField showAll="0"/>
    <pivotField showAll="0"/>
    <pivotField dataField="1" showAll="0"/>
    <pivotField axis="axisRow" showAll="0" measureFilter="1" sortType="ascending">
      <items count="9">
        <item x="1"/>
        <item x="4"/>
        <item x="3"/>
        <item x="6"/>
        <item x="5"/>
        <item x="7"/>
        <item x="0"/>
        <item x="2"/>
        <item t="default"/>
      </items>
      <autoSortScope>
        <pivotArea dataOnly="0" outline="0" fieldPosition="0">
          <references count="1">
            <reference field="4294967294" count="1" selected="0">
              <x v="0"/>
            </reference>
          </references>
        </pivotArea>
      </autoSortScope>
    </pivotField>
    <pivotField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8">
    <i>
      <x/>
    </i>
    <i>
      <x v="1"/>
    </i>
    <i>
      <x v="4"/>
    </i>
    <i>
      <x v="2"/>
    </i>
    <i>
      <x v="7"/>
    </i>
    <i>
      <x v="3"/>
    </i>
    <i>
      <x v="6"/>
    </i>
    <i>
      <x v="5"/>
    </i>
  </rowItems>
  <colItems count="1">
    <i/>
  </colItems>
  <dataFields count="1">
    <dataField name="Average of Discount_%" fld="8" subtotal="average" baseField="9" baseItem="0"/>
  </dataFields>
  <formats count="2">
    <format dxfId="24">
      <pivotArea outline="0" collapsedLevelsAreSubtotals="1" fieldPosition="0"/>
    </format>
    <format dxfId="23">
      <pivotArea collapsedLevelsAreSubtotals="1" fieldPosition="0">
        <references count="1">
          <reference field="9" count="0"/>
        </references>
      </pivotArea>
    </format>
  </formats>
  <chartFormats count="2">
    <chartFormat chart="43"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E89A29B-13EB-4970-B4AC-F87B6B99B326}" name="PivotTable 3"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5" rowHeaderCaption="Product Name">
  <location ref="B11:B12" firstHeaderRow="1" firstDataRow="1" firstDataCol="0"/>
  <pivotFields count="20">
    <pivotField showAll="0"/>
    <pivotField showAll="0"/>
    <pivotField showAll="0">
      <items count="6">
        <item x="3"/>
        <item x="0"/>
        <item x="1"/>
        <item x="4"/>
        <item x="2"/>
        <item t="default"/>
      </items>
    </pivotField>
    <pivotField showAll="0" sortType="descending">
      <items count="26">
        <item x="22"/>
        <item x="23"/>
        <item x="15"/>
        <item x="11"/>
        <item x="3"/>
        <item x="8"/>
        <item x="24"/>
        <item x="6"/>
        <item x="21"/>
        <item x="12"/>
        <item x="17"/>
        <item x="18"/>
        <item x="0"/>
        <item x="16"/>
        <item x="7"/>
        <item x="20"/>
        <item x="14"/>
        <item x="1"/>
        <item x="5"/>
        <item x="9"/>
        <item x="2"/>
        <item x="13"/>
        <item x="10"/>
        <item x="4"/>
        <item x="19"/>
        <item t="default"/>
      </items>
    </pivotField>
    <pivotField showAll="0">
      <items count="8">
        <item x="0"/>
        <item x="2"/>
        <item x="1"/>
        <item x="5"/>
        <item x="3"/>
        <item x="4"/>
        <item x="6"/>
        <item t="default"/>
      </items>
    </pivotField>
    <pivotField numFmtId="14" showAll="0"/>
    <pivotField showAll="0"/>
    <pivotField showAll="0"/>
    <pivotField dataField="1" showAll="0"/>
    <pivotField showAll="0">
      <items count="9">
        <item x="1"/>
        <item x="4"/>
        <item x="3"/>
        <item x="6"/>
        <item x="5"/>
        <item x="7"/>
        <item x="0"/>
        <item x="2"/>
        <item t="default"/>
      </items>
    </pivotField>
    <pivotField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Discount_%" fld="8" subtotal="average" baseField="0" baseItem="0" numFmtId="2"/>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D4EC9CC-1843-4695-8A94-EDF86EB8F206}" name="PivotTable 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Sales Representative">
  <location ref="K3:L11" firstHeaderRow="1" firstDataRow="1" firstDataCol="1"/>
  <pivotFields count="20">
    <pivotField showAll="0"/>
    <pivotField showAll="0"/>
    <pivotField showAll="0">
      <items count="6">
        <item x="3"/>
        <item x="0"/>
        <item x="1"/>
        <item x="4"/>
        <item x="2"/>
        <item t="default"/>
      </items>
    </pivotField>
    <pivotField showAll="0">
      <items count="26">
        <item x="19"/>
        <item x="4"/>
        <item x="10"/>
        <item x="13"/>
        <item x="2"/>
        <item x="9"/>
        <item x="5"/>
        <item x="1"/>
        <item x="14"/>
        <item x="20"/>
        <item x="7"/>
        <item x="16"/>
        <item x="0"/>
        <item x="18"/>
        <item x="17"/>
        <item x="12"/>
        <item x="21"/>
        <item x="6"/>
        <item x="24"/>
        <item x="8"/>
        <item x="3"/>
        <item x="11"/>
        <item x="15"/>
        <item x="23"/>
        <item x="22"/>
        <item t="default"/>
      </items>
    </pivotField>
    <pivotField showAll="0">
      <items count="8">
        <item x="0"/>
        <item x="2"/>
        <item x="1"/>
        <item x="5"/>
        <item x="3"/>
        <item x="4"/>
        <item x="6"/>
        <item t="default"/>
      </items>
    </pivotField>
    <pivotField numFmtId="14" showAll="0"/>
    <pivotField showAll="0"/>
    <pivotField showAll="0"/>
    <pivotField showAll="0"/>
    <pivotField axis="axisRow" showAll="0" measureFilter="1" sortType="ascending">
      <items count="9">
        <item x="2"/>
        <item x="0"/>
        <item x="7"/>
        <item x="5"/>
        <item x="6"/>
        <item x="3"/>
        <item x="4"/>
        <item x="1"/>
        <item t="default"/>
      </items>
      <autoSortScope>
        <pivotArea dataOnly="0" outline="0" fieldPosition="0">
          <references count="1">
            <reference field="4294967294" count="1" selected="0">
              <x v="0"/>
            </reference>
          </references>
        </pivotArea>
      </autoSortScope>
    </pivotField>
    <pivotField showAll="0"/>
    <pivotField dataField="1"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8">
    <i>
      <x v="4"/>
    </i>
    <i>
      <x v="1"/>
    </i>
    <i>
      <x v="6"/>
    </i>
    <i>
      <x v="2"/>
    </i>
    <i>
      <x v="7"/>
    </i>
    <i>
      <x v="5"/>
    </i>
    <i>
      <x v="3"/>
    </i>
    <i>
      <x/>
    </i>
  </rowItems>
  <colItems count="1">
    <i/>
  </colItems>
  <dataFields count="1">
    <dataField name="Gross Sale Amount" fld="11" baseField="0" baseItem="0" numFmtId="165"/>
  </dataFields>
  <formats count="1">
    <format dxfId="2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F4606DE-3508-431E-8451-81038A6281D4}"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7" rowHeaderCaption="Store Location">
  <location ref="AN4:AO11" firstHeaderRow="1" firstDataRow="1" firstDataCol="1"/>
  <pivotFields count="20">
    <pivotField showAll="0"/>
    <pivotField showAll="0"/>
    <pivotField showAll="0">
      <items count="6">
        <item x="3"/>
        <item x="0"/>
        <item x="1"/>
        <item x="4"/>
        <item x="2"/>
        <item t="default"/>
      </items>
    </pivotField>
    <pivotField showAll="0" sortType="descending">
      <items count="26">
        <item x="22"/>
        <item x="23"/>
        <item x="15"/>
        <item x="11"/>
        <item x="3"/>
        <item x="8"/>
        <item x="24"/>
        <item x="6"/>
        <item x="21"/>
        <item x="12"/>
        <item x="17"/>
        <item x="18"/>
        <item x="0"/>
        <item x="16"/>
        <item x="7"/>
        <item x="20"/>
        <item x="14"/>
        <item x="1"/>
        <item x="5"/>
        <item x="9"/>
        <item x="2"/>
        <item x="13"/>
        <item x="10"/>
        <item x="4"/>
        <item x="19"/>
        <item t="default"/>
      </items>
    </pivotField>
    <pivotField axis="axisRow" showAll="0" measureFilter="1" sortType="descending">
      <items count="8">
        <item x="0"/>
        <item x="2"/>
        <item x="1"/>
        <item x="5"/>
        <item x="3"/>
        <item x="4"/>
        <item x="6"/>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dataField="1" showAll="0"/>
    <pivotField showAll="0">
      <items count="9">
        <item x="1"/>
        <item x="4"/>
        <item x="3"/>
        <item x="6"/>
        <item x="5"/>
        <item x="7"/>
        <item x="0"/>
        <item x="2"/>
        <item t="default"/>
      </items>
    </pivotField>
    <pivotField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7">
    <i>
      <x v="4"/>
    </i>
    <i>
      <x v="2"/>
    </i>
    <i>
      <x v="3"/>
    </i>
    <i>
      <x v="1"/>
    </i>
    <i>
      <x/>
    </i>
    <i>
      <x v="5"/>
    </i>
    <i>
      <x v="6"/>
    </i>
  </rowItems>
  <colItems count="1">
    <i/>
  </colItems>
  <dataFields count="1">
    <dataField name="Average of Discount_%" fld="8" subtotal="average" baseField="4" baseItem="1"/>
  </dataFields>
  <formats count="2">
    <format dxfId="28">
      <pivotArea outline="0" collapsedLevelsAreSubtotals="1" fieldPosition="0"/>
    </format>
    <format dxfId="27">
      <pivotArea collapsedLevelsAreSubtotals="1" fieldPosition="0">
        <references count="1">
          <reference field="4" count="0"/>
        </references>
      </pivotArea>
    </format>
  </formats>
  <chartFormats count="4">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0B3DA23-74D5-4503-8EA6-9A7CDCEDBABF}"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rowHeaderCaption="Product Name">
  <location ref="AA4:AB14" firstHeaderRow="1" firstDataRow="1" firstDataCol="1"/>
  <pivotFields count="20">
    <pivotField showAll="0"/>
    <pivotField showAll="0"/>
    <pivotField showAll="0">
      <items count="6">
        <item x="3"/>
        <item x="0"/>
        <item x="1"/>
        <item x="4"/>
        <item x="2"/>
        <item t="default"/>
      </items>
    </pivotField>
    <pivotField axis="axisRow" showAll="0" measureFilter="1" sortType="ascending">
      <items count="26">
        <item x="22"/>
        <item x="23"/>
        <item x="15"/>
        <item x="11"/>
        <item x="3"/>
        <item x="8"/>
        <item x="24"/>
        <item x="6"/>
        <item x="21"/>
        <item x="12"/>
        <item x="17"/>
        <item x="18"/>
        <item x="0"/>
        <item x="16"/>
        <item x="7"/>
        <item x="20"/>
        <item x="14"/>
        <item x="1"/>
        <item x="5"/>
        <item x="9"/>
        <item x="2"/>
        <item x="13"/>
        <item x="10"/>
        <item x="4"/>
        <item x="19"/>
        <item t="default"/>
      </items>
      <autoSortScope>
        <pivotArea dataOnly="0" outline="0" fieldPosition="0">
          <references count="1">
            <reference field="4294967294" count="1" selected="0">
              <x v="0"/>
            </reference>
          </references>
        </pivotArea>
      </autoSortScope>
    </pivotField>
    <pivotField showAll="0">
      <items count="8">
        <item x="0"/>
        <item x="2"/>
        <item x="1"/>
        <item x="5"/>
        <item x="3"/>
        <item x="4"/>
        <item x="6"/>
        <item t="default"/>
      </items>
    </pivotField>
    <pivotField numFmtId="14" showAll="0"/>
    <pivotField showAll="0"/>
    <pivotField showAll="0"/>
    <pivotField dataField="1" showAll="0"/>
    <pivotField showAll="0">
      <items count="9">
        <item x="1"/>
        <item x="4"/>
        <item x="3"/>
        <item x="6"/>
        <item x="5"/>
        <item x="7"/>
        <item x="0"/>
        <item x="2"/>
        <item t="default"/>
      </items>
    </pivotField>
    <pivotField showAll="0"/>
    <pivotField showAll="0">
      <items count="4000">
        <item x="2753"/>
        <item x="274"/>
        <item x="3849"/>
        <item x="842"/>
        <item x="1660"/>
        <item x="3711"/>
        <item x="3616"/>
        <item x="1246"/>
        <item x="949"/>
        <item x="1141"/>
        <item x="2945"/>
        <item x="2454"/>
        <item x="643"/>
        <item x="3416"/>
        <item x="2407"/>
        <item x="3135"/>
        <item x="2386"/>
        <item x="1986"/>
        <item x="3932"/>
        <item x="2512"/>
        <item x="2341"/>
        <item x="3401"/>
        <item x="1967"/>
        <item x="1574"/>
        <item x="400"/>
        <item x="2750"/>
        <item x="2881"/>
        <item x="255"/>
        <item x="3549"/>
        <item x="668"/>
        <item x="1077"/>
        <item x="810"/>
        <item x="1751"/>
        <item x="3394"/>
        <item x="22"/>
        <item x="1214"/>
        <item x="2045"/>
        <item x="2166"/>
        <item x="3371"/>
        <item x="2748"/>
        <item x="3104"/>
        <item x="2120"/>
        <item x="2438"/>
        <item x="2471"/>
        <item x="3619"/>
        <item x="348"/>
        <item x="1664"/>
        <item x="2182"/>
        <item x="2556"/>
        <item x="925"/>
        <item x="1294"/>
        <item x="3165"/>
        <item x="2300"/>
        <item x="1392"/>
        <item x="2830"/>
        <item x="1803"/>
        <item x="1388"/>
        <item x="471"/>
        <item x="3729"/>
        <item x="978"/>
        <item x="2270"/>
        <item x="1053"/>
        <item x="832"/>
        <item x="1066"/>
        <item x="2747"/>
        <item x="2220"/>
        <item x="3864"/>
        <item x="927"/>
        <item x="636"/>
        <item x="995"/>
        <item x="3040"/>
        <item x="690"/>
        <item x="1799"/>
        <item x="1491"/>
        <item x="3407"/>
        <item x="786"/>
        <item x="3570"/>
        <item x="1625"/>
        <item x="1134"/>
        <item x="2661"/>
        <item x="2423"/>
        <item x="3767"/>
        <item x="2020"/>
        <item x="1367"/>
        <item x="3185"/>
        <item x="41"/>
        <item x="2578"/>
        <item x="389"/>
        <item x="3789"/>
        <item x="81"/>
        <item x="3989"/>
        <item x="3076"/>
        <item x="1104"/>
        <item x="2216"/>
        <item x="1746"/>
        <item x="1503"/>
        <item x="2518"/>
        <item x="38"/>
        <item x="3699"/>
        <item x="1252"/>
        <item x="788"/>
        <item x="1864"/>
        <item x="338"/>
        <item x="144"/>
        <item x="78"/>
        <item x="3745"/>
        <item x="3215"/>
        <item x="1216"/>
        <item x="2496"/>
        <item x="1315"/>
        <item x="3615"/>
        <item x="1603"/>
        <item x="512"/>
        <item x="1945"/>
        <item x="3783"/>
        <item x="2986"/>
        <item x="758"/>
        <item x="450"/>
        <item x="3517"/>
        <item x="1097"/>
        <item x="2613"/>
        <item x="1537"/>
        <item x="2366"/>
        <item x="3896"/>
        <item x="3169"/>
        <item x="3741"/>
        <item x="1860"/>
        <item x="129"/>
        <item x="1225"/>
        <item x="2938"/>
        <item x="1785"/>
        <item x="1250"/>
        <item x="1405"/>
        <item x="1739"/>
        <item x="2817"/>
        <item x="3854"/>
        <item x="1166"/>
        <item x="2592"/>
        <item x="106"/>
        <item x="2579"/>
        <item x="1205"/>
        <item x="2257"/>
        <item x="524"/>
        <item x="3640"/>
        <item x="1788"/>
        <item x="3922"/>
        <item x="1174"/>
        <item x="3929"/>
        <item x="1880"/>
        <item x="1539"/>
        <item x="3283"/>
        <item x="1707"/>
        <item x="2957"/>
        <item x="2872"/>
        <item x="675"/>
        <item x="2875"/>
        <item x="1686"/>
        <item x="2641"/>
        <item x="2427"/>
        <item x="2459"/>
        <item x="1462"/>
        <item x="467"/>
        <item x="357"/>
        <item x="1325"/>
        <item x="2008"/>
        <item x="3361"/>
        <item x="3853"/>
        <item x="1713"/>
        <item x="3762"/>
        <item x="2408"/>
        <item x="895"/>
        <item x="3522"/>
        <item x="1942"/>
        <item x="629"/>
        <item x="3453"/>
        <item x="2007"/>
        <item x="3710"/>
        <item x="792"/>
        <item x="3679"/>
        <item x="2116"/>
        <item x="2982"/>
        <item x="3771"/>
        <item x="755"/>
        <item x="1796"/>
        <item x="994"/>
        <item x="347"/>
        <item x="913"/>
        <item x="1242"/>
        <item x="3550"/>
        <item x="2359"/>
        <item x="1940"/>
        <item x="2802"/>
        <item x="2485"/>
        <item x="990"/>
        <item x="1393"/>
        <item x="1623"/>
        <item x="2303"/>
        <item x="3174"/>
        <item x="366"/>
        <item x="1770"/>
        <item x="2849"/>
        <item x="2864"/>
        <item x="794"/>
        <item x="685"/>
        <item x="3221"/>
        <item x="3229"/>
        <item x="2297"/>
        <item x="662"/>
        <item x="2490"/>
        <item x="310"/>
        <item x="1338"/>
        <item x="2128"/>
        <item x="145"/>
        <item x="2276"/>
        <item x="3001"/>
        <item x="1712"/>
        <item x="1534"/>
        <item x="3362"/>
        <item x="21"/>
        <item x="1455"/>
        <item x="3044"/>
        <item x="421"/>
        <item x="646"/>
        <item x="3207"/>
        <item x="1703"/>
        <item x="2857"/>
        <item x="3287"/>
        <item x="2504"/>
        <item x="25"/>
        <item x="1680"/>
        <item x="1192"/>
        <item x="2821"/>
        <item x="2469"/>
        <item x="3510"/>
        <item x="2609"/>
        <item x="972"/>
        <item x="3145"/>
        <item x="2308"/>
        <item x="2784"/>
        <item x="2971"/>
        <item x="1786"/>
        <item x="3862"/>
        <item x="2987"/>
        <item x="1256"/>
        <item x="1553"/>
        <item x="1486"/>
        <item x="535"/>
        <item x="3384"/>
        <item x="3605"/>
        <item x="717"/>
        <item x="2395"/>
        <item x="2456"/>
        <item x="3577"/>
        <item x="1744"/>
        <item x="511"/>
        <item x="887"/>
        <item x="3897"/>
        <item x="3538"/>
        <item x="2002"/>
        <item x="2156"/>
        <item x="3085"/>
        <item x="3355"/>
        <item x="354"/>
        <item x="2049"/>
        <item x="2904"/>
        <item x="153"/>
        <item x="3343"/>
        <item x="138"/>
        <item x="2142"/>
        <item x="2097"/>
        <item x="1427"/>
        <item x="1528"/>
        <item x="1555"/>
        <item x="2546"/>
        <item x="130"/>
        <item x="1247"/>
        <item x="616"/>
        <item x="3772"/>
        <item x="2865"/>
        <item x="323"/>
        <item x="3005"/>
        <item x="548"/>
        <item x="2190"/>
        <item x="3247"/>
        <item x="1333"/>
        <item x="2017"/>
        <item x="2983"/>
        <item x="252"/>
        <item x="381"/>
        <item x="3722"/>
        <item x="3042"/>
        <item x="2655"/>
        <item x="1379"/>
        <item x="2412"/>
        <item x="1593"/>
        <item x="1076"/>
        <item x="1629"/>
        <item x="184"/>
        <item x="2417"/>
        <item x="2317"/>
        <item x="2803"/>
        <item x="1916"/>
        <item x="1997"/>
        <item x="1857"/>
        <item x="922"/>
        <item x="1382"/>
        <item x="3002"/>
        <item x="120"/>
        <item x="906"/>
        <item x="3486"/>
        <item x="1264"/>
        <item x="2716"/>
        <item x="3647"/>
        <item x="630"/>
        <item x="3861"/>
        <item x="2992"/>
        <item x="3331"/>
        <item x="2137"/>
        <item x="1543"/>
        <item x="1163"/>
        <item x="1199"/>
        <item x="3877"/>
        <item x="986"/>
        <item x="2940"/>
        <item x="3190"/>
        <item x="1908"/>
        <item x="790"/>
        <item x="835"/>
        <item x="1891"/>
        <item x="1340"/>
        <item x="3920"/>
        <item x="3417"/>
        <item x="708"/>
        <item x="3127"/>
        <item x="88"/>
        <item x="2107"/>
        <item x="910"/>
        <item x="268"/>
        <item x="469"/>
        <item x="1203"/>
        <item x="2894"/>
        <item x="1982"/>
        <item x="3714"/>
        <item x="2633"/>
        <item x="154"/>
        <item x="1950"/>
        <item x="2553"/>
        <item x="2168"/>
        <item x="1634"/>
        <item x="127"/>
        <item x="3243"/>
        <item x="2094"/>
        <item x="892"/>
        <item x="2238"/>
        <item x="2668"/>
        <item x="2695"/>
        <item x="1862"/>
        <item x="3378"/>
        <item x="1727"/>
        <item x="610"/>
        <item x="199"/>
        <item x="1355"/>
        <item x="2568"/>
        <item x="3518"/>
        <item x="2785"/>
        <item x="2759"/>
        <item x="3535"/>
        <item x="2846"/>
        <item x="2644"/>
        <item x="1874"/>
        <item x="1114"/>
        <item x="1663"/>
        <item x="2576"/>
        <item x="1002"/>
        <item x="2046"/>
        <item x="2816"/>
        <item x="626"/>
        <item x="624"/>
        <item x="3398"/>
        <item x="57"/>
        <item x="3868"/>
        <item x="2413"/>
        <item x="3272"/>
        <item x="719"/>
        <item x="3037"/>
        <item x="2235"/>
        <item x="623"/>
        <item x="2781"/>
        <item x="284"/>
        <item x="1432"/>
        <item x="3844"/>
        <item x="238"/>
        <item x="472"/>
        <item x="2877"/>
        <item x="260"/>
        <item x="3211"/>
        <item x="3628"/>
        <item x="243"/>
        <item x="3675"/>
        <item x="849"/>
        <item x="837"/>
        <item x="1135"/>
        <item x="1366"/>
        <item x="304"/>
        <item x="3899"/>
        <item x="592"/>
        <item x="1428"/>
        <item x="1118"/>
        <item x="2600"/>
        <item x="2511"/>
        <item x="1305"/>
        <item x="2247"/>
        <item x="1070"/>
        <item x="3090"/>
        <item x="3441"/>
        <item x="3173"/>
        <item x="2854"/>
        <item x="2433"/>
        <item x="2294"/>
        <item x="795"/>
        <item x="2228"/>
        <item x="1805"/>
        <item x="2100"/>
        <item x="119"/>
        <item x="1474"/>
        <item x="1085"/>
        <item x="3167"/>
        <item x="3286"/>
        <item x="3507"/>
        <item x="903"/>
        <item x="1802"/>
        <item x="1888"/>
        <item x="3470"/>
        <item x="1628"/>
        <item x="3149"/>
        <item x="3998"/>
        <item x="1201"/>
        <item x="1278"/>
        <item x="2110"/>
        <item x="1105"/>
        <item x="2448"/>
        <item x="682"/>
        <item x="388"/>
        <item x="2078"/>
        <item x="2502"/>
        <item x="3275"/>
        <item x="3296"/>
        <item x="3084"/>
        <item x="2178"/>
        <item x="2664"/>
        <item x="2650"/>
        <item x="3814"/>
        <item x="3532"/>
        <item x="44"/>
        <item x="3774"/>
        <item x="1513"/>
        <item x="2217"/>
        <item x="811"/>
        <item x="652"/>
        <item x="3639"/>
        <item x="99"/>
        <item x="2804"/>
        <item x="3238"/>
        <item x="577"/>
        <item x="485"/>
        <item x="451"/>
        <item x="2848"/>
        <item x="3911"/>
        <item x="2680"/>
        <item x="3563"/>
        <item x="3812"/>
        <item x="1637"/>
        <item x="3281"/>
        <item x="2215"/>
        <item x="596"/>
        <item x="340"/>
        <item x="961"/>
        <item x="2124"/>
        <item x="2248"/>
        <item x="3730"/>
        <item x="2093"/>
        <item x="3983"/>
        <item x="3030"/>
        <item x="2305"/>
        <item x="2870"/>
        <item x="3477"/>
        <item x="3525"/>
        <item x="2623"/>
        <item x="1346"/>
        <item x="142"/>
        <item x="3665"/>
        <item x="3427"/>
        <item x="658"/>
        <item x="2818"/>
        <item x="3872"/>
        <item x="980"/>
        <item x="3547"/>
        <item x="3784"/>
        <item x="1983"/>
        <item x="2642"/>
        <item x="1573"/>
        <item x="140"/>
        <item x="2937"/>
        <item x="490"/>
        <item x="157"/>
        <item x="3256"/>
        <item x="364"/>
        <item x="2679"/>
        <item x="1119"/>
        <item x="1510"/>
        <item x="3430"/>
        <item x="751"/>
        <item x="601"/>
        <item x="3360"/>
        <item x="547"/>
        <item x="2506"/>
        <item x="1165"/>
        <item x="1706"/>
        <item x="48"/>
        <item x="1149"/>
        <item x="931"/>
        <item x="3757"/>
        <item x="2489"/>
        <item x="1801"/>
        <item x="225"/>
        <item x="1088"/>
        <item x="94"/>
        <item x="3790"/>
        <item x="569"/>
        <item x="3197"/>
        <item x="1181"/>
        <item x="3996"/>
        <item x="2561"/>
        <item x="2015"/>
        <item x="3703"/>
        <item x="1541"/>
        <item x="1477"/>
        <item x="1410"/>
        <item x="1736"/>
        <item x="3894"/>
        <item x="3321"/>
        <item x="50"/>
        <item x="2510"/>
        <item x="1493"/>
        <item x="3284"/>
        <item x="2949"/>
        <item x="2373"/>
        <item x="3718"/>
        <item x="2337"/>
        <item x="3964"/>
        <item x="3192"/>
        <item x="1853"/>
        <item x="1191"/>
        <item x="1018"/>
        <item x="3624"/>
        <item x="1815"/>
        <item x="1540"/>
        <item x="3882"/>
        <item x="360"/>
        <item x="3429"/>
        <item x="1852"/>
        <item x="1217"/>
        <item x="731"/>
        <item x="890"/>
        <item x="3465"/>
        <item x="2948"/>
        <item x="202"/>
        <item x="2516"/>
        <item x="817"/>
        <item x="1782"/>
        <item x="1373"/>
        <item x="2409"/>
        <item x="1101"/>
        <item x="330"/>
        <item x="2907"/>
        <item x="312"/>
        <item x="2187"/>
        <item x="2410"/>
        <item x="2745"/>
        <item x="3073"/>
        <item x="1415"/>
        <item x="784"/>
        <item x="526"/>
        <item x="3028"/>
        <item x="2418"/>
        <item x="377"/>
        <item x="3743"/>
        <item x="628"/>
        <item x="1839"/>
        <item x="104"/>
        <item x="1711"/>
        <item x="1460"/>
        <item x="2426"/>
        <item x="430"/>
        <item x="1244"/>
        <item x="1237"/>
        <item x="1692"/>
        <item x="1106"/>
        <item x="2329"/>
        <item x="2140"/>
        <item x="2731"/>
        <item x="2018"/>
        <item x="538"/>
        <item x="3454"/>
        <item x="2765"/>
        <item x="1849"/>
        <item x="3900"/>
        <item x="2370"/>
        <item x="3527"/>
        <item x="1230"/>
        <item x="2042"/>
        <item x="3481"/>
        <item x="1129"/>
        <item x="1524"/>
        <item x="1335"/>
        <item x="2051"/>
        <item x="1630"/>
        <item x="3769"/>
        <item x="693"/>
        <item x="2494"/>
        <item x="3663"/>
        <item x="2268"/>
        <item x="1010"/>
        <item x="437"/>
        <item x="3175"/>
        <item x="2547"/>
        <item x="858"/>
        <item x="3955"/>
        <item x="414"/>
        <item x="1922"/>
        <item x="1461"/>
        <item x="3456"/>
        <item x="3995"/>
        <item x="1538"/>
        <item x="2963"/>
        <item x="192"/>
        <item x="739"/>
        <item x="635"/>
        <item x="254"/>
        <item x="3491"/>
        <item x="3332"/>
        <item x="711"/>
        <item x="3528"/>
        <item x="1031"/>
        <item x="3447"/>
        <item x="2552"/>
        <item x="3668"/>
        <item x="3143"/>
        <item x="3261"/>
        <item x="23"/>
        <item x="2207"/>
        <item x="2800"/>
        <item x="3136"/>
        <item x="1143"/>
        <item x="70"/>
        <item x="665"/>
        <item x="31"/>
        <item x="171"/>
        <item x="3705"/>
        <item x="3614"/>
        <item x="143"/>
        <item x="1045"/>
        <item x="3069"/>
        <item x="250"/>
        <item x="1666"/>
        <item x="42"/>
        <item x="1568"/>
        <item x="1048"/>
        <item x="3546"/>
        <item x="174"/>
        <item x="1227"/>
        <item x="2890"/>
        <item x="1832"/>
        <item x="473"/>
        <item x="3131"/>
        <item x="2151"/>
        <item x="587"/>
        <item x="3103"/>
        <item x="729"/>
        <item x="2136"/>
        <item x="428"/>
        <item x="1690"/>
        <item x="2479"/>
        <item x="1609"/>
        <item x="307"/>
        <item x="2684"/>
        <item x="2361"/>
        <item x="3732"/>
        <item x="2921"/>
        <item x="733"/>
        <item x="2038"/>
        <item x="3483"/>
        <item x="700"/>
        <item x="2319"/>
        <item x="1436"/>
        <item x="1451"/>
        <item x="3402"/>
        <item x="2946"/>
        <item x="1669"/>
        <item x="3626"/>
        <item x="2368"/>
        <item x="334"/>
        <item x="166"/>
        <item x="1426"/>
        <item x="343"/>
        <item x="3678"/>
        <item x="1856"/>
        <item x="3114"/>
        <item x="798"/>
        <item x="1667"/>
        <item x="3935"/>
        <item x="2634"/>
        <item x="1414"/>
        <item x="1780"/>
        <item x="2862"/>
        <item x="2332"/>
        <item x="525"/>
        <item x="2631"/>
        <item x="3633"/>
        <item x="3694"/>
        <item x="2735"/>
        <item x="2880"/>
        <item x="2693"/>
        <item x="2430"/>
        <item x="2108"/>
        <item x="3600"/>
        <item x="937"/>
        <item x="96"/>
        <item x="3098"/>
        <item x="2934"/>
        <item x="2507"/>
        <item x="3446"/>
        <item x="2625"/>
        <item x="3831"/>
        <item x="1514"/>
        <item x="613"/>
        <item x="124"/>
        <item x="3939"/>
        <item x="2559"/>
        <item x="726"/>
        <item x="771"/>
        <item x="346"/>
        <item x="2340"/>
        <item x="407"/>
        <item x="2955"/>
        <item x="1413"/>
        <item x="332"/>
        <item x="440"/>
        <item x="2206"/>
        <item x="985"/>
        <item x="2358"/>
        <item x="1806"/>
        <item x="1728"/>
        <item x="1240"/>
        <item x="3582"/>
        <item x="3239"/>
        <item x="571"/>
        <item x="2004"/>
        <item x="2492"/>
        <item x="3150"/>
        <item x="3696"/>
        <item x="187"/>
        <item x="2734"/>
        <item x="2786"/>
        <item x="3353"/>
        <item x="415"/>
        <item x="2061"/>
        <item x="1914"/>
        <item x="602"/>
        <item x="962"/>
        <item x="3083"/>
        <item x="1453"/>
        <item x="3505"/>
        <item x="1179"/>
        <item x="827"/>
        <item x="3725"/>
        <item x="3327"/>
        <item x="656"/>
        <item x="756"/>
        <item x="2928"/>
        <item x="2977"/>
        <item x="677"/>
        <item x="650"/>
        <item x="3781"/>
        <item x="1745"/>
        <item x="585"/>
        <item x="2869"/>
        <item x="3304"/>
        <item x="743"/>
        <item x="1068"/>
        <item x="2143"/>
        <item x="452"/>
        <item x="1683"/>
        <item x="2939"/>
        <item x="2509"/>
        <item x="2901"/>
        <item x="1485"/>
        <item x="1331"/>
        <item x="2403"/>
        <item x="270"/>
        <item x="3186"/>
        <item x="427"/>
        <item x="181"/>
        <item x="3567"/>
        <item x="1984"/>
        <item x="2157"/>
        <item x="1592"/>
        <item x="416"/>
        <item x="303"/>
        <item x="62"/>
        <item x="1370"/>
        <item x="3265"/>
        <item x="2700"/>
        <item x="2263"/>
        <item x="502"/>
        <item x="3381"/>
        <item x="3220"/>
        <item x="2832"/>
        <item x="3913"/>
        <item x="3697"/>
        <item x="2057"/>
        <item x="1026"/>
        <item x="828"/>
        <item x="2703"/>
        <item x="2070"/>
        <item x="1910"/>
        <item x="2356"/>
        <item x="1262"/>
        <item x="606"/>
        <item x="3195"/>
        <item x="1920"/>
        <item x="80"/>
        <item x="236"/>
        <item x="1121"/>
        <item x="2627"/>
        <item x="2722"/>
        <item x="3671"/>
        <item x="1614"/>
        <item x="3036"/>
        <item x="2952"/>
        <item x="3656"/>
        <item x="3270"/>
        <item x="2521"/>
        <item x="531"/>
        <item x="1918"/>
        <item x="1344"/>
        <item x="1529"/>
        <item x="868"/>
        <item x="3805"/>
        <item x="2886"/>
        <item x="475"/>
        <item x="1941"/>
        <item x="2010"/>
        <item x="1989"/>
        <item x="1867"/>
        <item x="1300"/>
        <item x="536"/>
        <item x="805"/>
        <item x="3032"/>
        <item x="3269"/>
        <item x="641"/>
        <item x="1980"/>
        <item x="136"/>
        <item x="3011"/>
        <item x="720"/>
        <item x="582"/>
        <item x="1536"/>
        <item x="1285"/>
        <item x="2792"/>
        <item x="631"/>
        <item x="317"/>
        <item x="52"/>
        <item x="3099"/>
        <item x="1113"/>
        <item x="3602"/>
        <item x="3776"/>
        <item x="3154"/>
        <item x="1497"/>
        <item x="1991"/>
        <item x="283"/>
        <item x="3526"/>
        <item x="1151"/>
        <item x="3151"/>
        <item x="2758"/>
        <item x="3544"/>
        <item x="2250"/>
        <item x="278"/>
        <item x="3857"/>
        <item x="2191"/>
        <item x="2431"/>
        <item x="1570"/>
        <item x="2375"/>
        <item x="3746"/>
        <item x="2624"/>
        <item x="812"/>
        <item x="1562"/>
        <item x="3242"/>
        <item x="1261"/>
        <item x="2976"/>
        <item x="1006"/>
        <item x="2905"/>
        <item x="1904"/>
        <item x="34"/>
        <item x="2467"/>
        <item x="2779"/>
        <item x="881"/>
        <item x="930"/>
        <item x="1232"/>
        <item x="1430"/>
        <item x="694"/>
        <item x="2126"/>
        <item x="3452"/>
        <item x="3625"/>
        <item x="3944"/>
        <item x="3840"/>
        <item x="1395"/>
        <item x="2672"/>
        <item x="1365"/>
        <item x="3014"/>
        <item x="2179"/>
        <item x="852"/>
        <item x="2129"/>
        <item x="1168"/>
        <item x="3555"/>
        <item x="3612"/>
        <item x="3437"/>
        <item x="938"/>
        <item x="1783"/>
        <item x="1851"/>
        <item x="1116"/>
        <item x="1281"/>
        <item x="1897"/>
        <item x="423"/>
        <item x="3391"/>
        <item x="2933"/>
        <item x="507"/>
        <item x="1949"/>
        <item x="74"/>
        <item x="1618"/>
        <item x="3758"/>
        <item x="3146"/>
        <item x="3039"/>
        <item x="392"/>
        <item x="909"/>
        <item x="2596"/>
        <item x="3825"/>
        <item x="3004"/>
        <item x="1130"/>
        <item x="1632"/>
        <item x="1915"/>
        <item x="783"/>
        <item x="2277"/>
        <item x="109"/>
        <item x="2251"/>
        <item x="3677"/>
        <item x="56"/>
        <item x="3928"/>
        <item x="98"/>
        <item x="3695"/>
        <item x="3571"/>
        <item x="1508"/>
        <item x="373"/>
        <item x="3003"/>
        <item x="839"/>
        <item x="3907"/>
        <item x="1693"/>
        <item x="3047"/>
        <item x="63"/>
        <item x="1231"/>
        <item x="1650"/>
        <item x="1854"/>
        <item x="2607"/>
        <item x="1307"/>
        <item x="3496"/>
        <item x="2482"/>
        <item x="2842"/>
        <item x="2720"/>
        <item x="561"/>
        <item x="3813"/>
        <item x="3108"/>
        <item x="2138"/>
        <item x="966"/>
        <item x="3755"/>
        <item x="2603"/>
        <item x="3973"/>
        <item x="160"/>
        <item x="800"/>
        <item x="2323"/>
        <item x="2879"/>
        <item x="3464"/>
        <item x="315"/>
        <item x="1841"/>
        <item x="1651"/>
        <item x="1494"/>
        <item x="1067"/>
        <item x="3241"/>
        <item x="177"/>
        <item x="3212"/>
        <item x="2072"/>
        <item x="2365"/>
        <item x="3726"/>
        <item x="1829"/>
        <item x="2660"/>
        <item x="595"/>
        <item x="2212"/>
        <item x="3252"/>
        <item x="3426"/>
        <item x="3537"/>
        <item x="684"/>
        <item x="1591"/>
        <item x="2916"/>
        <item x="2620"/>
        <item x="2666"/>
        <item x="64"/>
        <item x="2876"/>
        <item x="1157"/>
        <item x="2837"/>
        <item x="3253"/>
        <item x="3074"/>
        <item x="1870"/>
        <item x="3723"/>
        <item x="3572"/>
        <item x="588"/>
        <item x="1372"/>
        <item x="2536"/>
        <item x="3876"/>
        <item x="123"/>
        <item x="3659"/>
        <item x="520"/>
        <item x="659"/>
        <item x="3888"/>
        <item x="1023"/>
        <item x="2043"/>
        <item x="580"/>
        <item x="3674"/>
        <item x="1715"/>
        <item x="2640"/>
        <item x="2960"/>
        <item x="321"/>
        <item x="1383"/>
        <item x="963"/>
        <item x="899"/>
        <item x="2503"/>
        <item x="2637"/>
        <item x="1819"/>
        <item x="1127"/>
        <item x="2081"/>
        <item x="1257"/>
        <item x="224"/>
        <item x="944"/>
        <item x="3956"/>
        <item x="1866"/>
        <item x="327"/>
        <item x="2654"/>
        <item x="253"/>
        <item x="1585"/>
        <item x="462"/>
        <item x="3768"/>
        <item x="3475"/>
        <item x="3087"/>
        <item x="329"/>
        <item x="3574"/>
        <item x="3148"/>
        <item x="2893"/>
        <item x="645"/>
        <item x="1765"/>
        <item x="3575"/>
        <item x="3739"/>
        <item x="1376"/>
        <item x="3827"/>
        <item x="240"/>
        <item x="2686"/>
        <item x="2139"/>
        <item x="576"/>
        <item x="2031"/>
        <item x="3410"/>
        <item x="1265"/>
        <item x="848"/>
        <item x="1258"/>
        <item x="518"/>
        <item x="1407"/>
        <item x="2486"/>
        <item x="2798"/>
        <item x="2279"/>
        <item x="494"/>
        <item x="1506"/>
        <item x="339"/>
        <item x="822"/>
        <item x="2897"/>
        <item x="674"/>
        <item x="242"/>
        <item x="2778"/>
        <item x="2131"/>
        <item x="3322"/>
        <item x="1549"/>
        <item x="2189"/>
        <item x="2421"/>
        <item x="2205"/>
        <item x="3509"/>
        <item x="2999"/>
        <item x="53"/>
        <item x="611"/>
        <item x="1708"/>
        <item x="3248"/>
        <item x="1563"/>
        <item x="3588"/>
        <item x="305"/>
        <item x="2474"/>
        <item x="2349"/>
        <item x="152"/>
        <item x="390"/>
        <item x="374"/>
        <item x="3916"/>
        <item x="3317"/>
        <item x="1606"/>
        <item x="793"/>
        <item x="8"/>
        <item x="1483"/>
        <item x="1078"/>
        <item x="1385"/>
        <item x="3592"/>
        <item x="245"/>
        <item x="3000"/>
        <item x="554"/>
        <item x="3591"/>
        <item x="3786"/>
        <item x="488"/>
        <item x="1"/>
        <item x="1057"/>
        <item x="1833"/>
        <item x="2595"/>
        <item x="3065"/>
        <item x="3382"/>
        <item x="522"/>
        <item x="2396"/>
        <item x="244"/>
        <item x="2755"/>
        <item x="3200"/>
        <item x="3672"/>
        <item x="1882"/>
        <item x="3031"/>
        <item x="395"/>
        <item x="2980"/>
        <item x="1873"/>
        <item x="2201"/>
        <item x="2259"/>
        <item x="251"/>
        <item x="834"/>
        <item x="3264"/>
        <item x="3019"/>
        <item x="3634"/>
        <item x="806"/>
        <item x="1110"/>
        <item x="2833"/>
        <item x="3444"/>
        <item x="2508"/>
        <item x="3583"/>
        <item x="509"/>
        <item x="3990"/>
        <item x="3832"/>
        <item x="163"/>
        <item x="229"/>
        <item x="3415"/>
        <item x="2336"/>
        <item x="3118"/>
        <item x="1691"/>
        <item x="1303"/>
        <item x="517"/>
        <item x="1724"/>
        <item x="446"/>
        <item x="1582"/>
        <item x="1259"/>
        <item x="55"/>
        <item x="2013"/>
        <item x="58"/>
        <item x="2040"/>
        <item x="649"/>
        <item x="2161"/>
        <item x="3609"/>
        <item x="3662"/>
        <item x="1901"/>
        <item x="2694"/>
        <item x="527"/>
        <item x="1092"/>
        <item x="951"/>
        <item x="2667"/>
        <item x="1194"/>
        <item x="2264"/>
        <item x="688"/>
        <item x="2422"/>
        <item x="2376"/>
        <item x="3109"/>
        <item x="1065"/>
        <item x="660"/>
        <item x="3179"/>
        <item x="1254"/>
        <item x="2919"/>
        <item x="3222"/>
        <item x="272"/>
        <item x="3670"/>
        <item x="3717"/>
        <item x="1858"/>
        <item x="2796"/>
        <item x="581"/>
        <item x="350"/>
        <item x="1421"/>
        <item x="2227"/>
        <item x="1501"/>
        <item x="2260"/>
        <item x="241"/>
        <item x="1420"/>
        <item x="1209"/>
        <item x="2958"/>
        <item x="3333"/>
        <item x="1946"/>
        <item x="2288"/>
        <item x="1641"/>
        <item x="355"/>
        <item x="2530"/>
        <item x="1155"/>
        <item x="2033"/>
        <item x="2923"/>
        <item x="393"/>
        <item x="529"/>
        <item x="2812"/>
        <item x="667"/>
        <item x="2908"/>
        <item x="3484"/>
        <item x="657"/>
        <item x="1126"/>
        <item x="5"/>
        <item x="621"/>
        <item x="1757"/>
        <item x="3804"/>
        <item x="188"/>
        <item x="2612"/>
        <item x="3075"/>
        <item x="2797"/>
        <item x="3461"/>
        <item x="1189"/>
        <item x="1792"/>
        <item x="3249"/>
        <item x="2525"/>
        <item x="1063"/>
        <item x="1439"/>
        <item x="3189"/>
        <item x="3988"/>
        <item x="3310"/>
        <item x="872"/>
        <item x="2073"/>
        <item x="983"/>
        <item x="3847"/>
        <item x="2764"/>
        <item x="637"/>
        <item x="976"/>
        <item x="3204"/>
        <item x="2241"/>
        <item x="3870"/>
        <item x="1251"/>
        <item x="1844"/>
        <item x="781"/>
        <item x="226"/>
        <item x="2998"/>
        <item x="1443"/>
        <item x="808"/>
        <item x="1971"/>
        <item x="2249"/>
        <item x="2721"/>
        <item x="946"/>
        <item x="1496"/>
        <item x="2184"/>
        <item x="448"/>
        <item x="351"/>
        <item x="1500"/>
        <item x="3318"/>
        <item x="3542"/>
        <item x="1142"/>
        <item x="3403"/>
        <item x="1229"/>
        <item x="3658"/>
        <item x="2465"/>
        <item x="3487"/>
        <item x="939"/>
        <item x="3754"/>
        <item x="1422"/>
        <item x="2068"/>
        <item x="249"/>
        <item x="1620"/>
        <item x="2102"/>
        <item x="3994"/>
        <item x="1390"/>
        <item x="2746"/>
        <item x="1411"/>
        <item x="566"/>
        <item x="401"/>
        <item x="907"/>
        <item x="3753"/>
        <item x="3006"/>
        <item x="3130"/>
        <item x="1947"/>
        <item x="132"/>
        <item x="295"/>
        <item x="1004"/>
        <item x="3521"/>
        <item x="2790"/>
        <item x="1032"/>
        <item x="1737"/>
        <item x="1622"/>
        <item x="2304"/>
        <item x="3830"/>
        <item x="1144"/>
        <item x="3610"/>
        <item x="1963"/>
        <item x="180"/>
        <item x="2543"/>
        <item x="3314"/>
        <item x="3017"/>
        <item x="105"/>
        <item x="125"/>
        <item x="365"/>
        <item x="352"/>
        <item x="3180"/>
        <item x="2065"/>
        <item x="228"/>
        <item x="1301"/>
        <item x="3951"/>
        <item x="1458"/>
        <item x="917"/>
        <item x="1033"/>
        <item x="3133"/>
        <item x="583"/>
        <item x="2659"/>
        <item x="480"/>
        <item x="1517"/>
        <item x="3344"/>
        <item x="2153"/>
        <item x="940"/>
        <item x="1911"/>
        <item x="3468"/>
        <item x="3236"/>
        <item x="3425"/>
        <item x="150"/>
        <item x="3991"/>
        <item x="2978"/>
        <item x="1509"/>
        <item x="3901"/>
        <item x="12"/>
        <item x="13"/>
        <item x="2119"/>
        <item x="1822"/>
        <item x="2884"/>
        <item x="3144"/>
        <item x="3029"/>
        <item x="510"/>
        <item x="3963"/>
        <item x="1872"/>
        <item x="2788"/>
        <item x="1029"/>
        <item x="3021"/>
        <item x="3473"/>
        <item x="725"/>
        <item x="1266"/>
        <item x="2942"/>
        <item x="1374"/>
        <item x="3439"/>
        <item x="2121"/>
        <item x="888"/>
        <item x="503"/>
        <item x="3492"/>
        <item x="111"/>
        <item x="2357"/>
        <item x="2740"/>
        <item x="3808"/>
        <item x="1675"/>
        <item x="3569"/>
        <item x="671"/>
        <item x="3925"/>
        <item x="766"/>
        <item x="3078"/>
        <item x="2160"/>
        <item x="663"/>
        <item x="10"/>
        <item x="3235"/>
        <item x="1334"/>
        <item x="67"/>
        <item x="1253"/>
        <item x="704"/>
        <item x="3126"/>
        <item x="3320"/>
        <item x="984"/>
        <item x="1425"/>
        <item x="1172"/>
        <item x="1190"/>
        <item x="1387"/>
        <item x="212"/>
        <item x="604"/>
        <item x="575"/>
        <item x="1476"/>
        <item x="190"/>
        <item x="543"/>
        <item x="432"/>
        <item x="1058"/>
        <item x="14"/>
        <item x="2060"/>
        <item x="689"/>
        <item x="314"/>
        <item x="2229"/>
        <item x="647"/>
        <item x="2025"/>
        <item x="3596"/>
        <item x="2293"/>
        <item x="3479"/>
        <item x="1719"/>
        <item x="1577"/>
        <item x="3240"/>
        <item x="1314"/>
        <item x="1977"/>
        <item x="3338"/>
        <item x="3909"/>
        <item x="2014"/>
        <item x="292"/>
        <item x="1742"/>
        <item x="1661"/>
        <item x="885"/>
        <item x="1876"/>
        <item x="500"/>
        <item x="170"/>
        <item x="1236"/>
        <item x="3060"/>
        <item x="2532"/>
        <item x="880"/>
        <item x="1348"/>
        <item x="3020"/>
        <item x="1153"/>
        <item x="3716"/>
        <item x="2534"/>
        <item x="3809"/>
        <item x="504"/>
        <item x="1781"/>
        <item x="293"/>
        <item x="1274"/>
        <item x="3128"/>
        <item x="618"/>
        <item x="239"/>
        <item x="398"/>
        <item x="2035"/>
        <item x="2314"/>
        <item x="1909"/>
        <item x="3594"/>
        <item x="1457"/>
        <item x="3917"/>
        <item x="207"/>
        <item x="801"/>
        <item x="3346"/>
        <item x="463"/>
        <item x="1589"/>
        <item x="2335"/>
        <item x="3102"/>
        <item x="1766"/>
        <item x="3587"/>
        <item x="3621"/>
        <item x="664"/>
        <item x="1893"/>
        <item x="2095"/>
        <item x="1761"/>
        <item x="3551"/>
        <item x="1328"/>
        <item x="919"/>
        <item x="3545"/>
        <item x="3891"/>
        <item x="1447"/>
        <item x="851"/>
        <item x="3958"/>
        <item x="2360"/>
        <item x="3374"/>
        <item x="2868"/>
        <item x="3490"/>
        <item x="1889"/>
        <item x="3288"/>
        <item x="1787"/>
        <item x="2805"/>
        <item x="1738"/>
        <item x="2306"/>
        <item x="3345"/>
        <item x="947"/>
        <item x="3660"/>
        <item x="2006"/>
        <item x="2200"/>
        <item x="285"/>
        <item x="72"/>
        <item x="3818"/>
        <item x="194"/>
        <item x="2762"/>
        <item x="1021"/>
        <item x="3606"/>
        <item x="391"/>
        <item x="186"/>
        <item x="454"/>
        <item x="3515"/>
        <item x="850"/>
        <item x="1140"/>
        <item x="1291"/>
        <item x="633"/>
        <item x="2462"/>
        <item x="2399"/>
        <item x="780"/>
        <item x="3396"/>
        <item x="1465"/>
        <item x="2377"/>
        <item x="1161"/>
        <item x="3300"/>
        <item x="2598"/>
        <item x="2906"/>
        <item x="2066"/>
        <item x="3260"/>
        <item x="3721"/>
        <item x="1542"/>
        <item x="114"/>
        <item x="1658"/>
        <item x="2096"/>
        <item x="100"/>
        <item x="1825"/>
        <item x="2789"/>
        <item x="3488"/>
        <item x="2643"/>
        <item x="1750"/>
        <item x="1811"/>
        <item x="1351"/>
        <item x="2806"/>
        <item x="1899"/>
        <item x="2671"/>
        <item x="3559"/>
        <item x="3230"/>
        <item x="1678"/>
        <item x="1471"/>
        <item x="1521"/>
        <item x="736"/>
        <item x="248"/>
        <item x="3045"/>
        <item x="431"/>
        <item x="3359"/>
        <item x="3942"/>
        <item x="1816"/>
        <item x="2223"/>
        <item x="2866"/>
        <item x="3727"/>
        <item x="3092"/>
        <item x="3119"/>
        <item x="208"/>
        <item x="599"/>
        <item x="3954"/>
        <item x="864"/>
        <item x="1718"/>
        <item x="3637"/>
        <item x="2601"/>
        <item x="3611"/>
        <item x="706"/>
        <item x="1313"/>
        <item x="3576"/>
        <item x="2464"/>
        <item x="3424"/>
        <item x="1377"/>
        <item x="1060"/>
        <item x="3524"/>
        <item x="210"/>
        <item x="796"/>
        <item x="286"/>
        <item x="564"/>
        <item x="3392"/>
        <item x="367"/>
        <item x="530"/>
        <item x="1102"/>
        <item x="3035"/>
        <item x="1976"/>
        <item x="1613"/>
        <item x="3630"/>
        <item x="3667"/>
        <item x="1648"/>
        <item x="2993"/>
        <item x="2776"/>
        <item x="3080"/>
        <item x="877"/>
        <item x="1612"/>
        <item x="3750"/>
        <item x="3968"/>
        <item x="83"/>
        <item x="593"/>
        <item x="1961"/>
        <item x="1526"/>
        <item x="3709"/>
        <item x="3940"/>
        <item x="39"/>
        <item x="3334"/>
        <item x="457"/>
        <item x="2483"/>
        <item x="893"/>
        <item x="2322"/>
        <item x="1286"/>
        <item x="1804"/>
        <item x="2290"/>
        <item x="3649"/>
        <item x="3050"/>
        <item x="2566"/>
        <item x="1187"/>
        <item x="1943"/>
        <item x="2132"/>
        <item x="2517"/>
        <item x="1610"/>
        <item x="3048"/>
        <item x="3443"/>
        <item x="1687"/>
        <item x="1601"/>
        <item x="539"/>
        <item x="2608"/>
        <item x="434"/>
        <item x="1554"/>
        <item x="2478"/>
        <item x="3970"/>
        <item x="2388"/>
        <item x="2435"/>
        <item x="3693"/>
        <item x="2839"/>
        <item x="3797"/>
        <item x="2391"/>
        <item x="2130"/>
        <item x="24"/>
        <item x="2545"/>
        <item x="7"/>
        <item x="3993"/>
        <item x="2445"/>
        <item x="1531"/>
        <item x="816"/>
        <item x="2088"/>
        <item x="920"/>
        <item x="1016"/>
        <item x="231"/>
        <item x="3303"/>
        <item x="3202"/>
        <item x="167"/>
        <item x="1489"/>
        <item x="1177"/>
        <item x="215"/>
        <item x="2404"/>
        <item x="2019"/>
        <item x="1446"/>
        <item x="3593"/>
        <item x="1449"/>
        <item x="1579"/>
        <item x="823"/>
        <item x="2701"/>
        <item x="1178"/>
        <item x="2853"/>
        <item x="2622"/>
        <item x="1732"/>
        <item x="3259"/>
        <item x="2678"/>
        <item x="787"/>
        <item x="3926"/>
        <item x="1797"/>
        <item x="2076"/>
        <item x="1522"/>
        <item x="1671"/>
        <item x="2574"/>
        <item x="2685"/>
        <item x="1478"/>
        <item x="770"/>
        <item x="2055"/>
        <item x="3839"/>
        <item x="883"/>
        <item x="1111"/>
        <item x="191"/>
        <item x="2147"/>
        <item x="3232"/>
        <item x="2575"/>
        <item x="51"/>
        <item x="3421"/>
        <item x="655"/>
        <item x="3811"/>
        <item x="996"/>
        <item x="2185"/>
        <item x="943"/>
        <item x="533"/>
        <item x="3390"/>
        <item x="648"/>
        <item x="3573"/>
        <item x="2882"/>
        <item x="1747"/>
        <item x="2793"/>
        <item x="840"/>
        <item x="2519"/>
        <item x="1698"/>
        <item x="2959"/>
        <item x="1162"/>
        <item x="86"/>
        <item x="3636"/>
        <item x="2080"/>
        <item x="546"/>
        <item x="697"/>
        <item x="2690"/>
        <item x="2034"/>
        <item x="3503"/>
        <item x="2787"/>
        <item x="294"/>
        <item x="1034"/>
        <item x="1569"/>
        <item x="2037"/>
        <item x="3508"/>
        <item x="975"/>
        <item x="2708"/>
        <item x="2455"/>
        <item x="2808"/>
        <item x="3539"/>
        <item x="1633"/>
        <item x="1473"/>
        <item x="3369"/>
        <item x="3280"/>
        <item x="2011"/>
        <item x="386"/>
        <item x="1015"/>
        <item x="1925"/>
        <item x="2405"/>
        <item x="734"/>
        <item x="1112"/>
        <item x="3223"/>
        <item x="3904"/>
        <item x="1795"/>
        <item x="3217"/>
        <item x="3597"/>
        <item x="1532"/>
        <item x="1701"/>
        <item x="3635"/>
        <item x="309"/>
        <item x="2026"/>
        <item x="17"/>
        <item x="1990"/>
        <item x="201"/>
        <item x="141"/>
        <item x="324"/>
        <item x="1575"/>
        <item x="1276"/>
        <item x="216"/>
        <item x="1337"/>
        <item x="2662"/>
        <item x="3478"/>
        <item x="3208"/>
        <item x="1012"/>
        <item x="300"/>
        <item x="3856"/>
        <item x="223"/>
        <item x="3530"/>
        <item x="3350"/>
        <item x="724"/>
        <item x="3043"/>
        <item x="2350"/>
        <item x="1502"/>
        <item x="754"/>
        <item x="2823"/>
        <item x="2577"/>
        <item x="757"/>
        <item x="982"/>
        <item x="499"/>
        <item x="183"/>
        <item x="3356"/>
        <item x="879"/>
        <item x="676"/>
        <item x="3471"/>
        <item x="2274"/>
        <item x="2476"/>
        <item x="2105"/>
        <item x="869"/>
        <item x="1931"/>
        <item x="2242"/>
        <item x="3712"/>
        <item x="2610"/>
        <item x="948"/>
        <item x="3162"/>
        <item x="2571"/>
        <item x="3341"/>
        <item x="2122"/>
        <item x="3689"/>
        <item x="1171"/>
        <item x="2682"/>
        <item x="1003"/>
        <item x="2891"/>
        <item x="1389"/>
        <item x="196"/>
        <item x="1798"/>
        <item x="1220"/>
        <item x="3273"/>
        <item x="782"/>
        <item x="1621"/>
        <item x="815"/>
        <item x="2951"/>
        <item x="1820"/>
        <item x="3645"/>
        <item x="2231"/>
        <item x="1091"/>
        <item x="1103"/>
        <item x="261"/>
        <item x="1639"/>
        <item x="3112"/>
        <item x="2867"/>
        <item x="579"/>
        <item x="1992"/>
        <item x="200"/>
        <item x="2000"/>
        <item x="2443"/>
        <item x="3307"/>
        <item x="638"/>
        <item x="3543"/>
        <item x="2104"/>
        <item x="2752"/>
        <item x="85"/>
        <item x="912"/>
        <item x="3056"/>
        <item x="313"/>
        <item x="2196"/>
        <item x="3936"/>
        <item x="1576"/>
        <item x="1934"/>
        <item x="2930"/>
        <item x="213"/>
        <item x="2493"/>
        <item x="3552"/>
        <item x="77"/>
        <item x="2059"/>
        <item x="506"/>
        <item x="981"/>
        <item x="3380"/>
        <item x="673"/>
        <item x="777"/>
        <item x="2352"/>
        <item x="1359"/>
        <item x="394"/>
        <item x="2265"/>
        <item x="3460"/>
        <item x="1208"/>
        <item x="2726"/>
        <item x="1418"/>
        <item x="537"/>
        <item x="2442"/>
        <item x="279"/>
        <item x="1842"/>
        <item x="672"/>
        <item x="2481"/>
        <item x="1985"/>
        <item x="1919"/>
        <item x="3100"/>
        <item x="1959"/>
        <item x="2827"/>
        <item x="233"/>
        <item x="387"/>
        <item x="866"/>
        <item x="902"/>
        <item x="3034"/>
        <item x="844"/>
        <item x="2233"/>
        <item x="2022"/>
        <item x="2411"/>
        <item x="1807"/>
        <item x="1773"/>
        <item x="3107"/>
        <item x="2927"/>
        <item x="1350"/>
        <item x="1689"/>
        <item x="356"/>
        <item x="3531"/>
        <item x="2389"/>
        <item x="521"/>
        <item x="2106"/>
        <item x="1776"/>
        <item x="320"/>
        <item x="999"/>
        <item x="107"/>
        <item x="1081"/>
        <item x="2224"/>
        <item x="3982"/>
        <item x="904"/>
        <item x="1636"/>
        <item x="460"/>
        <item x="1520"/>
        <item x="2091"/>
        <item x="3330"/>
        <item x="1014"/>
        <item x="3271"/>
        <item x="3700"/>
        <item x="3622"/>
        <item x="2208"/>
        <item x="459"/>
        <item x="426"/>
        <item x="2393"/>
        <item x="2429"/>
        <item x="2965"/>
        <item x="1490"/>
        <item x="1566"/>
        <item x="1086"/>
        <item x="605"/>
        <item x="3586"/>
        <item x="318"/>
        <item x="3713"/>
        <item x="2477"/>
        <item x="2954"/>
        <item x="3024"/>
        <item x="3848"/>
        <item x="2380"/>
        <item x="3601"/>
        <item x="3182"/>
        <item x="299"/>
        <item x="3950"/>
        <item x="3226"/>
        <item x="1170"/>
        <item x="2653"/>
        <item x="3081"/>
        <item x="102"/>
        <item x="1013"/>
        <item x="1083"/>
        <item x="750"/>
        <item x="2656"/>
        <item x="607"/>
        <item x="898"/>
        <item x="2991"/>
        <item x="1769"/>
        <item x="715"/>
        <item x="195"/>
        <item x="1962"/>
        <item x="1673"/>
        <item x="2316"/>
        <item x="264"/>
        <item x="2458"/>
        <item x="921"/>
        <item x="1907"/>
        <item x="1644"/>
        <item x="3480"/>
        <item x="1321"/>
        <item x="1968"/>
        <item x="714"/>
        <item x="1905"/>
        <item x="2463"/>
        <item x="2730"/>
        <item x="1830"/>
        <item x="2809"/>
        <item x="3943"/>
        <item x="2621"/>
        <item x="3820"/>
        <item x="2056"/>
        <item x="3358"/>
        <item x="1808"/>
        <item x="3828"/>
        <item x="1401"/>
        <item x="1877"/>
        <item x="3540"/>
        <item x="2835"/>
        <item x="3485"/>
        <item x="2133"/>
        <item x="1835"/>
        <item x="642"/>
        <item x="3152"/>
        <item x="1125"/>
        <item x="1624"/>
        <item x="3934"/>
        <item x="302"/>
        <item x="1215"/>
        <item x="3147"/>
        <item x="1000"/>
        <item x="95"/>
        <item x="3829"/>
        <item x="856"/>
        <item x="1838"/>
        <item x="3282"/>
        <item x="2152"/>
        <item x="3170"/>
        <item x="532"/>
        <item x="3315"/>
        <item x="2691"/>
        <item x="1714"/>
        <item x="316"/>
        <item x="495"/>
        <item x="998"/>
        <item x="1999"/>
        <item x="2"/>
        <item x="2767"/>
        <item x="198"/>
        <item x="1998"/>
        <item x="1604"/>
        <item x="3383"/>
        <item x="3749"/>
        <item x="2292"/>
        <item x="1890"/>
        <item x="301"/>
        <item x="1318"/>
        <item x="3457"/>
        <item x="3548"/>
        <item x="2681"/>
        <item x="3196"/>
        <item x="1948"/>
        <item x="2193"/>
        <item x="3482"/>
        <item x="678"/>
        <item x="3731"/>
        <item x="287"/>
        <item x="3742"/>
        <item x="3251"/>
        <item x="3276"/>
        <item x="3297"/>
        <item x="3766"/>
        <item x="361"/>
        <item x="2114"/>
        <item x="128"/>
        <item x="3336"/>
        <item x="3121"/>
        <item x="746"/>
        <item x="2925"/>
        <item x="2099"/>
        <item x="2605"/>
        <item x="3113"/>
        <item x="276"/>
        <item x="2030"/>
        <item x="1132"/>
        <item x="2256"/>
        <item x="1551"/>
        <item x="627"/>
        <item x="3778"/>
        <item x="101"/>
        <item x="2535"/>
        <item x="1221"/>
        <item x="289"/>
        <item x="1381"/>
        <item x="3091"/>
        <item x="1442"/>
        <item x="3450"/>
        <item x="411"/>
        <item x="89"/>
        <item x="773"/>
        <item x="455"/>
        <item x="2397"/>
        <item x="3859"/>
        <item x="45"/>
        <item x="3237"/>
        <item x="3708"/>
        <item x="3796"/>
        <item x="2943"/>
        <item x="336"/>
        <item x="435"/>
        <item x="3595"/>
        <item x="3646"/>
        <item x="2712"/>
        <item x="1789"/>
        <item x="1605"/>
        <item x="2272"/>
        <item x="206"/>
        <item x="952"/>
        <item x="2581"/>
        <item x="818"/>
        <item x="2141"/>
        <item x="1454"/>
        <item x="1022"/>
        <item x="988"/>
        <item x="1330"/>
        <item x="3835"/>
        <item x="825"/>
        <item x="2246"/>
        <item x="3227"/>
        <item x="1260"/>
        <item x="2165"/>
        <item x="3132"/>
        <item x="385"/>
        <item x="1590"/>
        <item x="3794"/>
        <item x="3627"/>
        <item x="257"/>
        <item x="151"/>
        <item x="2450"/>
        <item x="2021"/>
        <item x="3514"/>
        <item x="2287"/>
        <item x="468"/>
        <item x="3930"/>
        <item x="875"/>
        <item x="3648"/>
        <item x="1398"/>
        <item x="3375"/>
        <item x="2173"/>
        <item x="185"/>
        <item x="1400"/>
        <item x="2733"/>
        <item x="2283"/>
        <item x="2831"/>
        <item x="882"/>
        <item x="3376"/>
        <item x="523"/>
        <item x="2863"/>
        <item x="3822"/>
        <item x="2713"/>
        <item x="3965"/>
        <item x="2710"/>
        <item x="3352"/>
        <item x="117"/>
        <item x="2885"/>
        <item x="2646"/>
        <item x="1416"/>
        <item x="3466"/>
        <item x="3289"/>
        <item x="2177"/>
        <item x="891"/>
        <item x="1895"/>
        <item x="3347"/>
        <item x="1409"/>
        <item x="178"/>
        <item x="2537"/>
        <item x="46"/>
        <item x="209"/>
        <item x="3652"/>
        <item x="3747"/>
        <item x="2527"/>
        <item x="1304"/>
        <item x="269"/>
        <item x="1665"/>
        <item x="3064"/>
        <item x="378"/>
        <item x="2810"/>
        <item x="2204"/>
        <item x="2398"/>
        <item x="2169"/>
        <item x="2929"/>
        <item x="59"/>
        <item x="1354"/>
        <item x="1433"/>
        <item x="2794"/>
        <item x="3268"/>
        <item x="2981"/>
        <item x="3976"/>
        <item x="1930"/>
        <item x="789"/>
        <item x="1336"/>
        <item x="1050"/>
        <item x="565"/>
        <item x="1720"/>
        <item x="90"/>
        <item x="3833"/>
        <item x="1090"/>
        <item x="1809"/>
        <item x="37"/>
        <item x="1572"/>
        <item x="3560"/>
        <item x="2171"/>
        <item x="3311"/>
        <item x="1327"/>
        <item x="2302"/>
        <item x="1295"/>
        <item x="2280"/>
        <item x="1504"/>
        <item x="1109"/>
        <item x="1875"/>
        <item x="1642"/>
        <item x="1676"/>
        <item x="2353"/>
        <item x="2697"/>
        <item x="3905"/>
        <item x="2327"/>
        <item x="29"/>
        <item x="113"/>
        <item x="290"/>
        <item x="3688"/>
        <item x="149"/>
        <item x="2346"/>
        <item x="1697"/>
        <item x="847"/>
        <item x="3418"/>
        <item x="2541"/>
        <item x="1234"/>
        <item x="1158"/>
        <item x="2514"/>
        <item x="115"/>
        <item x="219"/>
        <item x="3411"/>
        <item x="3823"/>
        <item x="1403"/>
        <item x="884"/>
        <item x="2468"/>
        <item x="3134"/>
        <item x="3885"/>
        <item x="3798"/>
        <item x="3469"/>
        <item x="2324"/>
        <item x="2067"/>
        <item x="2777"/>
        <item x="965"/>
        <item x="3495"/>
        <item x="3924"/>
        <item x="2149"/>
        <item x="3969"/>
        <item x="584"/>
        <item x="1772"/>
        <item x="3385"/>
        <item x="1778"/>
        <item x="1283"/>
        <item x="2221"/>
        <item x="3683"/>
        <item x="2563"/>
        <item x="1445"/>
        <item x="760"/>
        <item x="3068"/>
        <item x="3815"/>
        <item x="2232"/>
        <item x="2439"/>
        <item x="1886"/>
        <item x="1649"/>
        <item x="1160"/>
        <item x="2887"/>
        <item x="2342"/>
        <item x="1656"/>
        <item x="3987"/>
        <item x="3898"/>
        <item x="2843"/>
        <item x="1025"/>
        <item x="594"/>
        <item x="3349"/>
        <item x="1487"/>
        <item x="1218"/>
        <item x="3198"/>
        <item x="3117"/>
        <item x="341"/>
        <item x="1928"/>
        <item x="2683"/>
        <item x="3589"/>
        <item x="853"/>
        <item x="2497"/>
        <item x="959"/>
        <item x="3082"/>
        <item x="2334"/>
        <item x="3194"/>
        <item x="2301"/>
        <item x="3599"/>
        <item x="3316"/>
        <item x="2180"/>
        <item x="3642"/>
        <item x="1699"/>
        <item x="1051"/>
        <item x="2087"/>
        <item x="1567"/>
        <item x="1404"/>
        <item x="3613"/>
        <item x="1233"/>
        <item x="1525"/>
        <item x="3800"/>
        <item x="686"/>
        <item x="3997"/>
        <item x="2378"/>
        <item x="3579"/>
        <item x="1767"/>
        <item x="2075"/>
        <item x="730"/>
        <item x="1885"/>
        <item x="2291"/>
        <item x="3707"/>
        <item x="1341"/>
        <item x="1960"/>
        <item x="3372"/>
        <item x="1441"/>
        <item x="1394"/>
        <item x="3266"/>
        <item x="916"/>
        <item x="2311"/>
        <item x="108"/>
        <item x="319"/>
        <item x="2309"/>
        <item x="1823"/>
        <item x="1818"/>
        <item x="2760"/>
        <item x="802"/>
        <item x="598"/>
        <item x="2491"/>
        <item x="1956"/>
        <item x="429"/>
        <item x="2756"/>
        <item x="2345"/>
        <item x="2281"/>
        <item x="3617"/>
        <item x="3734"/>
        <item x="3095"/>
        <item x="3523"/>
        <item x="3096"/>
        <item x="1275"/>
        <item x="3340"/>
        <item x="3607"/>
        <item x="774"/>
        <item x="3339"/>
        <item x="3737"/>
        <item x="1988"/>
        <item x="3654"/>
        <item x="2814"/>
        <item x="1896"/>
        <item x="3305"/>
        <item x="1924"/>
        <item x="2689"/>
        <item x="1725"/>
        <item x="1754"/>
        <item x="3101"/>
        <item x="2226"/>
        <item x="3890"/>
        <item x="2009"/>
        <item x="2174"/>
        <item x="3740"/>
        <item x="836"/>
        <item x="1583"/>
        <item x="258"/>
        <item x="3785"/>
        <item x="1136"/>
        <item x="1900"/>
        <item x="745"/>
        <item x="2736"/>
        <item x="1684"/>
        <item x="821"/>
        <item x="371"/>
        <item x="1211"/>
        <item x="515"/>
        <item x="2047"/>
        <item x="2850"/>
        <item x="2738"/>
        <item x="2298"/>
        <item x="721"/>
        <item x="2651"/>
        <item x="2451"/>
        <item x="2912"/>
        <item x="3094"/>
        <item x="1710"/>
        <item x="2705"/>
        <item x="845"/>
        <item x="3263"/>
        <item x="2005"/>
        <item x="2158"/>
        <item x="2551"/>
        <item x="3474"/>
        <item x="2538"/>
        <item x="1288"/>
        <item x="1884"/>
        <item x="1547"/>
        <item x="2754"/>
        <item x="1249"/>
        <item x="1507"/>
        <item x="3086"/>
        <item x="2213"/>
        <item x="1619"/>
        <item x="3302"/>
        <item x="1652"/>
        <item x="1310"/>
        <item x="2457"/>
        <item x="2772"/>
        <item x="3431"/>
        <item x="1921"/>
        <item x="1402"/>
        <item x="3892"/>
        <item x="2769"/>
        <item x="1599"/>
        <item x="470"/>
        <item x="2639"/>
        <item x="335"/>
        <item x="3274"/>
        <item x="2271"/>
        <item x="3775"/>
        <item x="93"/>
        <item x="424"/>
        <item x="2737"/>
        <item x="2515"/>
        <item x="3172"/>
        <item x="1297"/>
        <item x="2192"/>
        <item x="2829"/>
        <item x="3541"/>
        <item x="1311"/>
        <item x="2709"/>
        <item x="1952"/>
        <item x="779"/>
        <item x="1312"/>
        <item x="1578"/>
        <item x="2723"/>
        <item x="1768"/>
        <item x="3066"/>
        <item x="3759"/>
        <item x="3874"/>
        <item x="3387"/>
        <item x="3142"/>
        <item x="3816"/>
        <item x="830"/>
        <item x="3519"/>
        <item x="1317"/>
        <item x="2079"/>
        <item x="2307"/>
        <item x="1951"/>
        <item x="1869"/>
        <item x="2175"/>
        <item x="147"/>
        <item x="1657"/>
        <item x="3978"/>
        <item x="2718"/>
        <item x="1523"/>
        <item x="173"/>
        <item x="2953"/>
        <item x="3843"/>
        <item x="2540"/>
        <item x="2526"/>
        <item x="1429"/>
        <item x="47"/>
        <item x="1326"/>
        <item x="3442"/>
        <item x="2387"/>
        <item x="929"/>
        <item x="3585"/>
        <item x="325"/>
        <item x="2801"/>
        <item x="1995"/>
        <item x="855"/>
        <item x="2053"/>
        <item x="1762"/>
        <item x="1245"/>
        <item x="3580"/>
        <item x="3139"/>
        <item x="158"/>
        <item x="2364"/>
        <item x="3033"/>
        <item x="654"/>
        <item x="3250"/>
        <item x="2473"/>
        <item x="3974"/>
        <item x="901"/>
        <item x="2557"/>
        <item x="1353"/>
        <item x="3502"/>
        <item x="2711"/>
        <item x="182"/>
        <item x="1740"/>
        <item x="1938"/>
        <item x="1054"/>
        <item x="958"/>
        <item x="2861"/>
        <item x="1316"/>
        <item x="2428"/>
        <item x="3176"/>
        <item x="954"/>
        <item x="3673"/>
        <item x="1679"/>
        <item x="1182"/>
        <item x="727"/>
        <item x="418"/>
        <item x="2807"/>
        <item x="2585"/>
        <item x="1040"/>
        <item x="1558"/>
        <item x="311"/>
        <item x="2669"/>
        <item x="2852"/>
        <item x="179"/>
        <item x="2663"/>
        <item x="3512"/>
        <item x="1654"/>
        <item x="282"/>
        <item x="2203"/>
        <item x="474"/>
        <item x="3824"/>
        <item x="1973"/>
        <item x="296"/>
        <item x="1347"/>
        <item x="3163"/>
        <item x="3795"/>
        <item x="3245"/>
        <item x="54"/>
        <item x="2629"/>
        <item x="43"/>
        <item x="1042"/>
        <item x="404"/>
        <item x="2544"/>
        <item x="2819"/>
        <item x="3838"/>
        <item x="1615"/>
        <item x="2702"/>
        <item x="2385"/>
        <item x="2351"/>
        <item x="1580"/>
        <item x="1828"/>
        <item x="3440"/>
        <item x="1131"/>
        <item x="992"/>
        <item x="402"/>
        <item x="2586"/>
        <item x="1255"/>
        <item x="483"/>
        <item x="2064"/>
        <item x="2670"/>
        <item x="1635"/>
        <item x="843"/>
        <item x="1552"/>
        <item x="3895"/>
        <item x="829"/>
        <item x="2150"/>
        <item x="1826"/>
        <item x="960"/>
        <item x="2339"/>
        <item x="2632"/>
        <item x="3780"/>
        <item x="3187"/>
        <item x="1834"/>
        <item x="3278"/>
        <item x="15"/>
        <item x="3046"/>
        <item x="2390"/>
        <item x="438"/>
        <item x="1440"/>
        <item x="553"/>
        <item x="3706"/>
        <item x="3451"/>
        <item x="2896"/>
        <item x="2917"/>
        <item x="516"/>
        <item x="2344"/>
        <item x="957"/>
        <item x="979"/>
        <item x="1001"/>
        <item x="2261"/>
        <item x="1306"/>
        <item x="1953"/>
        <item x="2202"/>
        <item x="2688"/>
        <item x="3405"/>
        <item x="2218"/>
        <item x="3009"/>
        <item x="1159"/>
        <item x="1219"/>
        <item x="165"/>
        <item x="1005"/>
        <item x="97"/>
        <item x="926"/>
        <item x="2103"/>
        <item x="1731"/>
        <item x="1267"/>
        <item x="737"/>
        <item x="1544"/>
        <item x="1358"/>
        <item x="1917"/>
        <item x="1516"/>
        <item x="3618"/>
        <item x="876"/>
        <item x="2069"/>
        <item x="3756"/>
        <item x="1302"/>
        <item x="2321"/>
        <item x="2915"/>
        <item x="1965"/>
        <item x="1939"/>
        <item x="1726"/>
        <item x="3850"/>
        <item x="3842"/>
        <item x="886"/>
        <item x="1468"/>
        <item x="458"/>
        <item x="2085"/>
        <item x="3657"/>
        <item x="3669"/>
        <item x="809"/>
        <item x="2146"/>
        <item x="2583"/>
        <item x="1733"/>
        <item x="2727"/>
        <item x="1935"/>
        <item x="159"/>
        <item x="563"/>
        <item x="2016"/>
        <item x="3498"/>
        <item x="1617"/>
        <item x="337"/>
        <item x="1602"/>
        <item x="2071"/>
        <item x="2461"/>
        <item x="3058"/>
        <item x="3841"/>
        <item x="632"/>
        <item x="651"/>
        <item x="1594"/>
        <item x="2888"/>
        <item x="447"/>
        <item x="297"/>
        <item x="2024"/>
        <item x="1412"/>
        <item x="718"/>
        <item x="189"/>
        <item x="3748"/>
        <item x="3985"/>
        <item x="558"/>
        <item x="653"/>
        <item x="344"/>
        <item x="3141"/>
        <item x="3093"/>
        <item x="1074"/>
        <item x="2127"/>
        <item x="3038"/>
        <item x="1093"/>
        <item x="384"/>
        <item x="911"/>
        <item x="1292"/>
        <item x="2584"/>
        <item x="2966"/>
        <item x="614"/>
        <item x="3875"/>
        <item x="491"/>
        <item x="1800"/>
        <item x="2719"/>
        <item x="3209"/>
        <item x="3397"/>
        <item x="3927"/>
        <item x="1827"/>
        <item x="247"/>
        <item x="854"/>
        <item x="2330"/>
        <item x="3156"/>
        <item x="2355"/>
        <item x="1883"/>
        <item x="2299"/>
        <item x="3952"/>
        <item x="2844"/>
        <item x="2253"/>
        <item x="3851"/>
        <item x="3399"/>
        <item x="1207"/>
        <item x="3777"/>
        <item x="3027"/>
        <item x="918"/>
        <item x="1565"/>
        <item x="1647"/>
        <item x="971"/>
        <item x="2763"/>
        <item x="894"/>
        <item x="3106"/>
        <item x="1030"/>
        <item x="2626"/>
        <item x="2480"/>
        <item x="1038"/>
        <item x="2970"/>
        <item x="2313"/>
        <item x="2286"/>
        <item x="1913"/>
        <item x="1631"/>
        <item x="1926"/>
        <item x="363"/>
        <item x="600"/>
        <item x="3869"/>
        <item x="2910"/>
        <item x="1927"/>
        <item x="3779"/>
        <item x="1188"/>
        <item x="1036"/>
        <item x="2343"/>
        <item x="2278"/>
        <item x="1082"/>
        <item x="3325"/>
        <item x="841"/>
        <item x="2367"/>
        <item x="1743"/>
        <item x="1722"/>
        <item x="3070"/>
        <item x="687"/>
        <item x="2573"/>
        <item x="935"/>
        <item x="2558"/>
        <item x="2155"/>
        <item x="1545"/>
        <item x="1912"/>
        <item x="586"/>
        <item x="2048"/>
        <item x="2400"/>
        <item x="1881"/>
        <item x="2495"/>
        <item x="84"/>
        <item x="1879"/>
        <item x="1749"/>
        <item x="2895"/>
        <item x="3171"/>
        <item x="2542"/>
        <item x="2266"/>
        <item x="2841"/>
        <item x="65"/>
        <item x="3476"/>
        <item x="3681"/>
        <item x="1198"/>
        <item x="2117"/>
        <item x="1972"/>
        <item x="368"/>
        <item x="3914"/>
        <item x="2580"/>
        <item x="709"/>
        <item x="1533"/>
        <item x="1970"/>
        <item x="505"/>
        <item x="2979"/>
        <item x="397"/>
        <item x="298"/>
        <item x="1073"/>
        <item x="408"/>
        <item x="3337"/>
        <item x="1626"/>
        <item x="1645"/>
        <item x="552"/>
        <item x="420"/>
        <item x="514"/>
        <item x="1518"/>
        <item x="2383"/>
        <item x="3224"/>
        <item x="497"/>
        <item x="3992"/>
        <item x="701"/>
        <item x="487"/>
        <item x="1705"/>
        <item x="2424"/>
        <item x="2652"/>
        <item x="3957"/>
        <item x="2628"/>
        <item x="3157"/>
        <item x="2092"/>
        <item x="603"/>
        <item x="1482"/>
        <item x="3685"/>
        <item x="2811"/>
        <item x="2460"/>
        <item x="814"/>
        <item x="1756"/>
        <item x="2501"/>
        <item x="2183"/>
        <item x="747"/>
        <item x="1212"/>
        <item x="16"/>
        <item x="2859"/>
        <item x="2312"/>
        <item x="2392"/>
        <item x="2554"/>
        <item x="2084"/>
        <item x="265"/>
        <item x="1813"/>
        <item x="456"/>
        <item x="3980"/>
        <item x="797"/>
        <item x="3760"/>
        <item x="1937"/>
        <item x="2325"/>
        <item x="857"/>
        <item x="2500"/>
        <item x="1406"/>
        <item x="2725"/>
        <item x="3459"/>
        <item x="1994"/>
        <item x="493"/>
        <item x="3879"/>
        <item x="3015"/>
        <item x="933"/>
        <item x="2988"/>
        <item x="1557"/>
        <item x="118"/>
        <item x="1120"/>
        <item x="3166"/>
        <item x="3534"/>
        <item x="1299"/>
        <item x="1646"/>
        <item x="2181"/>
        <item x="3067"/>
        <item x="2039"/>
        <item x="3903"/>
        <item x="1821"/>
        <item x="1584"/>
        <item x="2914"/>
        <item x="218"/>
        <item x="1195"/>
        <item x="3129"/>
        <item x="791"/>
        <item x="1598"/>
        <item x="18"/>
        <item x="555"/>
        <item x="1987"/>
        <item x="1357"/>
        <item x="3293"/>
        <item x="1475"/>
        <item x="1721"/>
        <item x="2003"/>
        <item x="679"/>
        <item x="932"/>
        <item x="1096"/>
        <item x="2209"/>
        <item x="3445"/>
        <item x="2936"/>
        <item x="955"/>
        <item x="1284"/>
        <item x="1944"/>
        <item x="2188"/>
        <item x="2362"/>
        <item x="3837"/>
        <item x="3975"/>
        <item x="3105"/>
        <item x="3489"/>
        <item x="2739"/>
        <item x="2098"/>
        <item x="3306"/>
        <item x="1108"/>
        <item x="3354"/>
        <item x="3089"/>
        <item x="1595"/>
        <item x="288"/>
        <item x="3400"/>
        <item x="3181"/>
        <item x="134"/>
        <item x="550"/>
        <item x="3088"/>
        <item x="863"/>
        <item x="6"/>
        <item x="1287"/>
        <item x="617"/>
        <item x="3393"/>
        <item x="2715"/>
        <item x="1794"/>
        <item x="2799"/>
        <item x="2296"/>
        <item x="291"/>
        <item x="1966"/>
        <item x="1607"/>
        <item x="345"/>
        <item x="862"/>
        <item x="3357"/>
        <item x="1423"/>
        <item x="2855"/>
        <item x="3948"/>
        <item x="3638"/>
        <item x="1859"/>
        <item x="1586"/>
        <item x="1643"/>
        <item x="987"/>
        <item x="267"/>
        <item x="1186"/>
        <item x="3871"/>
        <item x="695"/>
        <item x="3367"/>
        <item x="359"/>
        <item x="1049"/>
        <item x="197"/>
        <item x="3802"/>
        <item x="776"/>
        <item x="1723"/>
        <item x="1456"/>
        <item x="974"/>
        <item x="464"/>
        <item x="3791"/>
        <item x="1758"/>
        <item x="3312"/>
        <item x="1771"/>
        <item x="2717"/>
        <item x="878"/>
        <item x="900"/>
        <item x="3199"/>
        <item x="772"/>
        <item x="2555"/>
        <item x="193"/>
        <item x="2883"/>
        <item x="2630"/>
        <item x="859"/>
        <item x="1079"/>
        <item x="3077"/>
        <item x="3959"/>
        <item x="3687"/>
        <item x="2889"/>
        <item x="2729"/>
        <item x="1290"/>
        <item x="3937"/>
        <item x="2484"/>
        <item x="1774"/>
        <item x="2950"/>
        <item x="2210"/>
        <item x="477"/>
        <item x="3016"/>
        <item x="2118"/>
        <item x="2636"/>
        <item x="3323"/>
        <item x="3603"/>
        <item x="1561"/>
        <item x="661"/>
        <item x="1272"/>
        <item x="2761"/>
        <item x="696"/>
        <item x="934"/>
        <item x="2964"/>
        <item x="1148"/>
        <item x="1241"/>
        <item x="3432"/>
        <item x="205"/>
        <item x="867"/>
        <item x="1730"/>
        <item x="1164"/>
        <item x="2089"/>
        <item x="1847"/>
        <item x="1535"/>
        <item x="1735"/>
        <item x="2012"/>
        <item x="908"/>
        <item x="1183"/>
        <item x="3702"/>
        <item x="2638"/>
        <item x="1571"/>
        <item x="1759"/>
        <item x="3947"/>
        <item x="528"/>
        <item x="3513"/>
        <item x="1659"/>
        <item x="27"/>
        <item x="1438"/>
        <item x="1024"/>
        <item x="3052"/>
        <item x="2836"/>
        <item x="1435"/>
        <item x="2239"/>
        <item x="2326"/>
        <item x="1861"/>
        <item x="478"/>
        <item x="230"/>
        <item x="3201"/>
        <item x="3111"/>
        <item x="2505"/>
        <item x="2714"/>
        <item x="2615"/>
        <item x="1289"/>
        <item x="1263"/>
        <item x="3912"/>
        <item x="1677"/>
        <item x="1898"/>
        <item x="732"/>
        <item x="2892"/>
        <item x="1597"/>
        <item x="1702"/>
        <item x="619"/>
        <item x="2969"/>
        <item x="2077"/>
        <item x="2918"/>
        <item x="1974"/>
        <item x="380"/>
        <item x="1588"/>
        <item x="953"/>
        <item x="572"/>
        <item x="2347"/>
        <item x="1397"/>
        <item x="3228"/>
        <item x="2851"/>
        <item x="2773"/>
        <item x="466"/>
        <item x="3878"/>
        <item x="2384"/>
        <item x="3698"/>
        <item x="778"/>
        <item x="3493"/>
        <item x="1512"/>
        <item x="442"/>
        <item x="3140"/>
        <item x="1375"/>
        <item x="3536"/>
        <item x="3692"/>
        <item x="1929"/>
        <item x="3053"/>
        <item x="640"/>
        <item x="3370"/>
        <item x="40"/>
        <item x="3395"/>
        <item x="1380"/>
        <item x="2570"/>
        <item x="2707"/>
        <item x="273"/>
        <item x="2606"/>
        <item x="3193"/>
        <item x="1107"/>
        <item x="914"/>
        <item x="139"/>
        <item x="3436"/>
        <item x="3506"/>
        <item x="1560"/>
        <item x="3244"/>
        <item x="2591"/>
        <item x="2381"/>
        <item x="1527"/>
        <item x="2564"/>
        <item x="2369"/>
        <item x="2990"/>
        <item x="556"/>
        <item x="1124"/>
        <item x="3867"/>
        <item x="3728"/>
        <item x="3655"/>
        <item x="2593"/>
        <item x="382"/>
        <item x="1763"/>
        <item x="2052"/>
        <item x="568"/>
        <item x="76"/>
        <item x="156"/>
        <item x="567"/>
        <item x="3558"/>
        <item x="1167"/>
        <item x="425"/>
        <item x="597"/>
        <item x="1559"/>
        <item x="35"/>
        <item x="1173"/>
        <item x="3631"/>
        <item x="1981"/>
        <item x="3744"/>
        <item x="1791"/>
        <item x="2838"/>
        <item x="2419"/>
        <item x="3294"/>
        <item x="2222"/>
        <item x="237"/>
        <item x="2123"/>
        <item x="2225"/>
        <item x="3408"/>
        <item x="608"/>
        <item x="211"/>
        <item x="3826"/>
        <item x="2665"/>
        <item x="3022"/>
        <item x="3915"/>
        <item x="1115"/>
        <item x="1843"/>
        <item x="2284"/>
        <item x="3335"/>
        <item x="544"/>
        <item x="2371"/>
        <item x="970"/>
        <item x="3267"/>
        <item x="1184"/>
        <item x="1206"/>
        <item x="3941"/>
        <item x="3972"/>
        <item x="3865"/>
        <item x="728"/>
        <item x="666"/>
        <item x="1499"/>
        <item x="2394"/>
        <item x="3158"/>
        <item x="1139"/>
        <item x="3205"/>
        <item x="2432"/>
        <item x="2197"/>
        <item x="589"/>
        <item x="1362"/>
        <item x="2348"/>
        <item x="2742"/>
        <item x="1339"/>
        <item x="399"/>
        <item x="2932"/>
        <item x="1391"/>
        <item x="66"/>
        <item x="3365"/>
        <item x="444"/>
        <item x="1123"/>
        <item x="846"/>
        <item x="2331"/>
        <item x="3366"/>
        <item x="3653"/>
        <item x="73"/>
        <item x="3666"/>
        <item x="742"/>
        <item x="3553"/>
        <item x="2154"/>
        <item x="326"/>
        <item x="1600"/>
        <item x="2402"/>
        <item x="2926"/>
        <item x="1887"/>
        <item x="203"/>
        <item x="3308"/>
        <item x="1437"/>
        <item x="1169"/>
        <item x="234"/>
        <item x="622"/>
        <item x="2289"/>
        <item x="1069"/>
        <item x="3309"/>
        <item x="110"/>
        <item x="1039"/>
        <item x="3557"/>
        <item x="3420"/>
        <item x="1484"/>
        <item x="1279"/>
        <item x="2828"/>
        <item x="3023"/>
        <item x="2275"/>
        <item x="1056"/>
        <item x="2947"/>
        <item x="3581"/>
        <item x="433"/>
        <item x="1902"/>
        <item x="874"/>
        <item x="349"/>
        <item x="2590"/>
        <item x="1700"/>
        <item x="2244"/>
        <item x="1958"/>
        <item x="2572"/>
        <item x="1784"/>
        <item x="1848"/>
        <item x="692"/>
        <item x="2167"/>
        <item x="2437"/>
        <item x="1037"/>
        <item x="1627"/>
        <item x="1548"/>
        <item x="2706"/>
        <item x="3079"/>
        <item x="439"/>
        <item x="2488"/>
        <item x="698"/>
        <item x="2470"/>
        <item x="3860"/>
        <item x="1640"/>
        <item x="2453"/>
        <item x="2673"/>
        <item x="1674"/>
        <item x="2780"/>
        <item x="2328"/>
        <item x="723"/>
        <item x="2406"/>
        <item x="2813"/>
        <item x="767"/>
        <item x="3516"/>
        <item x="590"/>
        <item x="2973"/>
        <item x="1075"/>
        <item x="928"/>
        <item x="1498"/>
        <item x="2234"/>
        <item x="266"/>
        <item x="3724"/>
        <item x="3258"/>
        <item x="3644"/>
        <item x="1871"/>
        <item x="2648"/>
        <item x="2920"/>
        <item x="2372"/>
        <item x="2416"/>
        <item x="2825"/>
        <item x="2766"/>
        <item x="1296"/>
        <item x="403"/>
        <item x="3564"/>
        <item x="3561"/>
        <item x="2434"/>
        <item x="2989"/>
        <item x="2782"/>
        <item x="3590"/>
        <item x="897"/>
        <item x="2523"/>
        <item x="3562"/>
        <item x="1831"/>
        <item x="436"/>
        <item x="2520"/>
        <item x="1176"/>
        <item x="2452"/>
        <item x="807"/>
        <item x="2677"/>
        <item x="3752"/>
        <item x="383"/>
        <item x="2924"/>
        <item x="322"/>
        <item x="3704"/>
        <item x="3520"/>
        <item x="3719"/>
        <item x="2699"/>
        <item x="2604"/>
        <item x="148"/>
        <item x="2873"/>
        <item x="1717"/>
        <item x="1470"/>
        <item x="1753"/>
        <item x="820"/>
        <item x="722"/>
        <item x="3386"/>
        <item x="3313"/>
        <item x="3255"/>
        <item x="2550"/>
        <item x="3231"/>
        <item x="1197"/>
        <item x="2267"/>
        <item x="1892"/>
        <item x="2382"/>
        <item x="2219"/>
        <item x="896"/>
        <item x="3845"/>
        <item x="3931"/>
        <item x="1027"/>
        <item x="68"/>
        <item x="1845"/>
        <item x="1741"/>
        <item x="3803"/>
        <item x="3682"/>
        <item x="1095"/>
        <item x="1936"/>
        <item x="804"/>
        <item x="1748"/>
        <item x="1154"/>
        <item x="1790"/>
        <item x="2524"/>
        <item x="1979"/>
        <item x="461"/>
        <item x="1906"/>
        <item x="1466"/>
        <item x="1238"/>
        <item x="3846"/>
        <item x="3110"/>
        <item x="1368"/>
        <item x="3764"/>
        <item x="2062"/>
        <item x="1349"/>
        <item x="306"/>
        <item x="2159"/>
        <item x="353"/>
        <item x="1464"/>
        <item x="3881"/>
        <item x="2125"/>
        <item x="2148"/>
        <item x="625"/>
        <item x="1087"/>
        <item x="861"/>
        <item x="2186"/>
        <item x="2618"/>
        <item x="2995"/>
        <item x="3351"/>
        <item x="2962"/>
        <item x="2922"/>
        <item x="1269"/>
        <item x="1145"/>
        <item x="2985"/>
        <item x="2315"/>
        <item x="3007"/>
        <item x="2044"/>
        <item x="417"/>
        <item x="2696"/>
        <item x="1810"/>
        <item x="2820"/>
        <item x="2860"/>
        <item x="716"/>
        <item x="865"/>
        <item x="993"/>
        <item x="699"/>
        <item x="3953"/>
        <item x="2269"/>
        <item x="2529"/>
        <item x="1047"/>
        <item x="3792"/>
        <item x="831"/>
        <item x="3054"/>
        <item x="3124"/>
        <item x="1133"/>
        <item x="3893"/>
        <item x="3529"/>
        <item x="3918"/>
        <item x="3584"/>
        <item x="1008"/>
        <item x="1670"/>
        <item x="549"/>
        <item x="3623"/>
        <item x="1342"/>
        <item x="2984"/>
        <item x="92"/>
        <item x="3025"/>
        <item x="3887"/>
        <item x="3164"/>
        <item x="950"/>
        <item x="75"/>
        <item x="3013"/>
        <item x="1147"/>
        <item x="1993"/>
        <item x="977"/>
        <item x="28"/>
        <item x="3761"/>
        <item x="3063"/>
        <item x="2856"/>
        <item x="2449"/>
        <item x="3852"/>
        <item x="3434"/>
        <item x="3123"/>
        <item x="1846"/>
        <item x="1596"/>
        <item x="738"/>
        <item x="2834"/>
        <item x="3406"/>
        <item x="1364"/>
        <item x="486"/>
        <item x="1226"/>
        <item x="1469"/>
        <item x="2935"/>
        <item x="1515"/>
        <item x="889"/>
        <item x="3290"/>
        <item x="3184"/>
        <item x="256"/>
        <item x="620"/>
        <item x="1581"/>
        <item x="775"/>
        <item x="2871"/>
        <item x="1467"/>
        <item x="2054"/>
        <item x="2587"/>
        <item x="3966"/>
        <item x="3500"/>
        <item x="2822"/>
        <item x="2086"/>
        <item x="3291"/>
        <item x="2363"/>
        <item x="1052"/>
        <item x="3137"/>
        <item x="1492"/>
        <item x="3793"/>
        <item x="1752"/>
        <item x="3168"/>
        <item x="3324"/>
        <item x="482"/>
        <item x="370"/>
        <item x="2498"/>
        <item x="3787"/>
        <item x="3413"/>
        <item x="2649"/>
        <item x="1089"/>
        <item x="1329"/>
        <item x="2522"/>
        <item x="634"/>
        <item x="1955"/>
        <item x="1235"/>
        <item x="3368"/>
        <item x="2996"/>
        <item x="3511"/>
        <item x="331"/>
        <item x="3629"/>
        <item x="3414"/>
        <item x="1072"/>
        <item x="2170"/>
        <item x="280"/>
        <item x="3556"/>
        <item x="2931"/>
        <item x="60"/>
        <item x="3810"/>
        <item x="2675"/>
        <item x="1655"/>
        <item x="964"/>
        <item x="1638"/>
        <item x="3373"/>
        <item x="2195"/>
        <item x="1996"/>
        <item x="534"/>
        <item x="2028"/>
        <item x="615"/>
        <item x="824"/>
        <item x="1793"/>
        <item x="263"/>
        <item x="135"/>
        <item x="176"/>
        <item x="2845"/>
        <item x="2724"/>
        <item x="3298"/>
        <item x="3254"/>
        <item x="3504"/>
        <item x="3977"/>
        <item x="1878"/>
        <item x="541"/>
        <item x="3684"/>
        <item x="1243"/>
        <item x="2032"/>
        <item x="1685"/>
        <item x="2783"/>
        <item x="1688"/>
        <item x="3715"/>
        <item x="168"/>
        <item x="3836"/>
        <item x="591"/>
        <item x="905"/>
        <item x="1608"/>
        <item x="443"/>
        <item x="32"/>
        <item x="1682"/>
        <item x="122"/>
        <item x="3262"/>
        <item x="1277"/>
        <item x="2444"/>
        <item x="3438"/>
        <item x="2858"/>
        <item x="2115"/>
        <item x="1611"/>
        <item x="3161"/>
        <item x="2214"/>
        <item x="1694"/>
        <item x="3203"/>
        <item x="1546"/>
        <item x="956"/>
        <item x="923"/>
        <item x="1434"/>
        <item x="3463"/>
        <item x="691"/>
        <item x="3855"/>
        <item x="2113"/>
        <item x="1055"/>
        <item x="3651"/>
        <item x="1011"/>
        <item x="819"/>
        <item x="9"/>
        <item x="3763"/>
        <item x="2082"/>
        <item x="2023"/>
        <item x="2567"/>
        <item x="3055"/>
        <item x="3059"/>
        <item x="870"/>
        <item x="3554"/>
        <item x="2909"/>
        <item x="759"/>
        <item x="3379"/>
        <item x="1185"/>
        <item x="1122"/>
        <item x="2295"/>
        <item x="2658"/>
        <item x="3735"/>
        <item x="764"/>
        <item x="1156"/>
        <item x="342"/>
        <item x="3419"/>
        <item x="3159"/>
        <item x="116"/>
        <item x="3435"/>
        <item x="79"/>
        <item x="1150"/>
        <item x="3499"/>
        <item x="1653"/>
        <item x="2262"/>
        <item x="3919"/>
        <item x="702"/>
        <item x="409"/>
        <item x="1863"/>
        <item x="3049"/>
        <item x="501"/>
        <item x="2913"/>
        <item x="232"/>
        <item x="19"/>
        <item x="1812"/>
        <item x="3120"/>
        <item x="131"/>
        <item x="710"/>
        <item x="2528"/>
        <item x="1239"/>
        <item x="164"/>
        <item x="2599"/>
        <item x="3115"/>
        <item x="492"/>
        <item x="765"/>
        <item x="1855"/>
        <item x="2565"/>
        <item x="2974"/>
        <item x="1519"/>
        <item x="410"/>
        <item x="740"/>
        <item x="1450"/>
        <item x="1308"/>
        <item x="1084"/>
        <item x="3817"/>
        <item x="3880"/>
        <item x="2111"/>
        <item x="1098"/>
        <item x="681"/>
        <item x="1322"/>
        <item x="2285"/>
        <item x="3177"/>
        <item x="2237"/>
        <item x="3886"/>
        <item x="2757"/>
        <item x="3277"/>
        <item x="3178"/>
        <item x="91"/>
        <item x="2698"/>
        <item x="3433"/>
        <item x="3122"/>
        <item x="30"/>
        <item x="3363"/>
        <item x="2374"/>
        <item x="1836"/>
        <item x="1248"/>
        <item x="3946"/>
        <item x="2436"/>
        <item x="1668"/>
        <item x="3650"/>
        <item x="61"/>
        <item x="1059"/>
        <item x="3902"/>
        <item x="1280"/>
        <item x="2513"/>
        <item x="1200"/>
        <item x="936"/>
        <item x="3214"/>
        <item x="1360"/>
        <item x="707"/>
        <item x="3690"/>
        <item x="2616"/>
        <item x="3449"/>
        <item x="2741"/>
        <item x="1505"/>
        <item x="3807"/>
        <item x="2282"/>
        <item x="609"/>
        <item x="169"/>
        <item x="2083"/>
        <item x="1463"/>
        <item x="246"/>
        <item x="2635"/>
        <item x="175"/>
        <item x="3967"/>
        <item x="220"/>
        <item x="2898"/>
        <item x="3467"/>
        <item x="3160"/>
        <item x="453"/>
        <item x="2775"/>
        <item x="1734"/>
        <item x="578"/>
        <item x="3"/>
        <item x="2198"/>
        <item x="2487"/>
        <item x="2771"/>
        <item x="2997"/>
        <item x="2415"/>
        <item x="1293"/>
        <item x="703"/>
        <item x="997"/>
        <item x="2878"/>
        <item x="3782"/>
        <item x="1550"/>
        <item x="3051"/>
        <item x="481"/>
        <item x="3908"/>
        <item x="749"/>
        <item x="3422"/>
        <item x="2338"/>
        <item x="1117"/>
        <item x="3412"/>
        <item x="1332"/>
        <item x="3884"/>
        <item x="3326"/>
        <item x="2791"/>
        <item x="741"/>
        <item x="1472"/>
        <item x="1035"/>
        <item x="3979"/>
        <item x="1495"/>
        <item x="4"/>
        <item x="3598"/>
        <item x="2101"/>
        <item x="1954"/>
        <item x="87"/>
        <item x="508"/>
        <item x="1488"/>
        <item x="2961"/>
        <item x="1378"/>
        <item x="713"/>
        <item x="1384"/>
        <item x="333"/>
        <item x="3219"/>
        <item x="1028"/>
        <item x="1273"/>
        <item x="2145"/>
        <item x="82"/>
        <item x="989"/>
        <item x="2194"/>
        <item x="2230"/>
        <item x="1452"/>
        <item x="570"/>
        <item x="1459"/>
        <item x="3533"/>
        <item x="2840"/>
        <item x="217"/>
        <item x="3568"/>
        <item x="2254"/>
        <item x="133"/>
        <item x="479"/>
        <item x="3883"/>
        <item x="1480"/>
        <item x="2617"/>
        <item x="1043"/>
        <item x="3971"/>
        <item x="2795"/>
        <item x="1224"/>
        <item x="559"/>
        <item x="275"/>
        <item x="1850"/>
        <item x="1755"/>
        <item x="1964"/>
        <item x="1356"/>
        <item x="3834"/>
        <item x="3945"/>
        <item x="2728"/>
        <item x="3008"/>
        <item x="262"/>
        <item x="838"/>
        <item x="3138"/>
        <item x="26"/>
        <item x="2176"/>
        <item x="2900"/>
        <item x="3632"/>
        <item x="1064"/>
        <item x="3342"/>
        <item x="3661"/>
        <item x="1479"/>
        <item x="2414"/>
        <item x="542"/>
        <item x="2258"/>
        <item x="1957"/>
        <item x="3010"/>
        <item x="3155"/>
        <item x="3233"/>
        <item x="860"/>
        <item x="2967"/>
        <item x="1681"/>
        <item x="2333"/>
        <item x="2749"/>
        <item x="3377"/>
        <item x="680"/>
        <item x="112"/>
        <item x="2560"/>
        <item x="3409"/>
        <item x="3364"/>
        <item x="3191"/>
        <item x="1371"/>
        <item x="669"/>
        <item x="1865"/>
        <item x="1228"/>
        <item x="2447"/>
        <item x="1399"/>
        <item x="2975"/>
        <item x="1323"/>
        <item x="2968"/>
        <item x="2112"/>
        <item x="873"/>
        <item x="3773"/>
        <item x="2243"/>
        <item x="3188"/>
        <item x="3348"/>
        <item x="1152"/>
        <item x="3458"/>
        <item x="2172"/>
        <item x="744"/>
        <item x="2911"/>
        <item x="2594"/>
        <item x="3738"/>
        <item x="2941"/>
        <item x="1868"/>
        <item x="489"/>
        <item x="126"/>
        <item x="2236"/>
        <item x="1094"/>
        <item x="1369"/>
        <item x="3906"/>
        <item x="2199"/>
        <item x="639"/>
        <item x="3216"/>
        <item x="942"/>
        <item x="155"/>
        <item x="2588"/>
        <item x="71"/>
        <item x="3097"/>
        <item x="1298"/>
        <item x="3026"/>
        <item x="1019"/>
        <item x="1932"/>
        <item x="551"/>
        <item x="2090"/>
        <item x="1007"/>
        <item x="2539"/>
        <item x="412"/>
        <item x="2674"/>
        <item x="2589"/>
        <item x="1319"/>
        <item x="2569"/>
        <item x="1202"/>
        <item x="2401"/>
        <item x="1672"/>
        <item x="3125"/>
        <item x="967"/>
        <item x="2475"/>
        <item x="259"/>
        <item x="915"/>
        <item x="3984"/>
        <item x="2354"/>
        <item x="1775"/>
        <item x="3981"/>
        <item x="2847"/>
        <item x="2944"/>
        <item x="1071"/>
        <item x="3680"/>
        <item x="3246"/>
        <item x="3072"/>
        <item x="2063"/>
        <item x="3183"/>
        <item x="1041"/>
        <item x="1204"/>
        <item x="1444"/>
        <item x="3213"/>
        <item x="3578"/>
        <item x="2774"/>
        <item x="2499"/>
        <item x="1894"/>
        <item x="137"/>
        <item x="2770"/>
        <item x="3428"/>
        <item x="2041"/>
        <item x="1760"/>
        <item x="968"/>
        <item x="3062"/>
        <item x="1729"/>
        <item x="2441"/>
        <item x="1704"/>
        <item x="557"/>
        <item x="1564"/>
        <item x="3057"/>
        <item x="3806"/>
        <item x="1903"/>
        <item x="2657"/>
        <item x="752"/>
        <item x="2645"/>
        <item x="2245"/>
        <item x="2597"/>
        <item x="449"/>
        <item x="1764"/>
        <item x="484"/>
        <item x="3497"/>
        <item x="3423"/>
        <item x="0"/>
        <item x="369"/>
        <item x="162"/>
        <item x="221"/>
        <item x="3472"/>
        <item x="3404"/>
        <item x="1009"/>
        <item x="1431"/>
        <item x="2899"/>
        <item x="761"/>
        <item x="560"/>
        <item x="3388"/>
        <item x="762"/>
        <item x="1180"/>
        <item x="3153"/>
        <item x="20"/>
        <item x="2252"/>
        <item x="2903"/>
        <item x="2768"/>
        <item x="2548"/>
        <item x="1386"/>
        <item x="644"/>
        <item x="2211"/>
        <item x="991"/>
        <item x="1969"/>
        <item x="3889"/>
        <item x="1709"/>
        <item x="573"/>
        <item x="3923"/>
        <item x="2036"/>
        <item x="271"/>
        <item x="1777"/>
        <item x="3116"/>
        <item x="1062"/>
        <item x="3962"/>
        <item x="2379"/>
        <item x="372"/>
        <item x="1695"/>
        <item x="3686"/>
        <item x="3565"/>
        <item x="3720"/>
        <item x="1616"/>
        <item x="2902"/>
        <item x="2874"/>
        <item x="763"/>
        <item x="2001"/>
        <item x="973"/>
        <item x="2163"/>
        <item x="3910"/>
        <item x="1662"/>
        <item x="969"/>
        <item x="2956"/>
        <item x="1396"/>
        <item x="1530"/>
        <item x="3299"/>
        <item x="3643"/>
        <item x="826"/>
        <item x="1223"/>
        <item x="204"/>
        <item x="712"/>
        <item x="683"/>
        <item x="2310"/>
        <item x="1481"/>
        <item x="445"/>
        <item x="2744"/>
        <item x="1270"/>
        <item x="3986"/>
        <item x="1587"/>
        <item x="419"/>
        <item x="803"/>
        <item x="3455"/>
        <item x="1080"/>
        <item x="1417"/>
        <item x="735"/>
        <item x="1352"/>
        <item x="833"/>
        <item x="1138"/>
        <item x="2743"/>
        <item x="1361"/>
        <item x="69"/>
        <item x="1213"/>
        <item x="3921"/>
        <item x="2420"/>
        <item x="498"/>
        <item x="3279"/>
        <item x="376"/>
        <item x="1933"/>
        <item x="2824"/>
        <item x="3501"/>
        <item x="362"/>
        <item x="2549"/>
        <item x="3863"/>
        <item x="3462"/>
        <item x="2582"/>
        <item x="3938"/>
        <item x="441"/>
        <item x="406"/>
        <item x="1363"/>
        <item x="2440"/>
        <item x="1210"/>
        <item x="2676"/>
        <item x="3301"/>
        <item x="753"/>
        <item x="172"/>
        <item x="3061"/>
        <item x="2972"/>
        <item x="2134"/>
        <item x="2320"/>
        <item x="2687"/>
        <item x="2994"/>
        <item x="405"/>
        <item x="49"/>
        <item x="11"/>
        <item x="2826"/>
        <item x="1020"/>
        <item x="1193"/>
        <item x="3765"/>
        <item x="2619"/>
        <item x="465"/>
        <item x="2050"/>
        <item x="2704"/>
        <item x="3389"/>
        <item x="748"/>
        <item x="3328"/>
        <item x="1146"/>
        <item x="1696"/>
        <item x="328"/>
        <item x="2240"/>
        <item x="2562"/>
        <item x="222"/>
        <item x="871"/>
        <item x="1824"/>
        <item x="2531"/>
        <item x="2751"/>
        <item x="1044"/>
        <item x="540"/>
        <item x="3701"/>
        <item x="3799"/>
        <item x="2425"/>
        <item x="1271"/>
        <item x="2144"/>
        <item x="2614"/>
        <item x="2732"/>
        <item x="3604"/>
        <item x="945"/>
        <item x="3225"/>
        <item x="519"/>
        <item x="1100"/>
        <item x="3448"/>
        <item x="3801"/>
        <item x="3961"/>
        <item x="3234"/>
        <item x="227"/>
        <item x="103"/>
        <item x="3736"/>
        <item x="3751"/>
        <item x="3295"/>
        <item x="1309"/>
        <item x="375"/>
        <item x="3206"/>
        <item x="2058"/>
        <item x="1716"/>
        <item x="3821"/>
        <item x="2446"/>
        <item x="1061"/>
        <item x="612"/>
        <item x="3566"/>
        <item x="1448"/>
        <item x="2815"/>
        <item x="768"/>
        <item x="1511"/>
        <item x="3620"/>
        <item x="1817"/>
        <item x="1268"/>
        <item x="1017"/>
        <item x="3733"/>
        <item x="3018"/>
        <item x="1196"/>
        <item x="3319"/>
        <item x="3257"/>
        <item x="235"/>
        <item x="562"/>
        <item x="3691"/>
        <item x="1046"/>
        <item x="3071"/>
        <item x="308"/>
        <item x="1324"/>
        <item x="1837"/>
        <item x="2135"/>
        <item x="3608"/>
        <item x="2029"/>
        <item x="1779"/>
        <item x="2318"/>
        <item x="3012"/>
        <item x="1408"/>
        <item x="3285"/>
        <item x="2164"/>
        <item x="33"/>
        <item x="3873"/>
        <item x="2273"/>
        <item x="1320"/>
        <item x="3676"/>
        <item x="2255"/>
        <item x="785"/>
        <item x="121"/>
        <item x="36"/>
        <item x="281"/>
        <item x="1419"/>
        <item x="2647"/>
        <item x="799"/>
        <item x="1099"/>
        <item x="3949"/>
        <item x="941"/>
        <item x="2027"/>
        <item x="2162"/>
        <item x="3788"/>
        <item x="513"/>
        <item x="705"/>
        <item x="3329"/>
        <item x="422"/>
        <item x="358"/>
        <item x="1343"/>
        <item x="670"/>
        <item x="1923"/>
        <item x="3866"/>
        <item x="2466"/>
        <item x="277"/>
        <item x="1978"/>
        <item x="2692"/>
        <item x="214"/>
        <item x="1840"/>
        <item x="496"/>
        <item x="924"/>
        <item x="1175"/>
        <item x="3641"/>
        <item x="3770"/>
        <item x="476"/>
        <item x="769"/>
        <item x="2109"/>
        <item x="1556"/>
        <item x="3041"/>
        <item x="2611"/>
        <item x="3960"/>
        <item x="813"/>
        <item x="3664"/>
        <item x="1975"/>
        <item x="379"/>
        <item x="574"/>
        <item x="1282"/>
        <item x="413"/>
        <item x="146"/>
        <item x="3819"/>
        <item x="3218"/>
        <item x="396"/>
        <item x="545"/>
        <item x="161"/>
        <item x="2074"/>
        <item x="3210"/>
        <item x="2472"/>
        <item x="2602"/>
        <item x="3494"/>
        <item x="2533"/>
        <item x="3292"/>
        <item x="3933"/>
        <item x="3858"/>
        <item x="1424"/>
        <item x="1222"/>
        <item x="1128"/>
        <item x="1814"/>
        <item x="1137"/>
        <item x="1345"/>
        <item t="default"/>
      </items>
    </pivotField>
    <pivotField showAll="0"/>
    <pivotField showAll="0">
      <items count="13">
        <item x="10"/>
        <item x="2"/>
        <item x="6"/>
        <item x="1"/>
        <item x="9"/>
        <item x="5"/>
        <item x="11"/>
        <item x="0"/>
        <item x="7"/>
        <item x="4"/>
        <item x="8"/>
        <item x="3"/>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0">
    <i>
      <x v="24"/>
    </i>
    <i>
      <x v="5"/>
    </i>
    <i>
      <x v="16"/>
    </i>
    <i>
      <x v="15"/>
    </i>
    <i>
      <x v="13"/>
    </i>
    <i>
      <x v="8"/>
    </i>
    <i>
      <x v="1"/>
    </i>
    <i>
      <x v="20"/>
    </i>
    <i>
      <x v="7"/>
    </i>
    <i>
      <x v="3"/>
    </i>
  </rowItems>
  <colItems count="1">
    <i/>
  </colItems>
  <dataFields count="1">
    <dataField name="Average of Discount_%" fld="8" subtotal="average" baseField="3" baseItem="0"/>
  </dataFields>
  <formats count="2">
    <format dxfId="30">
      <pivotArea outline="0" collapsedLevelsAreSubtotals="1" fieldPosition="0"/>
    </format>
    <format dxfId="29">
      <pivotArea collapsedLevelsAreSubtotals="1" fieldPosition="0">
        <references count="1">
          <reference field="3" count="10">
            <x v="1"/>
            <x v="3"/>
            <x v="5"/>
            <x v="7"/>
            <x v="8"/>
            <x v="13"/>
            <x v="15"/>
            <x v="16"/>
            <x v="20"/>
            <x v="24"/>
          </reference>
        </references>
      </pivotArea>
    </format>
  </formats>
  <chartFormats count="5">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1"/>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03F9C177-D2C1-41E6-8182-59C6A01285A4}" sourceName="Store_Location">
  <pivotTables>
    <pivotTable tabId="6" name="PivotTable 5"/>
    <pivotTable tabId="6" name="PivotTable 6"/>
    <pivotTable tabId="6" name="PivotTable 7"/>
    <pivotTable tabId="6" name="PivotTable 1"/>
    <pivotTable tabId="6" name="PivotTable 2"/>
    <pivotTable tabId="6" name="PivotTable 3"/>
    <pivotTable tabId="6" name="PivotTable 4"/>
    <pivotTable tabId="6" name="PivotTable 8"/>
    <pivotTable tabId="6" name="PivotTable 9"/>
    <pivotTable tabId="6" name="PivotTable10"/>
    <pivotTable tabId="6" name="PivotTable11"/>
    <pivotTable tabId="6" name="PivotTable12"/>
    <pivotTable tabId="6" name="PivotTable13"/>
    <pivotTable tabId="6" name="PivotTable15"/>
    <pivotTable tabId="6" name="PivotTable16"/>
    <pivotTable tabId="6" name="PivotTable17"/>
    <pivotTable tabId="6" name="PivotTable19"/>
    <pivotTable tabId="6" name="PivotTable 14"/>
  </pivotTables>
  <data>
    <tabular pivotCacheId="555773381">
      <items count="7">
        <i x="0" s="1"/>
        <i x="2" s="1"/>
        <i x="1" s="1"/>
        <i x="5" s="1"/>
        <i x="3"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7E84867-FCA1-410E-9C31-48388F1B7915}" sourceName="Product_Category">
  <pivotTables>
    <pivotTable tabId="6" name="PivotTable 5"/>
    <pivotTable tabId="6" name="PivotTable 6"/>
    <pivotTable tabId="6" name="PivotTable 7"/>
    <pivotTable tabId="6" name="PivotTable 1"/>
    <pivotTable tabId="6" name="PivotTable 2"/>
    <pivotTable tabId="6" name="PivotTable 3"/>
    <pivotTable tabId="6" name="PivotTable 4"/>
    <pivotTable tabId="6" name="PivotTable 8"/>
    <pivotTable tabId="6" name="PivotTable 9"/>
    <pivotTable tabId="6" name="PivotTable10"/>
    <pivotTable tabId="6" name="PivotTable11"/>
    <pivotTable tabId="6" name="PivotTable12"/>
    <pivotTable tabId="6" name="PivotTable13"/>
    <pivotTable tabId="6" name="PivotTable15"/>
    <pivotTable tabId="6" name="PivotTable16"/>
    <pivotTable tabId="6" name="PivotTable17"/>
    <pivotTable tabId="6" name="PivotTable19"/>
    <pivotTable tabId="6" name="PivotTable 14"/>
  </pivotTables>
  <data>
    <tabular pivotCacheId="555773381">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resentative" xr10:uid="{DD6CE010-338A-4F71-82D9-5FC0CC95C991}" sourceName="Sales_Representative">
  <pivotTables>
    <pivotTable tabId="6" name="PivotTable 5"/>
    <pivotTable tabId="6" name="PivotTable 6"/>
    <pivotTable tabId="6" name="PivotTable 7"/>
    <pivotTable tabId="6" name="PivotTable 1"/>
    <pivotTable tabId="6" name="PivotTable 2"/>
    <pivotTable tabId="6" name="PivotTable 3"/>
    <pivotTable tabId="6" name="PivotTable 4"/>
    <pivotTable tabId="6" name="PivotTable 8"/>
    <pivotTable tabId="6" name="PivotTable 9"/>
    <pivotTable tabId="6" name="PivotTable10"/>
    <pivotTable tabId="6" name="PivotTable11"/>
    <pivotTable tabId="6" name="PivotTable12"/>
    <pivotTable tabId="6" name="PivotTable13"/>
    <pivotTable tabId="6" name="PivotTable15"/>
    <pivotTable tabId="6" name="PivotTable16"/>
    <pivotTable tabId="6" name="PivotTable17"/>
    <pivotTable tabId="6" name="PivotTable19"/>
    <pivotTable tabId="6" name="PivotTable 14"/>
  </pivotTables>
  <data>
    <tabular pivotCacheId="555773381">
      <items count="8">
        <i x="1" s="1"/>
        <i x="4" s="1"/>
        <i x="3" s="1"/>
        <i x="6" s="1"/>
        <i x="5" s="1"/>
        <i x="7"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3578321-3A7D-4F13-BAAF-149A288B23C6}" sourceName="Product_Name">
  <pivotTables>
    <pivotTable tabId="6" name="PivotTable 5"/>
    <pivotTable tabId="6" name="PivotTable 6"/>
    <pivotTable tabId="6" name="PivotTable 7"/>
    <pivotTable tabId="6" name="PivotTable 1"/>
    <pivotTable tabId="6" name="PivotTable 2"/>
    <pivotTable tabId="6" name="PivotTable 3"/>
    <pivotTable tabId="6" name="PivotTable 4"/>
    <pivotTable tabId="6" name="PivotTable 8"/>
    <pivotTable tabId="6" name="PivotTable 9"/>
    <pivotTable tabId="6" name="PivotTable10"/>
    <pivotTable tabId="6" name="PivotTable11"/>
    <pivotTable tabId="6" name="PivotTable12"/>
    <pivotTable tabId="6" name="PivotTable13"/>
    <pivotTable tabId="6" name="PivotTable15"/>
    <pivotTable tabId="6" name="PivotTable16"/>
    <pivotTable tabId="6" name="PivotTable17"/>
    <pivotTable tabId="6" name="PivotTable19"/>
    <pivotTable tabId="6" name="PivotTable 14"/>
  </pivotTables>
  <data>
    <tabular pivotCacheId="555773381">
      <items count="25">
        <i x="19" s="1"/>
        <i x="4" s="1"/>
        <i x="10" s="1"/>
        <i x="13" s="1"/>
        <i x="2" s="1"/>
        <i x="9" s="1"/>
        <i x="5" s="1"/>
        <i x="1" s="1"/>
        <i x="14" s="1"/>
        <i x="20" s="1"/>
        <i x="7" s="1"/>
        <i x="16" s="1"/>
        <i x="0" s="1"/>
        <i x="18" s="1"/>
        <i x="17" s="1"/>
        <i x="12" s="1"/>
        <i x="21" s="1"/>
        <i x="6" s="1"/>
        <i x="24" s="1"/>
        <i x="8" s="1"/>
        <i x="3" s="1"/>
        <i x="11" s="1"/>
        <i x="15" s="1"/>
        <i x="23" s="1"/>
        <i x="2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F8D59885-2795-4A55-A83A-973B1F5024CB}" sourceName="Month">
  <pivotTables>
    <pivotTable tabId="6" name="PivotTable 4"/>
    <pivotTable tabId="6" name="PivotTable 8"/>
    <pivotTable tabId="6" name="PivotTable 9"/>
    <pivotTable tabId="6" name="PivotTable12"/>
    <pivotTable tabId="6" name="PivotTable13"/>
    <pivotTable tabId="6" name="PivotTable17"/>
    <pivotTable tabId="6" name="PivotTable19"/>
    <pivotTable tabId="6" name="PivotTable 1"/>
    <pivotTable tabId="6" name="PivotTable 7"/>
    <pivotTable tabId="6" name="PivotTable 2"/>
    <pivotTable tabId="6" name="PivotTable 3"/>
    <pivotTable tabId="6" name="PivotTable 5"/>
    <pivotTable tabId="6" name="PivotTable 6"/>
    <pivotTable tabId="6" name="PivotTable10"/>
    <pivotTable tabId="6" name="PivotTable11"/>
    <pivotTable tabId="6" name="PivotTable15"/>
    <pivotTable tabId="6" name="PivotTable16"/>
    <pivotTable tabId="6" name="PivotTable 14"/>
  </pivotTables>
  <data>
    <tabular pivotCacheId="555773381">
      <items count="12">
        <i x="10" s="1"/>
        <i x="2" s="1"/>
        <i x="6" s="1"/>
        <i x="1" s="1"/>
        <i x="9" s="1"/>
        <i x="5" s="1"/>
        <i x="11" s="1"/>
        <i x="0" s="1"/>
        <i x="7" s="1"/>
        <i x="4" s="1"/>
        <i x="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Location" xr10:uid="{4C415F05-DE45-4DE1-B81F-0A4DD1A14EB5}" cache="Slicer_Store_Location" caption="Store_Location" rowHeight="234950"/>
  <slicer name="Product_Category" xr10:uid="{2804F9B6-8C63-49F1-854F-3E34F9F515F8}" cache="Slicer_Product_Category" caption="Product_Category" rowHeight="234950"/>
  <slicer name="Sales_Representative" xr10:uid="{C35203B0-9D5A-4C5F-AEFA-295435B614D8}" cache="Slicer_Sales_Representative" caption="Sales_Representative" rowHeight="234950"/>
  <slicer name="Product_Name" xr10:uid="{24EF4C13-5E0C-4740-AAAA-1130424D32B7}" cache="Slicer_Product_Name" caption="Product_Name" rowHeight="234950"/>
  <slicer name="Month 1" xr10:uid="{D1634BB4-3785-465F-A18C-1E59FC786D18}" cache="Slicer_Month1"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Location 2" xr10:uid="{AC13FF3D-990B-48E7-96D1-706FF30740BF}" cache="Slicer_Store_Location" caption="Store_Location" style="SlicerStyleLight2" rowHeight="234950"/>
  <slicer name="Product_Category 2" xr10:uid="{46718779-8813-4B76-9722-2094A428BD07}" cache="Slicer_Product_Category" caption="Product_Category" style="SlicerStyleLight2" rowHeight="234950"/>
  <slicer name="Sales_Representative 2" xr10:uid="{27ABF07C-8038-42B3-B67D-07414BD09DA0}" cache="Slicer_Sales_Representative" caption="Sales_Representative" style="SlicerStyleLight2" rowHeight="234950"/>
  <slicer name="Product_Name 2" xr10:uid="{DFCF9C46-CEC4-43C6-8B11-1EFCB4D10633}" cache="Slicer_Product_Name" caption="Product_Name" style="SlicerStyleLight2" rowHeight="234950"/>
  <slicer name="Month 2" xr10:uid="{FFF9722C-6567-435C-BA4E-CC5F1D716DAF}" cache="Slicer_Month1" caption="Month" style="SlicerStyleLigh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Location 3" xr10:uid="{B032F7A1-CBAA-4448-9B42-3D0D62DCBC25}" cache="Slicer_Store_Location" caption="Store_Location" style="SlicerStyleLight2" rowHeight="234950"/>
  <slicer name="Product_Category 3" xr10:uid="{69962650-B483-4982-B010-E3CD8E0BBBE5}" cache="Slicer_Product_Category" caption="Product_Category" style="SlicerStyleLight2" rowHeight="234950"/>
  <slicer name="Sales_Representative 3" xr10:uid="{EFE57A6A-FEBC-4CCB-8C27-14BC74F4B4D1}" cache="Slicer_Sales_Representative" caption="Sales_Representative" style="SlicerStyleLight2" rowHeight="234950"/>
  <slicer name="Product_Name 3" xr10:uid="{98D9B84B-89D0-4FFA-B6A2-FFB87FA93FE0}" cache="Slicer_Product_Name" caption="Product_Name" style="SlicerStyleLight2" rowHeight="234950"/>
  <slicer name="Month 3" xr10:uid="{12C498D8-737A-47FA-A6E6-1050A6B5E4E5}" cache="Slicer_Month1" caption="Month" style="SlicerStyleLight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Location 5" xr10:uid="{F714D2F4-710A-442E-8AC2-95BA40B40934}" cache="Slicer_Store_Location" caption="Store_Location" style="SlicerStyleLight2" rowHeight="234950"/>
  <slicer name="Product_Category 5" xr10:uid="{27433CDB-C420-4A47-AB9C-E4E896462495}" cache="Slicer_Product_Category" caption="Product_Category" style="SlicerStyleLight2" rowHeight="234950"/>
  <slicer name="Sales_Representative 5" xr10:uid="{86698274-088D-487E-991A-6F1EBF8808FD}" cache="Slicer_Sales_Representative" caption="Sales_Representative" style="SlicerStyleLight2" rowHeight="234950"/>
  <slicer name="Product_Name 5" xr10:uid="{8018FD45-81DC-47C7-A583-5C4207B18581}" cache="Slicer_Product_Name" caption="Product_Name" style="SlicerStyleLight2" rowHeight="234950"/>
  <slicer name="Month 4" xr10:uid="{18C4FF42-3A76-47B5-B118-324C5C5C4348}" cache="Slicer_Month1" caption="Month" style="SlicerStyleLight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Location 1" xr10:uid="{BC40A94E-02CB-493D-9274-8ADB0809FAA7}" cache="Slicer_Store_Location" caption="Store_Location" style="SlicerStyleLight2" rowHeight="234950"/>
  <slicer name="Product_Category 1" xr10:uid="{1EBD31FC-7AF2-4E54-AB7A-E9C2F19EB570}" cache="Slicer_Product_Category" caption="Product_Category" style="SlicerStyleLight2" rowHeight="234950"/>
  <slicer name="Sales_Representative 1" xr10:uid="{2FEB8CBD-94D8-463B-A94A-3D3CD1A09D4B}" cache="Slicer_Sales_Representative" caption="Sales_Representative" style="SlicerStyleLight2" rowHeight="234950"/>
  <slicer name="Product_Name 1" xr10:uid="{6459180A-70EC-44C6-8D7A-DB26E12AEB69}" cache="Slicer_Product_Name" caption="Product_Name" style="SlicerStyleLight2" rowHeight="234950"/>
  <slicer name="Month 5" xr10:uid="{F67FD34F-F111-4213-8FB1-44A04FF6A6E9}" cache="Slicer_Month1" caption="Month" style="SlicerStyleLight2"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Location 4" xr10:uid="{96C6ADE6-012C-47DC-B776-7B2A2F3ABA44}" cache="Slicer_Store_Location" caption="Store_Location" style="SlicerStyleLight2" rowHeight="234950"/>
  <slicer name="Product_Category 4" xr10:uid="{825ACA26-CA8E-49E9-B748-1DC17D52C3D3}" cache="Slicer_Product_Category" caption="Product_Category" style="SlicerStyleLight2" rowHeight="234950"/>
  <slicer name="Sales_Representative 4" xr10:uid="{8471A19D-1571-4E8D-ACC2-2C2CB83F1D5B}" cache="Slicer_Sales_Representative" caption="Sales_Representative" style="SlicerStyleLight2" rowHeight="234950"/>
  <slicer name="Product_Name 4" xr10:uid="{0B292125-1050-4291-B9A2-33B3832C0D19}" cache="Slicer_Product_Name" caption="Product_Name" style="SlicerStyleLight2" rowHeight="234950"/>
  <slicer name="Month 6" xr10:uid="{969A206D-2C7C-47C3-B1B4-E6F8602D18ED}" cache="Slicer_Month1" caption="Month"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37A1AD-C5C5-464A-91F2-0F3119C18B21}" name="Table1" displayName="Table1" ref="A1:O4001" totalsRowShown="0" headerRowDxfId="1">
  <autoFilter ref="A1:O4001" xr:uid="{B537A1AD-C5C5-464A-91F2-0F3119C18B21}"/>
  <tableColumns count="15">
    <tableColumn id="1" xr3:uid="{9D6648A9-A8FC-4700-B11E-35C0CF23F688}" name="Transaction_ID"/>
    <tableColumn id="2" xr3:uid="{455B4147-B854-4ECD-BFB9-05046D40127F}" name="Customer_Name"/>
    <tableColumn id="3" xr3:uid="{F90EA860-7418-441D-8666-3E80AC170D1F}" name="Product_Category"/>
    <tableColumn id="4" xr3:uid="{86DBA2A1-1C5E-4D3C-BFF1-D0994FD63ADC}" name="Product_Name"/>
    <tableColumn id="5" xr3:uid="{EEE51C2A-4BBB-463A-900A-2403F4477CA4}" name="Store_Location"/>
    <tableColumn id="6" xr3:uid="{1D68FBD8-AE4A-4B4F-834A-3C64A56DD994}" name="Date" dataDxfId="0"/>
    <tableColumn id="7" xr3:uid="{650AFFC9-C773-4451-80ED-34A7B657D6C3}" name="Units_Sold"/>
    <tableColumn id="8" xr3:uid="{A213AFF7-8620-4611-9270-D24A601A246A}" name="Unit_Price"/>
    <tableColumn id="9" xr3:uid="{1BF1FBD2-ED46-4D46-8EAB-223A071398CA}" name="Discount_%"/>
    <tableColumn id="10" xr3:uid="{314C18E6-CFD7-4065-AE99-2E400381169B}" name="Sales_Representative"/>
    <tableColumn id="11" xr3:uid="{5EECA4A0-06F2-4BD9-9C29-70C14117B9DA}" name="Discount_Amount"/>
    <tableColumn id="12" xr3:uid="{919F37A0-8562-471B-8562-37FC6C4EE295}" name="Gross_Sale"/>
    <tableColumn id="13" xr3:uid="{EDC009D8-08DB-4F34-B720-D1AD66D2C4AD}" name="Total_Sales"/>
    <tableColumn id="14" xr3:uid="{78FF3C6D-2C2A-4F31-B931-EEFF1C932757}" name="Month"/>
    <tableColumn id="15" xr3:uid="{88FCDC6C-6311-48B9-9186-B07512556856}" name="Year"/>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016F4-D93D-4C1E-9906-33D00F1272F5}">
  <dimension ref="A1:O4001"/>
  <sheetViews>
    <sheetView topLeftCell="A2" workbookViewId="0">
      <selection activeCell="B101" sqref="B101"/>
    </sheetView>
  </sheetViews>
  <sheetFormatPr defaultRowHeight="14.4" x14ac:dyDescent="0.3"/>
  <cols>
    <col min="1" max="1" width="15.44140625" customWidth="1"/>
    <col min="2" max="2" width="17" customWidth="1"/>
    <col min="3" max="3" width="18.109375" customWidth="1"/>
    <col min="4" max="5" width="15.5546875" customWidth="1"/>
    <col min="6" max="6" width="10.33203125" bestFit="1" customWidth="1"/>
    <col min="7" max="7" width="11.88671875" customWidth="1"/>
    <col min="8" max="8" width="11.5546875" customWidth="1"/>
    <col min="9" max="9" width="12.6640625" customWidth="1"/>
    <col min="10" max="10" width="20.6640625" customWidth="1"/>
    <col min="11" max="11" width="18.109375" customWidth="1"/>
    <col min="12" max="12" width="11.88671875" customWidth="1"/>
    <col min="13" max="13" width="12.33203125" customWidth="1"/>
    <col min="14" max="14" width="9.77734375" bestFit="1" customWidth="1"/>
    <col min="15" max="15" width="6.5546875" customWidth="1"/>
  </cols>
  <sheetData>
    <row r="1" spans="1:15"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
      <c r="A2" t="s">
        <v>15</v>
      </c>
      <c r="B2" t="s">
        <v>16</v>
      </c>
      <c r="C2" t="s">
        <v>17</v>
      </c>
      <c r="D2" t="s">
        <v>18</v>
      </c>
      <c r="E2" t="s">
        <v>19</v>
      </c>
      <c r="F2" s="1">
        <v>45520</v>
      </c>
      <c r="G2">
        <v>3</v>
      </c>
      <c r="H2">
        <v>70467.66</v>
      </c>
      <c r="I2">
        <v>20</v>
      </c>
      <c r="J2" t="s">
        <v>20</v>
      </c>
      <c r="K2">
        <v>42280.6</v>
      </c>
      <c r="L2">
        <v>211402.98</v>
      </c>
      <c r="M2">
        <v>169122.38</v>
      </c>
      <c r="N2" t="s">
        <v>21</v>
      </c>
      <c r="O2">
        <v>2024</v>
      </c>
    </row>
    <row r="3" spans="1:15" x14ac:dyDescent="0.3">
      <c r="A3" t="s">
        <v>22</v>
      </c>
      <c r="B3" t="s">
        <v>23</v>
      </c>
      <c r="C3" t="s">
        <v>17</v>
      </c>
      <c r="D3" t="s">
        <v>24</v>
      </c>
      <c r="E3" t="s">
        <v>25</v>
      </c>
      <c r="F3" s="1">
        <v>45387</v>
      </c>
      <c r="G3">
        <v>4</v>
      </c>
      <c r="H3">
        <v>2874.5</v>
      </c>
      <c r="I3">
        <v>20</v>
      </c>
      <c r="J3" t="s">
        <v>26</v>
      </c>
      <c r="K3">
        <v>2299.6</v>
      </c>
      <c r="L3">
        <v>11498</v>
      </c>
      <c r="M3">
        <v>9198.4</v>
      </c>
      <c r="N3" t="s">
        <v>27</v>
      </c>
      <c r="O3">
        <v>2024</v>
      </c>
    </row>
    <row r="4" spans="1:15" x14ac:dyDescent="0.3">
      <c r="A4" t="s">
        <v>28</v>
      </c>
      <c r="B4" t="s">
        <v>29</v>
      </c>
      <c r="C4" t="s">
        <v>17</v>
      </c>
      <c r="D4" t="s">
        <v>24</v>
      </c>
      <c r="E4" t="s">
        <v>30</v>
      </c>
      <c r="F4" s="1">
        <v>45517</v>
      </c>
      <c r="G4">
        <v>8</v>
      </c>
      <c r="H4">
        <v>3141.95</v>
      </c>
      <c r="I4">
        <v>0</v>
      </c>
      <c r="J4" t="s">
        <v>31</v>
      </c>
      <c r="K4">
        <v>0</v>
      </c>
      <c r="L4">
        <v>25135.599999999999</v>
      </c>
      <c r="M4">
        <v>25135.599999999999</v>
      </c>
      <c r="N4" t="s">
        <v>21</v>
      </c>
      <c r="O4">
        <v>2024</v>
      </c>
    </row>
    <row r="5" spans="1:15" x14ac:dyDescent="0.3">
      <c r="A5" t="s">
        <v>32</v>
      </c>
      <c r="B5" t="s">
        <v>33</v>
      </c>
      <c r="C5" t="s">
        <v>34</v>
      </c>
      <c r="D5" t="s">
        <v>35</v>
      </c>
      <c r="E5" t="s">
        <v>19</v>
      </c>
      <c r="F5" s="1">
        <v>45512</v>
      </c>
      <c r="G5">
        <v>6</v>
      </c>
      <c r="H5">
        <v>23138.81</v>
      </c>
      <c r="I5">
        <v>15</v>
      </c>
      <c r="J5" t="s">
        <v>36</v>
      </c>
      <c r="K5">
        <v>20824.93</v>
      </c>
      <c r="L5">
        <v>138832.85999999999</v>
      </c>
      <c r="M5">
        <v>118007.93</v>
      </c>
      <c r="N5" t="s">
        <v>21</v>
      </c>
      <c r="O5">
        <v>2024</v>
      </c>
    </row>
    <row r="6" spans="1:15" x14ac:dyDescent="0.3">
      <c r="A6" t="s">
        <v>37</v>
      </c>
      <c r="B6" t="s">
        <v>38</v>
      </c>
      <c r="C6" t="s">
        <v>17</v>
      </c>
      <c r="D6" t="s">
        <v>39</v>
      </c>
      <c r="E6" t="s">
        <v>19</v>
      </c>
      <c r="F6" s="1">
        <v>45336</v>
      </c>
      <c r="G6">
        <v>8</v>
      </c>
      <c r="H6">
        <v>18613.03</v>
      </c>
      <c r="I6">
        <v>15</v>
      </c>
      <c r="J6" t="s">
        <v>40</v>
      </c>
      <c r="K6">
        <v>22335.64</v>
      </c>
      <c r="L6">
        <v>148904.24</v>
      </c>
      <c r="M6">
        <v>126568.6</v>
      </c>
      <c r="N6" t="s">
        <v>41</v>
      </c>
      <c r="O6">
        <v>2024</v>
      </c>
    </row>
    <row r="7" spans="1:15" x14ac:dyDescent="0.3">
      <c r="A7" t="s">
        <v>42</v>
      </c>
      <c r="B7" t="s">
        <v>43</v>
      </c>
      <c r="C7" t="s">
        <v>17</v>
      </c>
      <c r="D7" t="s">
        <v>24</v>
      </c>
      <c r="E7" t="s">
        <v>44</v>
      </c>
      <c r="F7" s="1">
        <v>45883</v>
      </c>
      <c r="G7">
        <v>4</v>
      </c>
      <c r="H7">
        <v>3228.43</v>
      </c>
      <c r="I7">
        <v>0</v>
      </c>
      <c r="J7" t="s">
        <v>45</v>
      </c>
      <c r="K7">
        <v>0</v>
      </c>
      <c r="L7">
        <v>12913.72</v>
      </c>
      <c r="M7">
        <v>12913.72</v>
      </c>
      <c r="N7" t="s">
        <v>21</v>
      </c>
      <c r="O7">
        <v>2025</v>
      </c>
    </row>
    <row r="8" spans="1:15" x14ac:dyDescent="0.3">
      <c r="A8" t="s">
        <v>46</v>
      </c>
      <c r="B8" t="s">
        <v>47</v>
      </c>
      <c r="C8" t="s">
        <v>34</v>
      </c>
      <c r="D8" t="s">
        <v>48</v>
      </c>
      <c r="E8" t="s">
        <v>44</v>
      </c>
      <c r="F8" s="1">
        <v>45395</v>
      </c>
      <c r="G8">
        <v>7</v>
      </c>
      <c r="H8">
        <v>7755.95</v>
      </c>
      <c r="I8">
        <v>10</v>
      </c>
      <c r="J8" t="s">
        <v>20</v>
      </c>
      <c r="K8">
        <v>5429.17</v>
      </c>
      <c r="L8">
        <v>54291.65</v>
      </c>
      <c r="M8">
        <v>48862.48</v>
      </c>
      <c r="N8" t="s">
        <v>27</v>
      </c>
      <c r="O8">
        <v>2024</v>
      </c>
    </row>
    <row r="9" spans="1:15" x14ac:dyDescent="0.3">
      <c r="A9" t="s">
        <v>49</v>
      </c>
      <c r="B9" t="s">
        <v>33</v>
      </c>
      <c r="C9" t="s">
        <v>34</v>
      </c>
      <c r="D9" t="s">
        <v>48</v>
      </c>
      <c r="E9" t="s">
        <v>50</v>
      </c>
      <c r="F9" s="1">
        <v>46010</v>
      </c>
      <c r="G9">
        <v>2</v>
      </c>
      <c r="H9">
        <v>9260.09</v>
      </c>
      <c r="I9">
        <v>5</v>
      </c>
      <c r="J9" t="s">
        <v>40</v>
      </c>
      <c r="K9">
        <v>926.01</v>
      </c>
      <c r="L9">
        <v>18520.18</v>
      </c>
      <c r="M9">
        <v>17594.169999999998</v>
      </c>
      <c r="N9" t="s">
        <v>51</v>
      </c>
      <c r="O9">
        <v>2025</v>
      </c>
    </row>
    <row r="10" spans="1:15" x14ac:dyDescent="0.3">
      <c r="A10" t="s">
        <v>52</v>
      </c>
      <c r="B10" t="s">
        <v>53</v>
      </c>
      <c r="C10" t="s">
        <v>54</v>
      </c>
      <c r="D10" t="s">
        <v>55</v>
      </c>
      <c r="E10" t="s">
        <v>56</v>
      </c>
      <c r="F10" s="1">
        <v>45568</v>
      </c>
      <c r="G10">
        <v>9</v>
      </c>
      <c r="H10">
        <v>1260.47</v>
      </c>
      <c r="I10">
        <v>10</v>
      </c>
      <c r="J10" t="s">
        <v>31</v>
      </c>
      <c r="K10">
        <v>1134.42</v>
      </c>
      <c r="L10">
        <v>11344.23</v>
      </c>
      <c r="M10">
        <v>10209.81</v>
      </c>
      <c r="N10" t="s">
        <v>57</v>
      </c>
      <c r="O10">
        <v>2024</v>
      </c>
    </row>
    <row r="11" spans="1:15" x14ac:dyDescent="0.3">
      <c r="A11" t="s">
        <v>58</v>
      </c>
      <c r="B11" t="s">
        <v>38</v>
      </c>
      <c r="C11" t="s">
        <v>17</v>
      </c>
      <c r="D11" t="s">
        <v>59</v>
      </c>
      <c r="E11" t="s">
        <v>25</v>
      </c>
      <c r="F11" s="1">
        <v>45702</v>
      </c>
      <c r="G11">
        <v>5</v>
      </c>
      <c r="H11">
        <v>22913.68</v>
      </c>
      <c r="I11">
        <v>20</v>
      </c>
      <c r="J11" t="s">
        <v>45</v>
      </c>
      <c r="K11">
        <v>22913.68</v>
      </c>
      <c r="L11">
        <v>114568.4</v>
      </c>
      <c r="M11">
        <v>91654.720000000001</v>
      </c>
      <c r="N11" t="s">
        <v>41</v>
      </c>
      <c r="O11">
        <v>2025</v>
      </c>
    </row>
    <row r="12" spans="1:15" x14ac:dyDescent="0.3">
      <c r="A12" t="s">
        <v>60</v>
      </c>
      <c r="B12" t="s">
        <v>61</v>
      </c>
      <c r="C12" t="s">
        <v>62</v>
      </c>
      <c r="D12" t="s">
        <v>63</v>
      </c>
      <c r="E12" t="s">
        <v>56</v>
      </c>
      <c r="F12" s="1">
        <v>45950</v>
      </c>
      <c r="G12">
        <v>8</v>
      </c>
      <c r="H12">
        <v>1852.72</v>
      </c>
      <c r="I12">
        <v>5</v>
      </c>
      <c r="J12" t="s">
        <v>31</v>
      </c>
      <c r="K12">
        <v>741.09</v>
      </c>
      <c r="L12">
        <v>14821.76</v>
      </c>
      <c r="M12">
        <v>14080.67</v>
      </c>
      <c r="N12" t="s">
        <v>57</v>
      </c>
      <c r="O12">
        <v>2025</v>
      </c>
    </row>
    <row r="13" spans="1:15" x14ac:dyDescent="0.3">
      <c r="A13" t="s">
        <v>64</v>
      </c>
      <c r="B13" t="s">
        <v>65</v>
      </c>
      <c r="C13" t="s">
        <v>34</v>
      </c>
      <c r="D13" t="s">
        <v>66</v>
      </c>
      <c r="E13" t="s">
        <v>19</v>
      </c>
      <c r="F13" s="1">
        <v>45889</v>
      </c>
      <c r="G13">
        <v>7</v>
      </c>
      <c r="H13">
        <v>39619.96</v>
      </c>
      <c r="I13">
        <v>5</v>
      </c>
      <c r="J13" t="s">
        <v>31</v>
      </c>
      <c r="K13">
        <v>13866.99</v>
      </c>
      <c r="L13">
        <v>277339.71999999997</v>
      </c>
      <c r="M13">
        <v>263472.73</v>
      </c>
      <c r="N13" t="s">
        <v>21</v>
      </c>
      <c r="O13">
        <v>2025</v>
      </c>
    </row>
    <row r="14" spans="1:15" x14ac:dyDescent="0.3">
      <c r="A14" t="s">
        <v>67</v>
      </c>
      <c r="B14" t="s">
        <v>47</v>
      </c>
      <c r="C14" t="s">
        <v>54</v>
      </c>
      <c r="D14" t="s">
        <v>68</v>
      </c>
      <c r="E14" t="s">
        <v>44</v>
      </c>
      <c r="F14" s="1">
        <v>45404</v>
      </c>
      <c r="G14">
        <v>3</v>
      </c>
      <c r="H14">
        <v>4755.88</v>
      </c>
      <c r="I14">
        <v>15</v>
      </c>
      <c r="J14" t="s">
        <v>26</v>
      </c>
      <c r="K14">
        <v>2140.15</v>
      </c>
      <c r="L14">
        <v>14267.64</v>
      </c>
      <c r="M14">
        <v>12127.49</v>
      </c>
      <c r="N14" t="s">
        <v>27</v>
      </c>
      <c r="O14">
        <v>2024</v>
      </c>
    </row>
    <row r="15" spans="1:15" x14ac:dyDescent="0.3">
      <c r="A15" t="s">
        <v>69</v>
      </c>
      <c r="B15" t="s">
        <v>23</v>
      </c>
      <c r="C15" t="s">
        <v>54</v>
      </c>
      <c r="D15" t="s">
        <v>70</v>
      </c>
      <c r="E15" t="s">
        <v>56</v>
      </c>
      <c r="F15" s="1">
        <v>45833</v>
      </c>
      <c r="G15">
        <v>5</v>
      </c>
      <c r="H15">
        <v>2856.92</v>
      </c>
      <c r="I15">
        <v>0</v>
      </c>
      <c r="J15" t="s">
        <v>71</v>
      </c>
      <c r="K15">
        <v>0</v>
      </c>
      <c r="L15">
        <v>14284.6</v>
      </c>
      <c r="M15">
        <v>14284.6</v>
      </c>
      <c r="N15" t="s">
        <v>72</v>
      </c>
      <c r="O15">
        <v>2025</v>
      </c>
    </row>
    <row r="16" spans="1:15" x14ac:dyDescent="0.3">
      <c r="A16" t="s">
        <v>73</v>
      </c>
      <c r="B16" t="s">
        <v>74</v>
      </c>
      <c r="C16" t="s">
        <v>17</v>
      </c>
      <c r="D16" t="s">
        <v>24</v>
      </c>
      <c r="E16" t="s">
        <v>19</v>
      </c>
      <c r="F16" s="1">
        <v>45406</v>
      </c>
      <c r="G16">
        <v>5</v>
      </c>
      <c r="H16">
        <v>3026.07</v>
      </c>
      <c r="I16">
        <v>15</v>
      </c>
      <c r="J16" t="s">
        <v>45</v>
      </c>
      <c r="K16">
        <v>2269.5500000000002</v>
      </c>
      <c r="L16">
        <v>15130.35</v>
      </c>
      <c r="M16">
        <v>12860.8</v>
      </c>
      <c r="N16" t="s">
        <v>27</v>
      </c>
      <c r="O16">
        <v>2024</v>
      </c>
    </row>
    <row r="17" spans="1:15" x14ac:dyDescent="0.3">
      <c r="A17" t="s">
        <v>75</v>
      </c>
      <c r="B17" t="s">
        <v>65</v>
      </c>
      <c r="C17" t="s">
        <v>17</v>
      </c>
      <c r="D17" t="s">
        <v>39</v>
      </c>
      <c r="E17" t="s">
        <v>44</v>
      </c>
      <c r="F17" s="1">
        <v>45811</v>
      </c>
      <c r="G17">
        <v>2</v>
      </c>
      <c r="H17">
        <v>20117.330000000002</v>
      </c>
      <c r="I17">
        <v>10</v>
      </c>
      <c r="J17" t="s">
        <v>36</v>
      </c>
      <c r="K17">
        <v>4023.47</v>
      </c>
      <c r="L17">
        <v>40234.660000000003</v>
      </c>
      <c r="M17">
        <v>36211.19</v>
      </c>
      <c r="N17" t="s">
        <v>72</v>
      </c>
      <c r="O17">
        <v>2025</v>
      </c>
    </row>
    <row r="18" spans="1:15" x14ac:dyDescent="0.3">
      <c r="A18" t="s">
        <v>76</v>
      </c>
      <c r="B18" t="s">
        <v>29</v>
      </c>
      <c r="C18" t="s">
        <v>54</v>
      </c>
      <c r="D18" t="s">
        <v>77</v>
      </c>
      <c r="E18" t="s">
        <v>50</v>
      </c>
      <c r="F18" s="1">
        <v>45457</v>
      </c>
      <c r="G18">
        <v>9</v>
      </c>
      <c r="H18">
        <v>5691.87</v>
      </c>
      <c r="I18">
        <v>20</v>
      </c>
      <c r="J18" t="s">
        <v>45</v>
      </c>
      <c r="K18">
        <v>10245.370000000001</v>
      </c>
      <c r="L18">
        <v>51226.83</v>
      </c>
      <c r="M18">
        <v>40981.46</v>
      </c>
      <c r="N18" t="s">
        <v>72</v>
      </c>
      <c r="O18">
        <v>2024</v>
      </c>
    </row>
    <row r="19" spans="1:15" x14ac:dyDescent="0.3">
      <c r="A19" t="s">
        <v>78</v>
      </c>
      <c r="B19" t="s">
        <v>33</v>
      </c>
      <c r="C19" t="s">
        <v>17</v>
      </c>
      <c r="D19" t="s">
        <v>24</v>
      </c>
      <c r="E19" t="s">
        <v>56</v>
      </c>
      <c r="F19" s="1">
        <v>45406</v>
      </c>
      <c r="G19">
        <v>6</v>
      </c>
      <c r="H19">
        <v>3359.04</v>
      </c>
      <c r="I19">
        <v>10</v>
      </c>
      <c r="J19" t="s">
        <v>26</v>
      </c>
      <c r="K19">
        <v>2015.42</v>
      </c>
      <c r="L19">
        <v>20154.240000000002</v>
      </c>
      <c r="M19">
        <v>18138.82</v>
      </c>
      <c r="N19" t="s">
        <v>27</v>
      </c>
      <c r="O19">
        <v>2024</v>
      </c>
    </row>
    <row r="20" spans="1:15" x14ac:dyDescent="0.3">
      <c r="A20" t="s">
        <v>79</v>
      </c>
      <c r="B20" t="s">
        <v>29</v>
      </c>
      <c r="C20" t="s">
        <v>34</v>
      </c>
      <c r="D20" t="s">
        <v>80</v>
      </c>
      <c r="E20" t="s">
        <v>81</v>
      </c>
      <c r="F20" s="1">
        <v>45379</v>
      </c>
      <c r="G20">
        <v>8</v>
      </c>
      <c r="H20">
        <v>6624.03</v>
      </c>
      <c r="I20">
        <v>20</v>
      </c>
      <c r="J20" t="s">
        <v>82</v>
      </c>
      <c r="K20">
        <v>10598.45</v>
      </c>
      <c r="L20">
        <v>52992.24</v>
      </c>
      <c r="M20">
        <v>42393.79</v>
      </c>
      <c r="N20" t="s">
        <v>83</v>
      </c>
      <c r="O20">
        <v>2024</v>
      </c>
    </row>
    <row r="21" spans="1:15" x14ac:dyDescent="0.3">
      <c r="A21" t="s">
        <v>84</v>
      </c>
      <c r="B21" t="s">
        <v>61</v>
      </c>
      <c r="C21" t="s">
        <v>34</v>
      </c>
      <c r="D21" t="s">
        <v>85</v>
      </c>
      <c r="E21" t="s">
        <v>56</v>
      </c>
      <c r="F21" s="1">
        <v>45563</v>
      </c>
      <c r="G21">
        <v>9</v>
      </c>
      <c r="H21">
        <v>13417.3</v>
      </c>
      <c r="I21">
        <v>15</v>
      </c>
      <c r="J21" t="s">
        <v>36</v>
      </c>
      <c r="K21">
        <v>18113.349999999999</v>
      </c>
      <c r="L21">
        <v>120755.7</v>
      </c>
      <c r="M21">
        <v>102642.35</v>
      </c>
      <c r="N21" t="s">
        <v>86</v>
      </c>
      <c r="O21">
        <v>2024</v>
      </c>
    </row>
    <row r="22" spans="1:15" x14ac:dyDescent="0.3">
      <c r="A22" t="s">
        <v>87</v>
      </c>
      <c r="B22" t="s">
        <v>74</v>
      </c>
      <c r="C22" t="s">
        <v>34</v>
      </c>
      <c r="D22" t="s">
        <v>66</v>
      </c>
      <c r="E22" t="s">
        <v>30</v>
      </c>
      <c r="F22" s="1">
        <v>46022</v>
      </c>
      <c r="G22">
        <v>5</v>
      </c>
      <c r="H22">
        <v>43988.92</v>
      </c>
      <c r="I22">
        <v>10</v>
      </c>
      <c r="J22" t="s">
        <v>20</v>
      </c>
      <c r="K22">
        <v>21994.46</v>
      </c>
      <c r="L22">
        <v>219944.6</v>
      </c>
      <c r="M22">
        <v>197950.14</v>
      </c>
      <c r="N22" t="s">
        <v>51</v>
      </c>
      <c r="O22">
        <v>2025</v>
      </c>
    </row>
    <row r="23" spans="1:15" x14ac:dyDescent="0.3">
      <c r="A23" t="s">
        <v>88</v>
      </c>
      <c r="B23" t="s">
        <v>89</v>
      </c>
      <c r="C23" t="s">
        <v>90</v>
      </c>
      <c r="D23" t="s">
        <v>91</v>
      </c>
      <c r="E23" t="s">
        <v>25</v>
      </c>
      <c r="F23" s="1">
        <v>45522</v>
      </c>
      <c r="G23">
        <v>2</v>
      </c>
      <c r="H23">
        <v>1476.78</v>
      </c>
      <c r="I23">
        <v>20</v>
      </c>
      <c r="J23" t="s">
        <v>20</v>
      </c>
      <c r="K23">
        <v>590.71</v>
      </c>
      <c r="L23">
        <v>2953.56</v>
      </c>
      <c r="M23">
        <v>2362.85</v>
      </c>
      <c r="N23" t="s">
        <v>21</v>
      </c>
      <c r="O23">
        <v>2024</v>
      </c>
    </row>
    <row r="24" spans="1:15" x14ac:dyDescent="0.3">
      <c r="A24" t="s">
        <v>92</v>
      </c>
      <c r="B24" t="s">
        <v>93</v>
      </c>
      <c r="C24" t="s">
        <v>54</v>
      </c>
      <c r="D24" t="s">
        <v>55</v>
      </c>
      <c r="E24" t="s">
        <v>50</v>
      </c>
      <c r="F24" s="1">
        <v>45364</v>
      </c>
      <c r="G24">
        <v>1</v>
      </c>
      <c r="H24">
        <v>1148.68</v>
      </c>
      <c r="I24">
        <v>0</v>
      </c>
      <c r="J24" t="s">
        <v>26</v>
      </c>
      <c r="K24">
        <v>0</v>
      </c>
      <c r="L24">
        <v>1148.68</v>
      </c>
      <c r="M24">
        <v>1148.68</v>
      </c>
      <c r="N24" t="s">
        <v>83</v>
      </c>
      <c r="O24">
        <v>2024</v>
      </c>
    </row>
    <row r="25" spans="1:15" x14ac:dyDescent="0.3">
      <c r="A25" t="s">
        <v>94</v>
      </c>
      <c r="B25" t="s">
        <v>65</v>
      </c>
      <c r="C25" t="s">
        <v>62</v>
      </c>
      <c r="D25" t="s">
        <v>95</v>
      </c>
      <c r="E25" t="s">
        <v>50</v>
      </c>
      <c r="F25" s="1">
        <v>45977</v>
      </c>
      <c r="G25">
        <v>8</v>
      </c>
      <c r="H25">
        <v>839.13</v>
      </c>
      <c r="I25">
        <v>5</v>
      </c>
      <c r="J25" t="s">
        <v>40</v>
      </c>
      <c r="K25">
        <v>335.65</v>
      </c>
      <c r="L25">
        <v>6713.04</v>
      </c>
      <c r="M25">
        <v>6377.39</v>
      </c>
      <c r="N25" t="s">
        <v>96</v>
      </c>
      <c r="O25">
        <v>2025</v>
      </c>
    </row>
    <row r="26" spans="1:15" x14ac:dyDescent="0.3">
      <c r="A26" t="s">
        <v>97</v>
      </c>
      <c r="B26" t="s">
        <v>89</v>
      </c>
      <c r="C26" t="s">
        <v>54</v>
      </c>
      <c r="D26" t="s">
        <v>77</v>
      </c>
      <c r="E26" t="s">
        <v>50</v>
      </c>
      <c r="F26" s="1">
        <v>45708</v>
      </c>
      <c r="G26">
        <v>4</v>
      </c>
      <c r="H26">
        <v>4617.91</v>
      </c>
      <c r="I26">
        <v>15</v>
      </c>
      <c r="J26" t="s">
        <v>71</v>
      </c>
      <c r="K26">
        <v>2770.75</v>
      </c>
      <c r="L26">
        <v>18471.64</v>
      </c>
      <c r="M26">
        <v>15700.89</v>
      </c>
      <c r="N26" t="s">
        <v>41</v>
      </c>
      <c r="O26">
        <v>2025</v>
      </c>
    </row>
    <row r="27" spans="1:15" x14ac:dyDescent="0.3">
      <c r="A27" t="s">
        <v>98</v>
      </c>
      <c r="B27" t="s">
        <v>23</v>
      </c>
      <c r="C27" t="s">
        <v>62</v>
      </c>
      <c r="D27" t="s">
        <v>99</v>
      </c>
      <c r="E27" t="s">
        <v>56</v>
      </c>
      <c r="F27" s="1">
        <v>45981</v>
      </c>
      <c r="G27">
        <v>2</v>
      </c>
      <c r="H27">
        <v>1510</v>
      </c>
      <c r="I27">
        <v>10</v>
      </c>
      <c r="J27" t="s">
        <v>26</v>
      </c>
      <c r="K27">
        <v>302</v>
      </c>
      <c r="L27">
        <v>3020</v>
      </c>
      <c r="M27">
        <v>2718</v>
      </c>
      <c r="N27" t="s">
        <v>96</v>
      </c>
      <c r="O27">
        <v>2025</v>
      </c>
    </row>
    <row r="28" spans="1:15" x14ac:dyDescent="0.3">
      <c r="A28" t="s">
        <v>100</v>
      </c>
      <c r="B28" t="s">
        <v>29</v>
      </c>
      <c r="C28" t="s">
        <v>17</v>
      </c>
      <c r="D28" t="s">
        <v>59</v>
      </c>
      <c r="E28" t="s">
        <v>50</v>
      </c>
      <c r="F28" s="1">
        <v>45435</v>
      </c>
      <c r="G28">
        <v>7</v>
      </c>
      <c r="H28">
        <v>23646.799999999999</v>
      </c>
      <c r="I28">
        <v>15</v>
      </c>
      <c r="J28" t="s">
        <v>71</v>
      </c>
      <c r="K28">
        <v>24829.14</v>
      </c>
      <c r="L28">
        <v>165527.6</v>
      </c>
      <c r="M28">
        <v>140698.46</v>
      </c>
      <c r="N28" t="s">
        <v>101</v>
      </c>
      <c r="O28">
        <v>2024</v>
      </c>
    </row>
    <row r="29" spans="1:15" x14ac:dyDescent="0.3">
      <c r="A29" t="s">
        <v>102</v>
      </c>
      <c r="B29" t="s">
        <v>89</v>
      </c>
      <c r="C29" t="s">
        <v>34</v>
      </c>
      <c r="D29" t="s">
        <v>80</v>
      </c>
      <c r="E29" t="s">
        <v>44</v>
      </c>
      <c r="F29" s="1">
        <v>45343</v>
      </c>
      <c r="G29">
        <v>9</v>
      </c>
      <c r="H29">
        <v>6654.04</v>
      </c>
      <c r="I29">
        <v>0</v>
      </c>
      <c r="J29" t="s">
        <v>82</v>
      </c>
      <c r="K29">
        <v>0</v>
      </c>
      <c r="L29">
        <v>59886.36</v>
      </c>
      <c r="M29">
        <v>59886.36</v>
      </c>
      <c r="N29" t="s">
        <v>41</v>
      </c>
      <c r="O29">
        <v>2024</v>
      </c>
    </row>
    <row r="30" spans="1:15" x14ac:dyDescent="0.3">
      <c r="A30" t="s">
        <v>103</v>
      </c>
      <c r="B30" t="s">
        <v>23</v>
      </c>
      <c r="C30" t="s">
        <v>34</v>
      </c>
      <c r="D30" t="s">
        <v>85</v>
      </c>
      <c r="E30" t="s">
        <v>56</v>
      </c>
      <c r="F30" s="1">
        <v>45510</v>
      </c>
      <c r="G30">
        <v>7</v>
      </c>
      <c r="H30">
        <v>13507.33</v>
      </c>
      <c r="I30">
        <v>5</v>
      </c>
      <c r="J30" t="s">
        <v>71</v>
      </c>
      <c r="K30">
        <v>4727.57</v>
      </c>
      <c r="L30">
        <v>94551.31</v>
      </c>
      <c r="M30">
        <v>89823.74</v>
      </c>
      <c r="N30" t="s">
        <v>21</v>
      </c>
      <c r="O30">
        <v>2024</v>
      </c>
    </row>
    <row r="31" spans="1:15" x14ac:dyDescent="0.3">
      <c r="A31" t="s">
        <v>104</v>
      </c>
      <c r="B31" t="s">
        <v>23</v>
      </c>
      <c r="C31" t="s">
        <v>90</v>
      </c>
      <c r="D31" t="s">
        <v>105</v>
      </c>
      <c r="E31" t="s">
        <v>19</v>
      </c>
      <c r="F31" s="1">
        <v>45584</v>
      </c>
      <c r="G31">
        <v>7</v>
      </c>
      <c r="H31">
        <v>4135.47</v>
      </c>
      <c r="I31">
        <v>20</v>
      </c>
      <c r="J31" t="s">
        <v>71</v>
      </c>
      <c r="K31">
        <v>5789.66</v>
      </c>
      <c r="L31">
        <v>28948.29</v>
      </c>
      <c r="M31">
        <v>23158.63</v>
      </c>
      <c r="N31" t="s">
        <v>57</v>
      </c>
      <c r="O31">
        <v>2024</v>
      </c>
    </row>
    <row r="32" spans="1:15" x14ac:dyDescent="0.3">
      <c r="A32" t="s">
        <v>106</v>
      </c>
      <c r="B32" t="s">
        <v>29</v>
      </c>
      <c r="C32" t="s">
        <v>90</v>
      </c>
      <c r="D32" t="s">
        <v>107</v>
      </c>
      <c r="E32" t="s">
        <v>19</v>
      </c>
      <c r="F32" s="1">
        <v>45351</v>
      </c>
      <c r="G32">
        <v>10</v>
      </c>
      <c r="H32">
        <v>13007.21</v>
      </c>
      <c r="I32">
        <v>0</v>
      </c>
      <c r="J32" t="s">
        <v>20</v>
      </c>
      <c r="K32">
        <v>0</v>
      </c>
      <c r="L32">
        <v>130072.1</v>
      </c>
      <c r="M32">
        <v>130072.1</v>
      </c>
      <c r="N32" t="s">
        <v>41</v>
      </c>
      <c r="O32">
        <v>2024</v>
      </c>
    </row>
    <row r="33" spans="1:15" x14ac:dyDescent="0.3">
      <c r="A33" t="s">
        <v>108</v>
      </c>
      <c r="B33" t="s">
        <v>109</v>
      </c>
      <c r="C33" t="s">
        <v>62</v>
      </c>
      <c r="D33" t="s">
        <v>95</v>
      </c>
      <c r="E33" t="s">
        <v>81</v>
      </c>
      <c r="F33" s="1">
        <v>45806</v>
      </c>
      <c r="G33">
        <v>9</v>
      </c>
      <c r="H33">
        <v>751.49</v>
      </c>
      <c r="I33">
        <v>20</v>
      </c>
      <c r="J33" t="s">
        <v>71</v>
      </c>
      <c r="K33">
        <v>1352.68</v>
      </c>
      <c r="L33">
        <v>6763.41</v>
      </c>
      <c r="M33">
        <v>5410.73</v>
      </c>
      <c r="N33" t="s">
        <v>101</v>
      </c>
      <c r="O33">
        <v>2025</v>
      </c>
    </row>
    <row r="34" spans="1:15" x14ac:dyDescent="0.3">
      <c r="A34" t="s">
        <v>110</v>
      </c>
      <c r="B34" t="s">
        <v>47</v>
      </c>
      <c r="C34" t="s">
        <v>17</v>
      </c>
      <c r="D34" t="s">
        <v>59</v>
      </c>
      <c r="E34" t="s">
        <v>81</v>
      </c>
      <c r="F34" s="1">
        <v>45983</v>
      </c>
      <c r="G34">
        <v>4</v>
      </c>
      <c r="H34">
        <v>27525.96</v>
      </c>
      <c r="I34">
        <v>20</v>
      </c>
      <c r="J34" t="s">
        <v>82</v>
      </c>
      <c r="K34">
        <v>22020.77</v>
      </c>
      <c r="L34">
        <v>110103.84</v>
      </c>
      <c r="M34">
        <v>88083.07</v>
      </c>
      <c r="N34" t="s">
        <v>96</v>
      </c>
      <c r="O34">
        <v>2025</v>
      </c>
    </row>
    <row r="35" spans="1:15" x14ac:dyDescent="0.3">
      <c r="A35" t="s">
        <v>111</v>
      </c>
      <c r="B35" t="s">
        <v>93</v>
      </c>
      <c r="C35" t="s">
        <v>34</v>
      </c>
      <c r="D35" t="s">
        <v>66</v>
      </c>
      <c r="E35" t="s">
        <v>25</v>
      </c>
      <c r="F35" s="1">
        <v>45721</v>
      </c>
      <c r="G35">
        <v>10</v>
      </c>
      <c r="H35">
        <v>41652.269999999997</v>
      </c>
      <c r="I35">
        <v>10</v>
      </c>
      <c r="J35" t="s">
        <v>82</v>
      </c>
      <c r="K35">
        <v>41652.269999999997</v>
      </c>
      <c r="L35">
        <v>416522.7</v>
      </c>
      <c r="M35">
        <v>374870.43</v>
      </c>
      <c r="N35" t="s">
        <v>83</v>
      </c>
      <c r="O35">
        <v>2025</v>
      </c>
    </row>
    <row r="36" spans="1:15" x14ac:dyDescent="0.3">
      <c r="A36" t="s">
        <v>112</v>
      </c>
      <c r="B36" t="s">
        <v>61</v>
      </c>
      <c r="C36" t="s">
        <v>62</v>
      </c>
      <c r="D36" t="s">
        <v>63</v>
      </c>
      <c r="E36" t="s">
        <v>30</v>
      </c>
      <c r="F36" s="1">
        <v>45536</v>
      </c>
      <c r="G36">
        <v>5</v>
      </c>
      <c r="H36">
        <v>1798.1</v>
      </c>
      <c r="I36">
        <v>10</v>
      </c>
      <c r="J36" t="s">
        <v>45</v>
      </c>
      <c r="K36">
        <v>899.05</v>
      </c>
      <c r="L36">
        <v>8990.5</v>
      </c>
      <c r="M36">
        <v>8091.45</v>
      </c>
      <c r="N36" t="s">
        <v>86</v>
      </c>
      <c r="O36">
        <v>2024</v>
      </c>
    </row>
    <row r="37" spans="1:15" x14ac:dyDescent="0.3">
      <c r="A37" t="s">
        <v>113</v>
      </c>
      <c r="B37" t="s">
        <v>114</v>
      </c>
      <c r="C37" t="s">
        <v>90</v>
      </c>
      <c r="D37" t="s">
        <v>115</v>
      </c>
      <c r="E37" t="s">
        <v>44</v>
      </c>
      <c r="F37" s="1">
        <v>45301</v>
      </c>
      <c r="G37">
        <v>8</v>
      </c>
      <c r="H37">
        <v>8442.32</v>
      </c>
      <c r="I37">
        <v>20</v>
      </c>
      <c r="J37" t="s">
        <v>82</v>
      </c>
      <c r="K37">
        <v>13507.71</v>
      </c>
      <c r="L37">
        <v>67538.559999999998</v>
      </c>
      <c r="M37">
        <v>54030.85</v>
      </c>
      <c r="N37" t="s">
        <v>116</v>
      </c>
      <c r="O37">
        <v>2024</v>
      </c>
    </row>
    <row r="38" spans="1:15" x14ac:dyDescent="0.3">
      <c r="A38" t="s">
        <v>117</v>
      </c>
      <c r="B38" t="s">
        <v>65</v>
      </c>
      <c r="C38" t="s">
        <v>17</v>
      </c>
      <c r="D38" t="s">
        <v>18</v>
      </c>
      <c r="E38" t="s">
        <v>50</v>
      </c>
      <c r="F38" s="1">
        <v>45427</v>
      </c>
      <c r="G38">
        <v>6</v>
      </c>
      <c r="H38">
        <v>72814.039999999994</v>
      </c>
      <c r="I38">
        <v>5</v>
      </c>
      <c r="J38" t="s">
        <v>40</v>
      </c>
      <c r="K38">
        <v>21844.21</v>
      </c>
      <c r="L38">
        <v>436884.24</v>
      </c>
      <c r="M38">
        <v>415040.03</v>
      </c>
      <c r="N38" t="s">
        <v>101</v>
      </c>
      <c r="O38">
        <v>2024</v>
      </c>
    </row>
    <row r="39" spans="1:15" x14ac:dyDescent="0.3">
      <c r="A39" t="s">
        <v>118</v>
      </c>
      <c r="B39" t="s">
        <v>53</v>
      </c>
      <c r="C39" t="s">
        <v>62</v>
      </c>
      <c r="D39" t="s">
        <v>119</v>
      </c>
      <c r="E39" t="s">
        <v>56</v>
      </c>
      <c r="F39" s="1">
        <v>45918</v>
      </c>
      <c r="G39">
        <v>9</v>
      </c>
      <c r="H39">
        <v>3156.85</v>
      </c>
      <c r="I39">
        <v>20</v>
      </c>
      <c r="J39" t="s">
        <v>40</v>
      </c>
      <c r="K39">
        <v>5682.33</v>
      </c>
      <c r="L39">
        <v>28411.65</v>
      </c>
      <c r="M39">
        <v>22729.32</v>
      </c>
      <c r="N39" t="s">
        <v>86</v>
      </c>
      <c r="O39">
        <v>2025</v>
      </c>
    </row>
    <row r="40" spans="1:15" x14ac:dyDescent="0.3">
      <c r="A40" t="s">
        <v>120</v>
      </c>
      <c r="B40" t="s">
        <v>114</v>
      </c>
      <c r="C40" t="s">
        <v>62</v>
      </c>
      <c r="D40" t="s">
        <v>95</v>
      </c>
      <c r="E40" t="s">
        <v>50</v>
      </c>
      <c r="F40" s="1">
        <v>45410</v>
      </c>
      <c r="G40">
        <v>2</v>
      </c>
      <c r="H40">
        <v>868.48</v>
      </c>
      <c r="I40">
        <v>5</v>
      </c>
      <c r="J40" t="s">
        <v>40</v>
      </c>
      <c r="K40">
        <v>86.85</v>
      </c>
      <c r="L40">
        <v>1736.96</v>
      </c>
      <c r="M40">
        <v>1650.11</v>
      </c>
      <c r="N40" t="s">
        <v>27</v>
      </c>
      <c r="O40">
        <v>2024</v>
      </c>
    </row>
    <row r="41" spans="1:15" x14ac:dyDescent="0.3">
      <c r="A41" t="s">
        <v>121</v>
      </c>
      <c r="B41" t="s">
        <v>93</v>
      </c>
      <c r="C41" t="s">
        <v>62</v>
      </c>
      <c r="D41" t="s">
        <v>119</v>
      </c>
      <c r="E41" t="s">
        <v>50</v>
      </c>
      <c r="F41" s="1">
        <v>45500</v>
      </c>
      <c r="G41">
        <v>5</v>
      </c>
      <c r="H41">
        <v>3592.23</v>
      </c>
      <c r="I41">
        <v>10</v>
      </c>
      <c r="J41" t="s">
        <v>45</v>
      </c>
      <c r="K41">
        <v>1796.12</v>
      </c>
      <c r="L41">
        <v>17961.150000000001</v>
      </c>
      <c r="M41">
        <v>16165.03</v>
      </c>
      <c r="N41" t="s">
        <v>122</v>
      </c>
      <c r="O41">
        <v>2024</v>
      </c>
    </row>
    <row r="42" spans="1:15" x14ac:dyDescent="0.3">
      <c r="A42" t="s">
        <v>123</v>
      </c>
      <c r="B42" t="s">
        <v>61</v>
      </c>
      <c r="C42" t="s">
        <v>17</v>
      </c>
      <c r="D42" t="s">
        <v>18</v>
      </c>
      <c r="E42" t="s">
        <v>56</v>
      </c>
      <c r="F42" s="1">
        <v>45337</v>
      </c>
      <c r="G42">
        <v>1</v>
      </c>
      <c r="H42">
        <v>63920.29</v>
      </c>
      <c r="I42">
        <v>5</v>
      </c>
      <c r="J42" t="s">
        <v>40</v>
      </c>
      <c r="K42">
        <v>3196.01</v>
      </c>
      <c r="L42">
        <v>63920.29</v>
      </c>
      <c r="M42">
        <v>60724.28</v>
      </c>
      <c r="N42" t="s">
        <v>41</v>
      </c>
      <c r="O42">
        <v>2024</v>
      </c>
    </row>
    <row r="43" spans="1:15" x14ac:dyDescent="0.3">
      <c r="A43" t="s">
        <v>124</v>
      </c>
      <c r="B43" t="s">
        <v>16</v>
      </c>
      <c r="C43" t="s">
        <v>62</v>
      </c>
      <c r="D43" t="s">
        <v>63</v>
      </c>
      <c r="E43" t="s">
        <v>56</v>
      </c>
      <c r="F43" s="1">
        <v>45866</v>
      </c>
      <c r="G43">
        <v>1</v>
      </c>
      <c r="H43">
        <v>1670.34</v>
      </c>
      <c r="I43">
        <v>5</v>
      </c>
      <c r="J43" t="s">
        <v>31</v>
      </c>
      <c r="K43">
        <v>83.52</v>
      </c>
      <c r="L43">
        <v>1670.34</v>
      </c>
      <c r="M43">
        <v>1586.82</v>
      </c>
      <c r="N43" t="s">
        <v>122</v>
      </c>
      <c r="O43">
        <v>2025</v>
      </c>
    </row>
    <row r="44" spans="1:15" x14ac:dyDescent="0.3">
      <c r="A44" t="s">
        <v>125</v>
      </c>
      <c r="B44" t="s">
        <v>38</v>
      </c>
      <c r="C44" t="s">
        <v>54</v>
      </c>
      <c r="D44" t="s">
        <v>70</v>
      </c>
      <c r="E44" t="s">
        <v>19</v>
      </c>
      <c r="F44" s="1">
        <v>45732</v>
      </c>
      <c r="G44">
        <v>3</v>
      </c>
      <c r="H44">
        <v>2276.14</v>
      </c>
      <c r="I44">
        <v>10</v>
      </c>
      <c r="J44" t="s">
        <v>36</v>
      </c>
      <c r="K44">
        <v>682.84</v>
      </c>
      <c r="L44">
        <v>6828.42</v>
      </c>
      <c r="M44">
        <v>6145.58</v>
      </c>
      <c r="N44" t="s">
        <v>83</v>
      </c>
      <c r="O44">
        <v>2025</v>
      </c>
    </row>
    <row r="45" spans="1:15" x14ac:dyDescent="0.3">
      <c r="A45" t="s">
        <v>126</v>
      </c>
      <c r="B45" t="s">
        <v>29</v>
      </c>
      <c r="C45" t="s">
        <v>17</v>
      </c>
      <c r="D45" t="s">
        <v>39</v>
      </c>
      <c r="E45" t="s">
        <v>30</v>
      </c>
      <c r="F45" s="1">
        <v>45974</v>
      </c>
      <c r="G45">
        <v>2</v>
      </c>
      <c r="H45">
        <v>19570.71</v>
      </c>
      <c r="I45">
        <v>20</v>
      </c>
      <c r="J45" t="s">
        <v>20</v>
      </c>
      <c r="K45">
        <v>7828.28</v>
      </c>
      <c r="L45">
        <v>39141.42</v>
      </c>
      <c r="M45">
        <v>31313.14</v>
      </c>
      <c r="N45" t="s">
        <v>96</v>
      </c>
      <c r="O45">
        <v>2025</v>
      </c>
    </row>
    <row r="46" spans="1:15" x14ac:dyDescent="0.3">
      <c r="A46" t="s">
        <v>127</v>
      </c>
      <c r="B46" t="s">
        <v>16</v>
      </c>
      <c r="C46" t="s">
        <v>90</v>
      </c>
      <c r="D46" t="s">
        <v>91</v>
      </c>
      <c r="E46" t="s">
        <v>50</v>
      </c>
      <c r="F46" s="1">
        <v>45458</v>
      </c>
      <c r="G46">
        <v>3</v>
      </c>
      <c r="H46">
        <v>1680.53</v>
      </c>
      <c r="I46">
        <v>0</v>
      </c>
      <c r="J46" t="s">
        <v>20</v>
      </c>
      <c r="K46">
        <v>0</v>
      </c>
      <c r="L46">
        <v>5041.59</v>
      </c>
      <c r="M46">
        <v>5041.59</v>
      </c>
      <c r="N46" t="s">
        <v>72</v>
      </c>
      <c r="O46">
        <v>2024</v>
      </c>
    </row>
    <row r="47" spans="1:15" x14ac:dyDescent="0.3">
      <c r="A47" t="s">
        <v>128</v>
      </c>
      <c r="B47" t="s">
        <v>74</v>
      </c>
      <c r="C47" t="s">
        <v>34</v>
      </c>
      <c r="D47" t="s">
        <v>48</v>
      </c>
      <c r="E47" t="s">
        <v>56</v>
      </c>
      <c r="F47" s="1">
        <v>45565</v>
      </c>
      <c r="G47">
        <v>3</v>
      </c>
      <c r="H47">
        <v>8774.75</v>
      </c>
      <c r="I47">
        <v>0</v>
      </c>
      <c r="J47" t="s">
        <v>20</v>
      </c>
      <c r="K47">
        <v>0</v>
      </c>
      <c r="L47">
        <v>26324.25</v>
      </c>
      <c r="M47">
        <v>26324.25</v>
      </c>
      <c r="N47" t="s">
        <v>86</v>
      </c>
      <c r="O47">
        <v>2024</v>
      </c>
    </row>
    <row r="48" spans="1:15" x14ac:dyDescent="0.3">
      <c r="A48" t="s">
        <v>129</v>
      </c>
      <c r="B48" t="s">
        <v>38</v>
      </c>
      <c r="C48" t="s">
        <v>90</v>
      </c>
      <c r="D48" t="s">
        <v>105</v>
      </c>
      <c r="E48" t="s">
        <v>56</v>
      </c>
      <c r="F48" s="1">
        <v>45496</v>
      </c>
      <c r="G48">
        <v>8</v>
      </c>
      <c r="H48">
        <v>3455.95</v>
      </c>
      <c r="I48">
        <v>5</v>
      </c>
      <c r="J48" t="s">
        <v>20</v>
      </c>
      <c r="K48">
        <v>1382.38</v>
      </c>
      <c r="L48">
        <v>27647.599999999999</v>
      </c>
      <c r="M48">
        <v>26265.22</v>
      </c>
      <c r="N48" t="s">
        <v>122</v>
      </c>
      <c r="O48">
        <v>2024</v>
      </c>
    </row>
    <row r="49" spans="1:15" x14ac:dyDescent="0.3">
      <c r="A49" t="s">
        <v>130</v>
      </c>
      <c r="B49" t="s">
        <v>61</v>
      </c>
      <c r="C49" t="s">
        <v>34</v>
      </c>
      <c r="D49" t="s">
        <v>80</v>
      </c>
      <c r="E49" t="s">
        <v>50</v>
      </c>
      <c r="F49" s="1">
        <v>45628</v>
      </c>
      <c r="G49">
        <v>5</v>
      </c>
      <c r="H49">
        <v>7366.18</v>
      </c>
      <c r="I49">
        <v>10</v>
      </c>
      <c r="J49" t="s">
        <v>31</v>
      </c>
      <c r="K49">
        <v>3683.09</v>
      </c>
      <c r="L49">
        <v>36830.9</v>
      </c>
      <c r="M49">
        <v>33147.81</v>
      </c>
      <c r="N49" t="s">
        <v>51</v>
      </c>
      <c r="O49">
        <v>2024</v>
      </c>
    </row>
    <row r="50" spans="1:15" x14ac:dyDescent="0.3">
      <c r="A50" t="s">
        <v>131</v>
      </c>
      <c r="B50" t="s">
        <v>23</v>
      </c>
      <c r="C50" t="s">
        <v>62</v>
      </c>
      <c r="D50" t="s">
        <v>132</v>
      </c>
      <c r="E50" t="s">
        <v>30</v>
      </c>
      <c r="F50" s="1">
        <v>45320</v>
      </c>
      <c r="G50">
        <v>2</v>
      </c>
      <c r="H50">
        <v>2798.15</v>
      </c>
      <c r="I50">
        <v>10</v>
      </c>
      <c r="J50" t="s">
        <v>45</v>
      </c>
      <c r="K50">
        <v>559.63</v>
      </c>
      <c r="L50">
        <v>5596.3</v>
      </c>
      <c r="M50">
        <v>5036.67</v>
      </c>
      <c r="N50" t="s">
        <v>116</v>
      </c>
      <c r="O50">
        <v>2024</v>
      </c>
    </row>
    <row r="51" spans="1:15" x14ac:dyDescent="0.3">
      <c r="A51" t="s">
        <v>133</v>
      </c>
      <c r="B51" t="s">
        <v>43</v>
      </c>
      <c r="C51" t="s">
        <v>34</v>
      </c>
      <c r="D51" t="s">
        <v>66</v>
      </c>
      <c r="E51" t="s">
        <v>25</v>
      </c>
      <c r="F51" s="1">
        <v>45902</v>
      </c>
      <c r="G51">
        <v>7</v>
      </c>
      <c r="H51">
        <v>39456.870000000003</v>
      </c>
      <c r="I51">
        <v>10</v>
      </c>
      <c r="J51" t="s">
        <v>82</v>
      </c>
      <c r="K51">
        <v>27619.81</v>
      </c>
      <c r="L51">
        <v>276198.09000000003</v>
      </c>
      <c r="M51">
        <v>248578.28</v>
      </c>
      <c r="N51" t="s">
        <v>86</v>
      </c>
      <c r="O51">
        <v>2025</v>
      </c>
    </row>
    <row r="52" spans="1:15" x14ac:dyDescent="0.3">
      <c r="A52" t="s">
        <v>134</v>
      </c>
      <c r="B52" t="s">
        <v>65</v>
      </c>
      <c r="C52" t="s">
        <v>90</v>
      </c>
      <c r="D52" t="s">
        <v>91</v>
      </c>
      <c r="E52" t="s">
        <v>25</v>
      </c>
      <c r="F52" s="1">
        <v>45882</v>
      </c>
      <c r="G52">
        <v>4</v>
      </c>
      <c r="H52">
        <v>1445.52</v>
      </c>
      <c r="I52">
        <v>15</v>
      </c>
      <c r="J52" t="s">
        <v>31</v>
      </c>
      <c r="K52">
        <v>867.31</v>
      </c>
      <c r="L52">
        <v>5782.08</v>
      </c>
      <c r="M52">
        <v>4914.7700000000004</v>
      </c>
      <c r="N52" t="s">
        <v>21</v>
      </c>
      <c r="O52">
        <v>2025</v>
      </c>
    </row>
    <row r="53" spans="1:15" x14ac:dyDescent="0.3">
      <c r="A53" t="s">
        <v>135</v>
      </c>
      <c r="B53" t="s">
        <v>114</v>
      </c>
      <c r="C53" t="s">
        <v>17</v>
      </c>
      <c r="D53" t="s">
        <v>24</v>
      </c>
      <c r="E53" t="s">
        <v>44</v>
      </c>
      <c r="F53" s="1">
        <v>45664</v>
      </c>
      <c r="G53">
        <v>7</v>
      </c>
      <c r="H53">
        <v>2752.48</v>
      </c>
      <c r="I53">
        <v>10</v>
      </c>
      <c r="J53" t="s">
        <v>20</v>
      </c>
      <c r="K53">
        <v>1926.74</v>
      </c>
      <c r="L53">
        <v>19267.36</v>
      </c>
      <c r="M53">
        <v>17340.62</v>
      </c>
      <c r="N53" t="s">
        <v>116</v>
      </c>
      <c r="O53">
        <v>2025</v>
      </c>
    </row>
    <row r="54" spans="1:15" x14ac:dyDescent="0.3">
      <c r="A54" t="s">
        <v>136</v>
      </c>
      <c r="B54" t="s">
        <v>61</v>
      </c>
      <c r="C54" t="s">
        <v>54</v>
      </c>
      <c r="D54" t="s">
        <v>137</v>
      </c>
      <c r="E54" t="s">
        <v>44</v>
      </c>
      <c r="F54" s="1">
        <v>45599</v>
      </c>
      <c r="G54">
        <v>9</v>
      </c>
      <c r="H54">
        <v>967.55</v>
      </c>
      <c r="I54">
        <v>15</v>
      </c>
      <c r="J54" t="s">
        <v>82</v>
      </c>
      <c r="K54">
        <v>1306.19</v>
      </c>
      <c r="L54">
        <v>8707.9500000000007</v>
      </c>
      <c r="M54">
        <v>7401.76</v>
      </c>
      <c r="N54" t="s">
        <v>96</v>
      </c>
      <c r="O54">
        <v>2024</v>
      </c>
    </row>
    <row r="55" spans="1:15" x14ac:dyDescent="0.3">
      <c r="A55" t="s">
        <v>138</v>
      </c>
      <c r="B55" t="s">
        <v>16</v>
      </c>
      <c r="C55" t="s">
        <v>62</v>
      </c>
      <c r="D55" t="s">
        <v>99</v>
      </c>
      <c r="E55" t="s">
        <v>19</v>
      </c>
      <c r="F55" s="1">
        <v>45488</v>
      </c>
      <c r="G55">
        <v>7</v>
      </c>
      <c r="H55">
        <v>1599.35</v>
      </c>
      <c r="I55">
        <v>15</v>
      </c>
      <c r="J55" t="s">
        <v>36</v>
      </c>
      <c r="K55">
        <v>1679.32</v>
      </c>
      <c r="L55">
        <v>11195.45</v>
      </c>
      <c r="M55">
        <v>9516.1299999999992</v>
      </c>
      <c r="N55" t="s">
        <v>122</v>
      </c>
      <c r="O55">
        <v>2024</v>
      </c>
    </row>
    <row r="56" spans="1:15" x14ac:dyDescent="0.3">
      <c r="A56" t="s">
        <v>139</v>
      </c>
      <c r="B56" t="s">
        <v>93</v>
      </c>
      <c r="C56" t="s">
        <v>34</v>
      </c>
      <c r="D56" t="s">
        <v>66</v>
      </c>
      <c r="E56" t="s">
        <v>19</v>
      </c>
      <c r="F56" s="1">
        <v>45853</v>
      </c>
      <c r="G56">
        <v>1</v>
      </c>
      <c r="H56">
        <v>39038.75</v>
      </c>
      <c r="I56">
        <v>5</v>
      </c>
      <c r="J56" t="s">
        <v>31</v>
      </c>
      <c r="K56">
        <v>1951.94</v>
      </c>
      <c r="L56">
        <v>39038.75</v>
      </c>
      <c r="M56">
        <v>37086.81</v>
      </c>
      <c r="N56" t="s">
        <v>122</v>
      </c>
      <c r="O56">
        <v>2025</v>
      </c>
    </row>
    <row r="57" spans="1:15" x14ac:dyDescent="0.3">
      <c r="A57" t="s">
        <v>140</v>
      </c>
      <c r="B57" t="s">
        <v>93</v>
      </c>
      <c r="C57" t="s">
        <v>90</v>
      </c>
      <c r="D57" t="s">
        <v>91</v>
      </c>
      <c r="E57" t="s">
        <v>30</v>
      </c>
      <c r="F57" s="1">
        <v>45768</v>
      </c>
      <c r="G57">
        <v>8</v>
      </c>
      <c r="H57">
        <v>1515.81</v>
      </c>
      <c r="I57">
        <v>5</v>
      </c>
      <c r="J57" t="s">
        <v>45</v>
      </c>
      <c r="K57">
        <v>606.32000000000005</v>
      </c>
      <c r="L57">
        <v>12126.48</v>
      </c>
      <c r="M57">
        <v>11520.16</v>
      </c>
      <c r="N57" t="s">
        <v>27</v>
      </c>
      <c r="O57">
        <v>2025</v>
      </c>
    </row>
    <row r="58" spans="1:15" x14ac:dyDescent="0.3">
      <c r="A58" t="s">
        <v>141</v>
      </c>
      <c r="B58" t="s">
        <v>74</v>
      </c>
      <c r="C58" t="s">
        <v>54</v>
      </c>
      <c r="D58" t="s">
        <v>68</v>
      </c>
      <c r="E58" t="s">
        <v>44</v>
      </c>
      <c r="F58" s="1">
        <v>45966</v>
      </c>
      <c r="G58">
        <v>2</v>
      </c>
      <c r="H58">
        <v>4806.1899999999996</v>
      </c>
      <c r="I58">
        <v>20</v>
      </c>
      <c r="J58" t="s">
        <v>36</v>
      </c>
      <c r="K58">
        <v>1922.48</v>
      </c>
      <c r="L58">
        <v>9612.3799999999992</v>
      </c>
      <c r="M58">
        <v>7689.9</v>
      </c>
      <c r="N58" t="s">
        <v>96</v>
      </c>
      <c r="O58">
        <v>2025</v>
      </c>
    </row>
    <row r="59" spans="1:15" x14ac:dyDescent="0.3">
      <c r="A59" t="s">
        <v>142</v>
      </c>
      <c r="B59" t="s">
        <v>38</v>
      </c>
      <c r="C59" t="s">
        <v>62</v>
      </c>
      <c r="D59" t="s">
        <v>95</v>
      </c>
      <c r="E59" t="s">
        <v>44</v>
      </c>
      <c r="F59" s="1">
        <v>45980</v>
      </c>
      <c r="G59">
        <v>5</v>
      </c>
      <c r="H59">
        <v>841.42</v>
      </c>
      <c r="I59">
        <v>5</v>
      </c>
      <c r="J59" t="s">
        <v>20</v>
      </c>
      <c r="K59">
        <v>210.36</v>
      </c>
      <c r="L59">
        <v>4207.1000000000004</v>
      </c>
      <c r="M59">
        <v>3996.74</v>
      </c>
      <c r="N59" t="s">
        <v>96</v>
      </c>
      <c r="O59">
        <v>2025</v>
      </c>
    </row>
    <row r="60" spans="1:15" x14ac:dyDescent="0.3">
      <c r="A60" t="s">
        <v>143</v>
      </c>
      <c r="B60" t="s">
        <v>109</v>
      </c>
      <c r="C60" t="s">
        <v>34</v>
      </c>
      <c r="D60" t="s">
        <v>80</v>
      </c>
      <c r="E60" t="s">
        <v>50</v>
      </c>
      <c r="F60" s="1">
        <v>45917</v>
      </c>
      <c r="G60">
        <v>2</v>
      </c>
      <c r="H60">
        <v>6083.12</v>
      </c>
      <c r="I60">
        <v>20</v>
      </c>
      <c r="J60" t="s">
        <v>71</v>
      </c>
      <c r="K60">
        <v>2433.25</v>
      </c>
      <c r="L60">
        <v>12166.24</v>
      </c>
      <c r="M60">
        <v>9732.99</v>
      </c>
      <c r="N60" t="s">
        <v>86</v>
      </c>
      <c r="O60">
        <v>2025</v>
      </c>
    </row>
    <row r="61" spans="1:15" x14ac:dyDescent="0.3">
      <c r="A61" t="s">
        <v>144</v>
      </c>
      <c r="B61" t="s">
        <v>89</v>
      </c>
      <c r="C61" t="s">
        <v>34</v>
      </c>
      <c r="D61" t="s">
        <v>35</v>
      </c>
      <c r="E61" t="s">
        <v>56</v>
      </c>
      <c r="F61" s="1">
        <v>45443</v>
      </c>
      <c r="G61">
        <v>1</v>
      </c>
      <c r="H61">
        <v>28079.119999999999</v>
      </c>
      <c r="I61">
        <v>0</v>
      </c>
      <c r="J61" t="s">
        <v>20</v>
      </c>
      <c r="K61">
        <v>0</v>
      </c>
      <c r="L61">
        <v>28079.119999999999</v>
      </c>
      <c r="M61">
        <v>28079.119999999999</v>
      </c>
      <c r="N61" t="s">
        <v>101</v>
      </c>
      <c r="O61">
        <v>2024</v>
      </c>
    </row>
    <row r="62" spans="1:15" x14ac:dyDescent="0.3">
      <c r="A62" t="s">
        <v>145</v>
      </c>
      <c r="B62" t="s">
        <v>53</v>
      </c>
      <c r="C62" t="s">
        <v>90</v>
      </c>
      <c r="D62" t="s">
        <v>107</v>
      </c>
      <c r="E62" t="s">
        <v>44</v>
      </c>
      <c r="F62" s="1">
        <v>45343</v>
      </c>
      <c r="G62">
        <v>9</v>
      </c>
      <c r="H62">
        <v>11547.59</v>
      </c>
      <c r="I62">
        <v>0</v>
      </c>
      <c r="J62" t="s">
        <v>71</v>
      </c>
      <c r="K62">
        <v>0</v>
      </c>
      <c r="L62">
        <v>103928.31</v>
      </c>
      <c r="M62">
        <v>103928.31</v>
      </c>
      <c r="N62" t="s">
        <v>41</v>
      </c>
      <c r="O62">
        <v>2024</v>
      </c>
    </row>
    <row r="63" spans="1:15" x14ac:dyDescent="0.3">
      <c r="A63" t="s">
        <v>146</v>
      </c>
      <c r="B63" t="s">
        <v>74</v>
      </c>
      <c r="C63" t="s">
        <v>90</v>
      </c>
      <c r="D63" t="s">
        <v>107</v>
      </c>
      <c r="E63" t="s">
        <v>56</v>
      </c>
      <c r="F63" s="1">
        <v>45745</v>
      </c>
      <c r="G63">
        <v>10</v>
      </c>
      <c r="H63">
        <v>13245.02</v>
      </c>
      <c r="I63">
        <v>20</v>
      </c>
      <c r="J63" t="s">
        <v>45</v>
      </c>
      <c r="K63">
        <v>26490.04</v>
      </c>
      <c r="L63">
        <v>132450.20000000001</v>
      </c>
      <c r="M63">
        <v>105960.16</v>
      </c>
      <c r="N63" t="s">
        <v>83</v>
      </c>
      <c r="O63">
        <v>2025</v>
      </c>
    </row>
    <row r="64" spans="1:15" x14ac:dyDescent="0.3">
      <c r="A64" t="s">
        <v>147</v>
      </c>
      <c r="B64" t="s">
        <v>89</v>
      </c>
      <c r="C64" t="s">
        <v>90</v>
      </c>
      <c r="D64" t="s">
        <v>91</v>
      </c>
      <c r="E64" t="s">
        <v>50</v>
      </c>
      <c r="F64" s="1">
        <v>45752</v>
      </c>
      <c r="G64">
        <v>5</v>
      </c>
      <c r="H64">
        <v>1631.92</v>
      </c>
      <c r="I64">
        <v>10</v>
      </c>
      <c r="J64" t="s">
        <v>71</v>
      </c>
      <c r="K64">
        <v>815.96</v>
      </c>
      <c r="L64">
        <v>8159.6</v>
      </c>
      <c r="M64">
        <v>7343.64</v>
      </c>
      <c r="N64" t="s">
        <v>27</v>
      </c>
      <c r="O64">
        <v>2025</v>
      </c>
    </row>
    <row r="65" spans="1:15" x14ac:dyDescent="0.3">
      <c r="A65" t="s">
        <v>148</v>
      </c>
      <c r="B65" t="s">
        <v>61</v>
      </c>
      <c r="C65" t="s">
        <v>54</v>
      </c>
      <c r="D65" t="s">
        <v>68</v>
      </c>
      <c r="E65" t="s">
        <v>50</v>
      </c>
      <c r="F65" s="1">
        <v>45742</v>
      </c>
      <c r="G65">
        <v>2</v>
      </c>
      <c r="H65">
        <v>4852.74</v>
      </c>
      <c r="I65">
        <v>5</v>
      </c>
      <c r="J65" t="s">
        <v>40</v>
      </c>
      <c r="K65">
        <v>485.27</v>
      </c>
      <c r="L65">
        <v>9705.48</v>
      </c>
      <c r="M65">
        <v>9220.2099999999991</v>
      </c>
      <c r="N65" t="s">
        <v>83</v>
      </c>
      <c r="O65">
        <v>2025</v>
      </c>
    </row>
    <row r="66" spans="1:15" x14ac:dyDescent="0.3">
      <c r="A66" t="s">
        <v>149</v>
      </c>
      <c r="B66" t="s">
        <v>33</v>
      </c>
      <c r="C66" t="s">
        <v>62</v>
      </c>
      <c r="D66" t="s">
        <v>119</v>
      </c>
      <c r="E66" t="s">
        <v>81</v>
      </c>
      <c r="F66" s="1">
        <v>45433</v>
      </c>
      <c r="G66">
        <v>3</v>
      </c>
      <c r="H66">
        <v>3352.35</v>
      </c>
      <c r="I66">
        <v>5</v>
      </c>
      <c r="J66" t="s">
        <v>82</v>
      </c>
      <c r="K66">
        <v>502.85</v>
      </c>
      <c r="L66">
        <v>10057.049999999999</v>
      </c>
      <c r="M66">
        <v>9554.2000000000007</v>
      </c>
      <c r="N66" t="s">
        <v>101</v>
      </c>
      <c r="O66">
        <v>2024</v>
      </c>
    </row>
    <row r="67" spans="1:15" x14ac:dyDescent="0.3">
      <c r="A67" t="s">
        <v>150</v>
      </c>
      <c r="B67" t="s">
        <v>23</v>
      </c>
      <c r="C67" t="s">
        <v>34</v>
      </c>
      <c r="D67" t="s">
        <v>80</v>
      </c>
      <c r="E67" t="s">
        <v>56</v>
      </c>
      <c r="F67" s="1">
        <v>45847</v>
      </c>
      <c r="G67">
        <v>8</v>
      </c>
      <c r="H67">
        <v>6023.66</v>
      </c>
      <c r="I67">
        <v>5</v>
      </c>
      <c r="J67" t="s">
        <v>45</v>
      </c>
      <c r="K67">
        <v>2409.46</v>
      </c>
      <c r="L67">
        <v>48189.279999999999</v>
      </c>
      <c r="M67">
        <v>45779.82</v>
      </c>
      <c r="N67" t="s">
        <v>122</v>
      </c>
      <c r="O67">
        <v>2025</v>
      </c>
    </row>
    <row r="68" spans="1:15" x14ac:dyDescent="0.3">
      <c r="A68" t="s">
        <v>151</v>
      </c>
      <c r="B68" t="s">
        <v>114</v>
      </c>
      <c r="C68" t="s">
        <v>90</v>
      </c>
      <c r="D68" t="s">
        <v>152</v>
      </c>
      <c r="E68" t="s">
        <v>44</v>
      </c>
      <c r="F68" s="1">
        <v>45881</v>
      </c>
      <c r="G68">
        <v>7</v>
      </c>
      <c r="H68">
        <v>10192.450000000001</v>
      </c>
      <c r="I68">
        <v>10</v>
      </c>
      <c r="J68" t="s">
        <v>26</v>
      </c>
      <c r="K68">
        <v>7134.72</v>
      </c>
      <c r="L68">
        <v>71347.149999999994</v>
      </c>
      <c r="M68">
        <v>64212.43</v>
      </c>
      <c r="N68" t="s">
        <v>21</v>
      </c>
      <c r="O68">
        <v>2025</v>
      </c>
    </row>
    <row r="69" spans="1:15" x14ac:dyDescent="0.3">
      <c r="A69" t="s">
        <v>153</v>
      </c>
      <c r="B69" t="s">
        <v>38</v>
      </c>
      <c r="C69" t="s">
        <v>62</v>
      </c>
      <c r="D69" t="s">
        <v>99</v>
      </c>
      <c r="E69" t="s">
        <v>44</v>
      </c>
      <c r="F69" s="1">
        <v>45843</v>
      </c>
      <c r="G69">
        <v>9</v>
      </c>
      <c r="H69">
        <v>1649.95</v>
      </c>
      <c r="I69">
        <v>5</v>
      </c>
      <c r="J69" t="s">
        <v>31</v>
      </c>
      <c r="K69">
        <v>742.48</v>
      </c>
      <c r="L69">
        <v>14849.55</v>
      </c>
      <c r="M69">
        <v>14107.07</v>
      </c>
      <c r="N69" t="s">
        <v>122</v>
      </c>
      <c r="O69">
        <v>2025</v>
      </c>
    </row>
    <row r="70" spans="1:15" x14ac:dyDescent="0.3">
      <c r="A70" t="s">
        <v>154</v>
      </c>
      <c r="B70" t="s">
        <v>43</v>
      </c>
      <c r="C70" t="s">
        <v>90</v>
      </c>
      <c r="D70" t="s">
        <v>107</v>
      </c>
      <c r="E70" t="s">
        <v>56</v>
      </c>
      <c r="F70" s="1">
        <v>45321</v>
      </c>
      <c r="G70">
        <v>7</v>
      </c>
      <c r="H70">
        <v>11808.39</v>
      </c>
      <c r="I70">
        <v>15</v>
      </c>
      <c r="J70" t="s">
        <v>71</v>
      </c>
      <c r="K70">
        <v>12398.81</v>
      </c>
      <c r="L70">
        <v>82658.73</v>
      </c>
      <c r="M70">
        <v>70259.92</v>
      </c>
      <c r="N70" t="s">
        <v>116</v>
      </c>
      <c r="O70">
        <v>2024</v>
      </c>
    </row>
    <row r="71" spans="1:15" x14ac:dyDescent="0.3">
      <c r="A71" t="s">
        <v>155</v>
      </c>
      <c r="B71" t="s">
        <v>114</v>
      </c>
      <c r="C71" t="s">
        <v>34</v>
      </c>
      <c r="D71" t="s">
        <v>35</v>
      </c>
      <c r="E71" t="s">
        <v>50</v>
      </c>
      <c r="F71" s="1">
        <v>45695</v>
      </c>
      <c r="G71">
        <v>10</v>
      </c>
      <c r="H71">
        <v>26027.45</v>
      </c>
      <c r="I71">
        <v>0</v>
      </c>
      <c r="J71" t="s">
        <v>26</v>
      </c>
      <c r="K71">
        <v>0</v>
      </c>
      <c r="L71">
        <v>260274.5</v>
      </c>
      <c r="M71">
        <v>260274.5</v>
      </c>
      <c r="N71" t="s">
        <v>41</v>
      </c>
      <c r="O71">
        <v>2025</v>
      </c>
    </row>
    <row r="72" spans="1:15" x14ac:dyDescent="0.3">
      <c r="A72" t="s">
        <v>156</v>
      </c>
      <c r="B72" t="s">
        <v>53</v>
      </c>
      <c r="C72" t="s">
        <v>17</v>
      </c>
      <c r="D72" t="s">
        <v>157</v>
      </c>
      <c r="E72" t="s">
        <v>44</v>
      </c>
      <c r="F72" s="1">
        <v>45478</v>
      </c>
      <c r="G72">
        <v>1</v>
      </c>
      <c r="H72">
        <v>6755.27</v>
      </c>
      <c r="I72">
        <v>10</v>
      </c>
      <c r="J72" t="s">
        <v>71</v>
      </c>
      <c r="K72">
        <v>675.53</v>
      </c>
      <c r="L72">
        <v>6755.27</v>
      </c>
      <c r="M72">
        <v>6079.74</v>
      </c>
      <c r="N72" t="s">
        <v>122</v>
      </c>
      <c r="O72">
        <v>2024</v>
      </c>
    </row>
    <row r="73" spans="1:15" x14ac:dyDescent="0.3">
      <c r="A73" t="s">
        <v>158</v>
      </c>
      <c r="B73" t="s">
        <v>33</v>
      </c>
      <c r="C73" t="s">
        <v>34</v>
      </c>
      <c r="D73" t="s">
        <v>35</v>
      </c>
      <c r="E73" t="s">
        <v>19</v>
      </c>
      <c r="F73" s="1">
        <v>45576</v>
      </c>
      <c r="G73">
        <v>7</v>
      </c>
      <c r="H73">
        <v>26484.37</v>
      </c>
      <c r="I73">
        <v>0</v>
      </c>
      <c r="J73" t="s">
        <v>31</v>
      </c>
      <c r="K73">
        <v>0</v>
      </c>
      <c r="L73">
        <v>185390.59</v>
      </c>
      <c r="M73">
        <v>185390.59</v>
      </c>
      <c r="N73" t="s">
        <v>57</v>
      </c>
      <c r="O73">
        <v>2024</v>
      </c>
    </row>
    <row r="74" spans="1:15" x14ac:dyDescent="0.3">
      <c r="A74" t="s">
        <v>159</v>
      </c>
      <c r="B74" t="s">
        <v>16</v>
      </c>
      <c r="C74" t="s">
        <v>90</v>
      </c>
      <c r="D74" t="s">
        <v>105</v>
      </c>
      <c r="E74" t="s">
        <v>81</v>
      </c>
      <c r="F74" s="1">
        <v>45650</v>
      </c>
      <c r="G74">
        <v>4</v>
      </c>
      <c r="H74">
        <v>4090.76</v>
      </c>
      <c r="I74">
        <v>0</v>
      </c>
      <c r="J74" t="s">
        <v>26</v>
      </c>
      <c r="K74">
        <v>0</v>
      </c>
      <c r="L74">
        <v>16363.04</v>
      </c>
      <c r="M74">
        <v>16363.04</v>
      </c>
      <c r="N74" t="s">
        <v>51</v>
      </c>
      <c r="O74">
        <v>2024</v>
      </c>
    </row>
    <row r="75" spans="1:15" x14ac:dyDescent="0.3">
      <c r="A75" t="s">
        <v>160</v>
      </c>
      <c r="B75" t="s">
        <v>29</v>
      </c>
      <c r="C75" t="s">
        <v>17</v>
      </c>
      <c r="D75" t="s">
        <v>59</v>
      </c>
      <c r="E75" t="s">
        <v>44</v>
      </c>
      <c r="F75" s="1">
        <v>45928</v>
      </c>
      <c r="G75">
        <v>3</v>
      </c>
      <c r="H75">
        <v>23990.91</v>
      </c>
      <c r="I75">
        <v>15</v>
      </c>
      <c r="J75" t="s">
        <v>26</v>
      </c>
      <c r="K75">
        <v>10795.91</v>
      </c>
      <c r="L75">
        <v>71972.73</v>
      </c>
      <c r="M75">
        <v>61176.82</v>
      </c>
      <c r="N75" t="s">
        <v>86</v>
      </c>
      <c r="O75">
        <v>2025</v>
      </c>
    </row>
    <row r="76" spans="1:15" x14ac:dyDescent="0.3">
      <c r="A76" t="s">
        <v>161</v>
      </c>
      <c r="B76" t="s">
        <v>29</v>
      </c>
      <c r="C76" t="s">
        <v>17</v>
      </c>
      <c r="D76" t="s">
        <v>24</v>
      </c>
      <c r="E76" t="s">
        <v>56</v>
      </c>
      <c r="F76" s="1">
        <v>45669</v>
      </c>
      <c r="G76">
        <v>3</v>
      </c>
      <c r="H76">
        <v>3154.42</v>
      </c>
      <c r="I76">
        <v>0</v>
      </c>
      <c r="J76" t="s">
        <v>40</v>
      </c>
      <c r="K76">
        <v>0</v>
      </c>
      <c r="L76">
        <v>9463.26</v>
      </c>
      <c r="M76">
        <v>9463.26</v>
      </c>
      <c r="N76" t="s">
        <v>116</v>
      </c>
      <c r="O76">
        <v>2025</v>
      </c>
    </row>
    <row r="77" spans="1:15" x14ac:dyDescent="0.3">
      <c r="A77" t="s">
        <v>162</v>
      </c>
      <c r="B77" t="s">
        <v>47</v>
      </c>
      <c r="C77" t="s">
        <v>34</v>
      </c>
      <c r="D77" t="s">
        <v>48</v>
      </c>
      <c r="E77" t="s">
        <v>81</v>
      </c>
      <c r="F77" s="1">
        <v>45611</v>
      </c>
      <c r="G77">
        <v>10</v>
      </c>
      <c r="H77">
        <v>9410.16</v>
      </c>
      <c r="I77">
        <v>15</v>
      </c>
      <c r="J77" t="s">
        <v>26</v>
      </c>
      <c r="K77">
        <v>14115.24</v>
      </c>
      <c r="L77">
        <v>94101.6</v>
      </c>
      <c r="M77">
        <v>79986.36</v>
      </c>
      <c r="N77" t="s">
        <v>96</v>
      </c>
      <c r="O77">
        <v>2024</v>
      </c>
    </row>
    <row r="78" spans="1:15" x14ac:dyDescent="0.3">
      <c r="A78" t="s">
        <v>163</v>
      </c>
      <c r="B78" t="s">
        <v>47</v>
      </c>
      <c r="C78" t="s">
        <v>90</v>
      </c>
      <c r="D78" t="s">
        <v>107</v>
      </c>
      <c r="E78" t="s">
        <v>81</v>
      </c>
      <c r="F78" s="1">
        <v>45396</v>
      </c>
      <c r="G78">
        <v>5</v>
      </c>
      <c r="H78">
        <v>13350.88</v>
      </c>
      <c r="I78">
        <v>20</v>
      </c>
      <c r="J78" t="s">
        <v>20</v>
      </c>
      <c r="K78">
        <v>13350.88</v>
      </c>
      <c r="L78">
        <v>66754.399999999994</v>
      </c>
      <c r="M78">
        <v>53403.519999999997</v>
      </c>
      <c r="N78" t="s">
        <v>27</v>
      </c>
      <c r="O78">
        <v>2024</v>
      </c>
    </row>
    <row r="79" spans="1:15" x14ac:dyDescent="0.3">
      <c r="A79" t="s">
        <v>164</v>
      </c>
      <c r="B79" t="s">
        <v>74</v>
      </c>
      <c r="C79" t="s">
        <v>17</v>
      </c>
      <c r="D79" t="s">
        <v>24</v>
      </c>
      <c r="E79" t="s">
        <v>25</v>
      </c>
      <c r="F79" s="1">
        <v>45837</v>
      </c>
      <c r="G79">
        <v>7</v>
      </c>
      <c r="H79">
        <v>3196.14</v>
      </c>
      <c r="I79">
        <v>0</v>
      </c>
      <c r="J79" t="s">
        <v>45</v>
      </c>
      <c r="K79">
        <v>0</v>
      </c>
      <c r="L79">
        <v>22372.98</v>
      </c>
      <c r="M79">
        <v>22372.98</v>
      </c>
      <c r="N79" t="s">
        <v>72</v>
      </c>
      <c r="O79">
        <v>2025</v>
      </c>
    </row>
    <row r="80" spans="1:15" x14ac:dyDescent="0.3">
      <c r="A80" t="s">
        <v>165</v>
      </c>
      <c r="B80" t="s">
        <v>109</v>
      </c>
      <c r="C80" t="s">
        <v>54</v>
      </c>
      <c r="D80" t="s">
        <v>137</v>
      </c>
      <c r="E80" t="s">
        <v>44</v>
      </c>
      <c r="F80" s="1">
        <v>45793</v>
      </c>
      <c r="G80">
        <v>2</v>
      </c>
      <c r="H80">
        <v>907.54</v>
      </c>
      <c r="I80">
        <v>10</v>
      </c>
      <c r="J80" t="s">
        <v>31</v>
      </c>
      <c r="K80">
        <v>181.51</v>
      </c>
      <c r="L80">
        <v>1815.08</v>
      </c>
      <c r="M80">
        <v>1633.57</v>
      </c>
      <c r="N80" t="s">
        <v>101</v>
      </c>
      <c r="O80">
        <v>2025</v>
      </c>
    </row>
    <row r="81" spans="1:15" x14ac:dyDescent="0.3">
      <c r="A81" t="s">
        <v>166</v>
      </c>
      <c r="B81" t="s">
        <v>23</v>
      </c>
      <c r="C81" t="s">
        <v>90</v>
      </c>
      <c r="D81" t="s">
        <v>107</v>
      </c>
      <c r="E81" t="s">
        <v>50</v>
      </c>
      <c r="F81" s="1">
        <v>45922</v>
      </c>
      <c r="G81">
        <v>9</v>
      </c>
      <c r="H81">
        <v>13123.92</v>
      </c>
      <c r="I81">
        <v>15</v>
      </c>
      <c r="J81" t="s">
        <v>40</v>
      </c>
      <c r="K81">
        <v>17717.29</v>
      </c>
      <c r="L81">
        <v>118115.28</v>
      </c>
      <c r="M81">
        <v>100397.99</v>
      </c>
      <c r="N81" t="s">
        <v>86</v>
      </c>
      <c r="O81">
        <v>2025</v>
      </c>
    </row>
    <row r="82" spans="1:15" x14ac:dyDescent="0.3">
      <c r="A82" t="s">
        <v>167</v>
      </c>
      <c r="B82" t="s">
        <v>43</v>
      </c>
      <c r="C82" t="s">
        <v>90</v>
      </c>
      <c r="D82" t="s">
        <v>91</v>
      </c>
      <c r="E82" t="s">
        <v>19</v>
      </c>
      <c r="F82" s="1">
        <v>45380</v>
      </c>
      <c r="G82">
        <v>5</v>
      </c>
      <c r="H82">
        <v>1680.61</v>
      </c>
      <c r="I82">
        <v>5</v>
      </c>
      <c r="J82" t="s">
        <v>20</v>
      </c>
      <c r="K82">
        <v>420.15</v>
      </c>
      <c r="L82">
        <v>8403.0499999999993</v>
      </c>
      <c r="M82">
        <v>7982.9</v>
      </c>
      <c r="N82" t="s">
        <v>83</v>
      </c>
      <c r="O82">
        <v>2024</v>
      </c>
    </row>
    <row r="83" spans="1:15" x14ac:dyDescent="0.3">
      <c r="A83" t="s">
        <v>168</v>
      </c>
      <c r="B83" t="s">
        <v>93</v>
      </c>
      <c r="C83" t="s">
        <v>90</v>
      </c>
      <c r="D83" t="s">
        <v>91</v>
      </c>
      <c r="E83" t="s">
        <v>30</v>
      </c>
      <c r="F83" s="1">
        <v>45636</v>
      </c>
      <c r="G83">
        <v>1</v>
      </c>
      <c r="H83">
        <v>1688.9</v>
      </c>
      <c r="I83">
        <v>10</v>
      </c>
      <c r="J83" t="s">
        <v>31</v>
      </c>
      <c r="K83">
        <v>168.89</v>
      </c>
      <c r="L83">
        <v>1688.9</v>
      </c>
      <c r="M83">
        <v>1520.01</v>
      </c>
      <c r="N83" t="s">
        <v>51</v>
      </c>
      <c r="O83">
        <v>2024</v>
      </c>
    </row>
    <row r="84" spans="1:15" x14ac:dyDescent="0.3">
      <c r="A84" t="s">
        <v>169</v>
      </c>
      <c r="B84" t="s">
        <v>29</v>
      </c>
      <c r="C84" t="s">
        <v>34</v>
      </c>
      <c r="D84" t="s">
        <v>35</v>
      </c>
      <c r="E84" t="s">
        <v>19</v>
      </c>
      <c r="F84" s="1">
        <v>45640</v>
      </c>
      <c r="G84">
        <v>5</v>
      </c>
      <c r="H84">
        <v>30802.2</v>
      </c>
      <c r="I84">
        <v>10</v>
      </c>
      <c r="J84" t="s">
        <v>40</v>
      </c>
      <c r="K84">
        <v>15401.1</v>
      </c>
      <c r="L84">
        <v>154011</v>
      </c>
      <c r="M84">
        <v>138609.9</v>
      </c>
      <c r="N84" t="s">
        <v>51</v>
      </c>
      <c r="O84">
        <v>2024</v>
      </c>
    </row>
    <row r="85" spans="1:15" x14ac:dyDescent="0.3">
      <c r="A85" t="s">
        <v>170</v>
      </c>
      <c r="B85" t="s">
        <v>65</v>
      </c>
      <c r="C85" t="s">
        <v>54</v>
      </c>
      <c r="D85" t="s">
        <v>70</v>
      </c>
      <c r="E85" t="s">
        <v>50</v>
      </c>
      <c r="F85" s="1">
        <v>45539</v>
      </c>
      <c r="G85">
        <v>7</v>
      </c>
      <c r="H85">
        <v>2555.36</v>
      </c>
      <c r="I85">
        <v>5</v>
      </c>
      <c r="J85" t="s">
        <v>82</v>
      </c>
      <c r="K85">
        <v>894.38</v>
      </c>
      <c r="L85">
        <v>17887.52</v>
      </c>
      <c r="M85">
        <v>16993.14</v>
      </c>
      <c r="N85" t="s">
        <v>86</v>
      </c>
      <c r="O85">
        <v>2024</v>
      </c>
    </row>
    <row r="86" spans="1:15" x14ac:dyDescent="0.3">
      <c r="A86" t="s">
        <v>171</v>
      </c>
      <c r="B86" t="s">
        <v>89</v>
      </c>
      <c r="C86" t="s">
        <v>90</v>
      </c>
      <c r="D86" t="s">
        <v>152</v>
      </c>
      <c r="E86" t="s">
        <v>44</v>
      </c>
      <c r="F86" s="1">
        <v>45387</v>
      </c>
      <c r="G86">
        <v>5</v>
      </c>
      <c r="H86">
        <v>9553.99</v>
      </c>
      <c r="I86">
        <v>5</v>
      </c>
      <c r="J86" t="s">
        <v>26</v>
      </c>
      <c r="K86">
        <v>2388.5</v>
      </c>
      <c r="L86">
        <v>47769.95</v>
      </c>
      <c r="M86">
        <v>45381.45</v>
      </c>
      <c r="N86" t="s">
        <v>27</v>
      </c>
      <c r="O86">
        <v>2024</v>
      </c>
    </row>
    <row r="87" spans="1:15" x14ac:dyDescent="0.3">
      <c r="A87" t="s">
        <v>172</v>
      </c>
      <c r="B87" t="s">
        <v>33</v>
      </c>
      <c r="C87" t="s">
        <v>62</v>
      </c>
      <c r="D87" t="s">
        <v>132</v>
      </c>
      <c r="E87" t="s">
        <v>56</v>
      </c>
      <c r="F87" s="1">
        <v>45727</v>
      </c>
      <c r="G87">
        <v>9</v>
      </c>
      <c r="H87">
        <v>2456.7399999999998</v>
      </c>
      <c r="I87">
        <v>15</v>
      </c>
      <c r="J87" t="s">
        <v>45</v>
      </c>
      <c r="K87">
        <v>3316.6</v>
      </c>
      <c r="L87">
        <v>22110.66</v>
      </c>
      <c r="M87">
        <v>18794.060000000001</v>
      </c>
      <c r="N87" t="s">
        <v>83</v>
      </c>
      <c r="O87">
        <v>2025</v>
      </c>
    </row>
    <row r="88" spans="1:15" x14ac:dyDescent="0.3">
      <c r="A88" t="s">
        <v>173</v>
      </c>
      <c r="B88" t="s">
        <v>43</v>
      </c>
      <c r="C88" t="s">
        <v>62</v>
      </c>
      <c r="D88" t="s">
        <v>119</v>
      </c>
      <c r="E88" t="s">
        <v>50</v>
      </c>
      <c r="F88" s="1">
        <v>45489</v>
      </c>
      <c r="G88">
        <v>6</v>
      </c>
      <c r="H88">
        <v>3254.61</v>
      </c>
      <c r="I88">
        <v>20</v>
      </c>
      <c r="J88" t="s">
        <v>82</v>
      </c>
      <c r="K88">
        <v>3905.53</v>
      </c>
      <c r="L88">
        <v>19527.66</v>
      </c>
      <c r="M88">
        <v>15622.13</v>
      </c>
      <c r="N88" t="s">
        <v>122</v>
      </c>
      <c r="O88">
        <v>2024</v>
      </c>
    </row>
    <row r="89" spans="1:15" x14ac:dyDescent="0.3">
      <c r="A89" t="s">
        <v>174</v>
      </c>
      <c r="B89" t="s">
        <v>29</v>
      </c>
      <c r="C89" t="s">
        <v>34</v>
      </c>
      <c r="D89" t="s">
        <v>85</v>
      </c>
      <c r="E89" t="s">
        <v>30</v>
      </c>
      <c r="F89" s="1">
        <v>45575</v>
      </c>
      <c r="G89">
        <v>10</v>
      </c>
      <c r="H89">
        <v>15102.8</v>
      </c>
      <c r="I89">
        <v>20</v>
      </c>
      <c r="J89" t="s">
        <v>71</v>
      </c>
      <c r="K89">
        <v>30205.599999999999</v>
      </c>
      <c r="L89">
        <v>151028</v>
      </c>
      <c r="M89">
        <v>120822.39999999999</v>
      </c>
      <c r="N89" t="s">
        <v>57</v>
      </c>
      <c r="O89">
        <v>2024</v>
      </c>
    </row>
    <row r="90" spans="1:15" x14ac:dyDescent="0.3">
      <c r="A90" t="s">
        <v>175</v>
      </c>
      <c r="B90" t="s">
        <v>47</v>
      </c>
      <c r="C90" t="s">
        <v>54</v>
      </c>
      <c r="D90" t="s">
        <v>137</v>
      </c>
      <c r="E90" t="s">
        <v>44</v>
      </c>
      <c r="F90" s="1">
        <v>45595</v>
      </c>
      <c r="G90">
        <v>4</v>
      </c>
      <c r="H90">
        <v>980.32</v>
      </c>
      <c r="I90">
        <v>10</v>
      </c>
      <c r="J90" t="s">
        <v>20</v>
      </c>
      <c r="K90">
        <v>392.13</v>
      </c>
      <c r="L90">
        <v>3921.28</v>
      </c>
      <c r="M90">
        <v>3529.15</v>
      </c>
      <c r="N90" t="s">
        <v>57</v>
      </c>
      <c r="O90">
        <v>2024</v>
      </c>
    </row>
    <row r="91" spans="1:15" x14ac:dyDescent="0.3">
      <c r="A91" t="s">
        <v>176</v>
      </c>
      <c r="B91" t="s">
        <v>53</v>
      </c>
      <c r="C91" t="s">
        <v>17</v>
      </c>
      <c r="D91" t="s">
        <v>24</v>
      </c>
      <c r="E91" t="s">
        <v>19</v>
      </c>
      <c r="F91" s="1">
        <v>45347</v>
      </c>
      <c r="G91">
        <v>9</v>
      </c>
      <c r="H91">
        <v>2919.1</v>
      </c>
      <c r="I91">
        <v>5</v>
      </c>
      <c r="J91" t="s">
        <v>26</v>
      </c>
      <c r="K91">
        <v>1313.6</v>
      </c>
      <c r="L91">
        <v>26271.9</v>
      </c>
      <c r="M91">
        <v>24958.3</v>
      </c>
      <c r="N91" t="s">
        <v>41</v>
      </c>
      <c r="O91">
        <v>2024</v>
      </c>
    </row>
    <row r="92" spans="1:15" x14ac:dyDescent="0.3">
      <c r="A92" t="s">
        <v>177</v>
      </c>
      <c r="B92" t="s">
        <v>38</v>
      </c>
      <c r="C92" t="s">
        <v>90</v>
      </c>
      <c r="D92" t="s">
        <v>105</v>
      </c>
      <c r="E92" t="s">
        <v>25</v>
      </c>
      <c r="F92" s="1">
        <v>45772</v>
      </c>
      <c r="G92">
        <v>8</v>
      </c>
      <c r="H92">
        <v>3535.41</v>
      </c>
      <c r="I92">
        <v>5</v>
      </c>
      <c r="J92" t="s">
        <v>40</v>
      </c>
      <c r="K92">
        <v>1414.16</v>
      </c>
      <c r="L92">
        <v>28283.279999999999</v>
      </c>
      <c r="M92">
        <v>26869.119999999999</v>
      </c>
      <c r="N92" t="s">
        <v>27</v>
      </c>
      <c r="O92">
        <v>2025</v>
      </c>
    </row>
    <row r="93" spans="1:15" x14ac:dyDescent="0.3">
      <c r="A93" t="s">
        <v>178</v>
      </c>
      <c r="B93" t="s">
        <v>38</v>
      </c>
      <c r="C93" t="s">
        <v>17</v>
      </c>
      <c r="D93" t="s">
        <v>39</v>
      </c>
      <c r="E93" t="s">
        <v>56</v>
      </c>
      <c r="F93" s="1">
        <v>45358</v>
      </c>
      <c r="G93">
        <v>7</v>
      </c>
      <c r="H93">
        <v>18412.86</v>
      </c>
      <c r="I93">
        <v>20</v>
      </c>
      <c r="J93" t="s">
        <v>82</v>
      </c>
      <c r="K93">
        <v>25778</v>
      </c>
      <c r="L93">
        <v>128890.02</v>
      </c>
      <c r="M93">
        <v>103112.02</v>
      </c>
      <c r="N93" t="s">
        <v>83</v>
      </c>
      <c r="O93">
        <v>2024</v>
      </c>
    </row>
    <row r="94" spans="1:15" x14ac:dyDescent="0.3">
      <c r="A94" t="s">
        <v>179</v>
      </c>
      <c r="B94" t="s">
        <v>53</v>
      </c>
      <c r="C94" t="s">
        <v>17</v>
      </c>
      <c r="D94" t="s">
        <v>59</v>
      </c>
      <c r="E94" t="s">
        <v>44</v>
      </c>
      <c r="F94" s="1">
        <v>45379</v>
      </c>
      <c r="G94">
        <v>4</v>
      </c>
      <c r="H94">
        <v>23240.32</v>
      </c>
      <c r="I94">
        <v>15</v>
      </c>
      <c r="J94" t="s">
        <v>40</v>
      </c>
      <c r="K94">
        <v>13944.19</v>
      </c>
      <c r="L94">
        <v>92961.279999999999</v>
      </c>
      <c r="M94">
        <v>79017.09</v>
      </c>
      <c r="N94" t="s">
        <v>83</v>
      </c>
      <c r="O94">
        <v>2024</v>
      </c>
    </row>
    <row r="95" spans="1:15" x14ac:dyDescent="0.3">
      <c r="A95" t="s">
        <v>180</v>
      </c>
      <c r="B95" t="s">
        <v>74</v>
      </c>
      <c r="C95" t="s">
        <v>54</v>
      </c>
      <c r="D95" t="s">
        <v>77</v>
      </c>
      <c r="E95" t="s">
        <v>81</v>
      </c>
      <c r="F95" s="1">
        <v>45827</v>
      </c>
      <c r="G95">
        <v>7</v>
      </c>
      <c r="H95">
        <v>5063.1400000000003</v>
      </c>
      <c r="I95">
        <v>15</v>
      </c>
      <c r="J95" t="s">
        <v>20</v>
      </c>
      <c r="K95">
        <v>5316.3</v>
      </c>
      <c r="L95">
        <v>35441.980000000003</v>
      </c>
      <c r="M95">
        <v>30125.68</v>
      </c>
      <c r="N95" t="s">
        <v>72</v>
      </c>
      <c r="O95">
        <v>2025</v>
      </c>
    </row>
    <row r="96" spans="1:15" x14ac:dyDescent="0.3">
      <c r="A96" t="s">
        <v>181</v>
      </c>
      <c r="B96" t="s">
        <v>23</v>
      </c>
      <c r="C96" t="s">
        <v>62</v>
      </c>
      <c r="D96" t="s">
        <v>132</v>
      </c>
      <c r="E96" t="s">
        <v>19</v>
      </c>
      <c r="F96" s="1">
        <v>45916</v>
      </c>
      <c r="G96">
        <v>2</v>
      </c>
      <c r="H96">
        <v>2842.24</v>
      </c>
      <c r="I96">
        <v>5</v>
      </c>
      <c r="J96" t="s">
        <v>26</v>
      </c>
      <c r="K96">
        <v>284.22000000000003</v>
      </c>
      <c r="L96">
        <v>5684.48</v>
      </c>
      <c r="M96">
        <v>5400.26</v>
      </c>
      <c r="N96" t="s">
        <v>86</v>
      </c>
      <c r="O96">
        <v>2025</v>
      </c>
    </row>
    <row r="97" spans="1:15" x14ac:dyDescent="0.3">
      <c r="A97" t="s">
        <v>182</v>
      </c>
      <c r="B97" t="s">
        <v>61</v>
      </c>
      <c r="C97" t="s">
        <v>34</v>
      </c>
      <c r="D97" t="s">
        <v>48</v>
      </c>
      <c r="E97" t="s">
        <v>25</v>
      </c>
      <c r="F97" s="1">
        <v>45537</v>
      </c>
      <c r="G97">
        <v>3</v>
      </c>
      <c r="H97">
        <v>8303.98</v>
      </c>
      <c r="I97">
        <v>5</v>
      </c>
      <c r="J97" t="s">
        <v>36</v>
      </c>
      <c r="K97">
        <v>1245.5999999999999</v>
      </c>
      <c r="L97">
        <v>24911.94</v>
      </c>
      <c r="M97">
        <v>23666.34</v>
      </c>
      <c r="N97" t="s">
        <v>86</v>
      </c>
      <c r="O97">
        <v>2024</v>
      </c>
    </row>
    <row r="98" spans="1:15" x14ac:dyDescent="0.3">
      <c r="A98" t="s">
        <v>183</v>
      </c>
      <c r="B98" t="s">
        <v>89</v>
      </c>
      <c r="C98" t="s">
        <v>17</v>
      </c>
      <c r="D98" t="s">
        <v>157</v>
      </c>
      <c r="E98" t="s">
        <v>30</v>
      </c>
      <c r="F98" s="1">
        <v>45590</v>
      </c>
      <c r="G98">
        <v>1</v>
      </c>
      <c r="H98">
        <v>7375.59</v>
      </c>
      <c r="I98">
        <v>10</v>
      </c>
      <c r="J98" t="s">
        <v>71</v>
      </c>
      <c r="K98">
        <v>737.56</v>
      </c>
      <c r="L98">
        <v>7375.59</v>
      </c>
      <c r="M98">
        <v>6638.03</v>
      </c>
      <c r="N98" t="s">
        <v>57</v>
      </c>
      <c r="O98">
        <v>2024</v>
      </c>
    </row>
    <row r="99" spans="1:15" x14ac:dyDescent="0.3">
      <c r="A99" t="s">
        <v>184</v>
      </c>
      <c r="B99" t="s">
        <v>61</v>
      </c>
      <c r="C99" t="s">
        <v>90</v>
      </c>
      <c r="D99" t="s">
        <v>105</v>
      </c>
      <c r="E99" t="s">
        <v>50</v>
      </c>
      <c r="F99" s="1">
        <v>45932</v>
      </c>
      <c r="G99">
        <v>10</v>
      </c>
      <c r="H99">
        <v>4101.3900000000003</v>
      </c>
      <c r="I99">
        <v>5</v>
      </c>
      <c r="J99" t="s">
        <v>40</v>
      </c>
      <c r="K99">
        <v>2050.6999999999998</v>
      </c>
      <c r="L99">
        <v>41013.9</v>
      </c>
      <c r="M99">
        <v>38963.199999999997</v>
      </c>
      <c r="N99" t="s">
        <v>57</v>
      </c>
      <c r="O99">
        <v>2025</v>
      </c>
    </row>
    <row r="100" spans="1:15" x14ac:dyDescent="0.3">
      <c r="A100" t="s">
        <v>185</v>
      </c>
      <c r="B100" t="s">
        <v>65</v>
      </c>
      <c r="C100" t="s">
        <v>90</v>
      </c>
      <c r="D100" t="s">
        <v>105</v>
      </c>
      <c r="E100" t="s">
        <v>50</v>
      </c>
      <c r="F100" s="1">
        <v>45564</v>
      </c>
      <c r="G100">
        <v>3</v>
      </c>
      <c r="H100">
        <v>3212.48</v>
      </c>
      <c r="I100">
        <v>5</v>
      </c>
      <c r="J100" t="s">
        <v>36</v>
      </c>
      <c r="K100">
        <v>481.87</v>
      </c>
      <c r="L100">
        <v>9637.44</v>
      </c>
      <c r="M100">
        <v>9155.57</v>
      </c>
      <c r="N100" t="s">
        <v>86</v>
      </c>
      <c r="O100">
        <v>2024</v>
      </c>
    </row>
    <row r="101" spans="1:15" x14ac:dyDescent="0.3">
      <c r="A101" t="s">
        <v>186</v>
      </c>
      <c r="B101" t="s">
        <v>16</v>
      </c>
      <c r="C101" t="s">
        <v>62</v>
      </c>
      <c r="D101" t="s">
        <v>132</v>
      </c>
      <c r="E101" t="s">
        <v>44</v>
      </c>
      <c r="F101" s="1">
        <v>45741</v>
      </c>
      <c r="G101">
        <v>2</v>
      </c>
      <c r="H101">
        <v>2542.94</v>
      </c>
      <c r="I101">
        <v>10</v>
      </c>
      <c r="J101" t="s">
        <v>40</v>
      </c>
      <c r="K101">
        <v>508.59</v>
      </c>
      <c r="L101">
        <v>5085.88</v>
      </c>
      <c r="M101">
        <v>4577.29</v>
      </c>
      <c r="N101" t="s">
        <v>83</v>
      </c>
      <c r="O101">
        <v>2025</v>
      </c>
    </row>
    <row r="102" spans="1:15" x14ac:dyDescent="0.3">
      <c r="A102" t="s">
        <v>187</v>
      </c>
      <c r="B102" t="s">
        <v>65</v>
      </c>
      <c r="C102" t="s">
        <v>90</v>
      </c>
      <c r="D102" t="s">
        <v>115</v>
      </c>
      <c r="E102" t="s">
        <v>81</v>
      </c>
      <c r="F102" s="1">
        <v>45740</v>
      </c>
      <c r="G102">
        <v>2</v>
      </c>
      <c r="H102">
        <v>8396.07</v>
      </c>
      <c r="I102">
        <v>15</v>
      </c>
      <c r="J102" t="s">
        <v>71</v>
      </c>
      <c r="K102">
        <v>2518.8200000000002</v>
      </c>
      <c r="L102">
        <v>16792.14</v>
      </c>
      <c r="M102">
        <v>14273.32</v>
      </c>
      <c r="N102" t="s">
        <v>83</v>
      </c>
      <c r="O102">
        <v>2025</v>
      </c>
    </row>
    <row r="103" spans="1:15" x14ac:dyDescent="0.3">
      <c r="A103" t="s">
        <v>188</v>
      </c>
      <c r="B103" t="s">
        <v>43</v>
      </c>
      <c r="C103" t="s">
        <v>62</v>
      </c>
      <c r="D103" t="s">
        <v>132</v>
      </c>
      <c r="E103" t="s">
        <v>25</v>
      </c>
      <c r="F103" s="1">
        <v>45526</v>
      </c>
      <c r="G103">
        <v>10</v>
      </c>
      <c r="H103">
        <v>2616.9499999999998</v>
      </c>
      <c r="I103">
        <v>0</v>
      </c>
      <c r="J103" t="s">
        <v>82</v>
      </c>
      <c r="K103">
        <v>0</v>
      </c>
      <c r="L103">
        <v>26169.5</v>
      </c>
      <c r="M103">
        <v>26169.5</v>
      </c>
      <c r="N103" t="s">
        <v>21</v>
      </c>
      <c r="O103">
        <v>2024</v>
      </c>
    </row>
    <row r="104" spans="1:15" x14ac:dyDescent="0.3">
      <c r="A104" t="s">
        <v>189</v>
      </c>
      <c r="B104" t="s">
        <v>109</v>
      </c>
      <c r="C104" t="s">
        <v>62</v>
      </c>
      <c r="D104" t="s">
        <v>132</v>
      </c>
      <c r="E104" t="s">
        <v>44</v>
      </c>
      <c r="F104" s="1">
        <v>45773</v>
      </c>
      <c r="G104">
        <v>9</v>
      </c>
      <c r="H104">
        <v>2657.19</v>
      </c>
      <c r="I104">
        <v>10</v>
      </c>
      <c r="J104" t="s">
        <v>36</v>
      </c>
      <c r="K104">
        <v>2391.4699999999998</v>
      </c>
      <c r="L104">
        <v>23914.71</v>
      </c>
      <c r="M104">
        <v>21523.24</v>
      </c>
      <c r="N104" t="s">
        <v>27</v>
      </c>
      <c r="O104">
        <v>2025</v>
      </c>
    </row>
    <row r="105" spans="1:15" x14ac:dyDescent="0.3">
      <c r="A105" t="s">
        <v>190</v>
      </c>
      <c r="B105" t="s">
        <v>23</v>
      </c>
      <c r="C105" t="s">
        <v>34</v>
      </c>
      <c r="D105" t="s">
        <v>66</v>
      </c>
      <c r="E105" t="s">
        <v>30</v>
      </c>
      <c r="F105" s="1">
        <v>45385</v>
      </c>
      <c r="G105">
        <v>8</v>
      </c>
      <c r="H105">
        <v>39479.61</v>
      </c>
      <c r="I105">
        <v>10</v>
      </c>
      <c r="J105" t="s">
        <v>71</v>
      </c>
      <c r="K105">
        <v>31583.69</v>
      </c>
      <c r="L105">
        <v>315836.88</v>
      </c>
      <c r="M105">
        <v>284253.19</v>
      </c>
      <c r="N105" t="s">
        <v>27</v>
      </c>
      <c r="O105">
        <v>2024</v>
      </c>
    </row>
    <row r="106" spans="1:15" x14ac:dyDescent="0.3">
      <c r="A106" t="s">
        <v>191</v>
      </c>
      <c r="B106" t="s">
        <v>38</v>
      </c>
      <c r="C106" t="s">
        <v>62</v>
      </c>
      <c r="D106" t="s">
        <v>95</v>
      </c>
      <c r="E106" t="s">
        <v>50</v>
      </c>
      <c r="F106" s="1">
        <v>45713</v>
      </c>
      <c r="G106">
        <v>8</v>
      </c>
      <c r="H106">
        <v>777.64</v>
      </c>
      <c r="I106">
        <v>15</v>
      </c>
      <c r="J106" t="s">
        <v>45</v>
      </c>
      <c r="K106">
        <v>933.17</v>
      </c>
      <c r="L106">
        <v>6221.12</v>
      </c>
      <c r="M106">
        <v>5287.95</v>
      </c>
      <c r="N106" t="s">
        <v>41</v>
      </c>
      <c r="O106">
        <v>2025</v>
      </c>
    </row>
    <row r="107" spans="1:15" x14ac:dyDescent="0.3">
      <c r="A107" t="s">
        <v>192</v>
      </c>
      <c r="B107" t="s">
        <v>89</v>
      </c>
      <c r="C107" t="s">
        <v>54</v>
      </c>
      <c r="D107" t="s">
        <v>70</v>
      </c>
      <c r="E107" t="s">
        <v>25</v>
      </c>
      <c r="F107" s="1">
        <v>45550</v>
      </c>
      <c r="G107">
        <v>6</v>
      </c>
      <c r="H107">
        <v>2322.4499999999998</v>
      </c>
      <c r="I107">
        <v>15</v>
      </c>
      <c r="J107" t="s">
        <v>45</v>
      </c>
      <c r="K107">
        <v>2090.1999999999998</v>
      </c>
      <c r="L107">
        <v>13934.7</v>
      </c>
      <c r="M107">
        <v>11844.5</v>
      </c>
      <c r="N107" t="s">
        <v>86</v>
      </c>
      <c r="O107">
        <v>2024</v>
      </c>
    </row>
    <row r="108" spans="1:15" x14ac:dyDescent="0.3">
      <c r="A108" t="s">
        <v>193</v>
      </c>
      <c r="B108" t="s">
        <v>61</v>
      </c>
      <c r="C108" t="s">
        <v>54</v>
      </c>
      <c r="D108" t="s">
        <v>70</v>
      </c>
      <c r="E108" t="s">
        <v>44</v>
      </c>
      <c r="F108" s="1">
        <v>45715</v>
      </c>
      <c r="G108">
        <v>1</v>
      </c>
      <c r="H108">
        <v>2367.2399999999998</v>
      </c>
      <c r="I108">
        <v>10</v>
      </c>
      <c r="J108" t="s">
        <v>71</v>
      </c>
      <c r="K108">
        <v>236.72</v>
      </c>
      <c r="L108">
        <v>2367.2399999999998</v>
      </c>
      <c r="M108">
        <v>2130.52</v>
      </c>
      <c r="N108" t="s">
        <v>41</v>
      </c>
      <c r="O108">
        <v>2025</v>
      </c>
    </row>
    <row r="109" spans="1:15" x14ac:dyDescent="0.3">
      <c r="A109" t="s">
        <v>194</v>
      </c>
      <c r="B109" t="s">
        <v>61</v>
      </c>
      <c r="C109" t="s">
        <v>54</v>
      </c>
      <c r="D109" t="s">
        <v>68</v>
      </c>
      <c r="E109" t="s">
        <v>56</v>
      </c>
      <c r="F109" s="1">
        <v>45500</v>
      </c>
      <c r="G109">
        <v>5</v>
      </c>
      <c r="H109">
        <v>4667.87</v>
      </c>
      <c r="I109">
        <v>10</v>
      </c>
      <c r="J109" t="s">
        <v>26</v>
      </c>
      <c r="K109">
        <v>2333.9299999999998</v>
      </c>
      <c r="L109">
        <v>23339.35</v>
      </c>
      <c r="M109">
        <v>21005.42</v>
      </c>
      <c r="N109" t="s">
        <v>122</v>
      </c>
      <c r="O109">
        <v>2024</v>
      </c>
    </row>
    <row r="110" spans="1:15" x14ac:dyDescent="0.3">
      <c r="A110" t="s">
        <v>195</v>
      </c>
      <c r="B110" t="s">
        <v>47</v>
      </c>
      <c r="C110" t="s">
        <v>90</v>
      </c>
      <c r="D110" t="s">
        <v>152</v>
      </c>
      <c r="E110" t="s">
        <v>25</v>
      </c>
      <c r="F110" s="1">
        <v>46018</v>
      </c>
      <c r="G110">
        <v>3</v>
      </c>
      <c r="H110">
        <v>10754.56</v>
      </c>
      <c r="I110">
        <v>0</v>
      </c>
      <c r="J110" t="s">
        <v>20</v>
      </c>
      <c r="K110">
        <v>0</v>
      </c>
      <c r="L110">
        <v>32263.68</v>
      </c>
      <c r="M110">
        <v>32263.68</v>
      </c>
      <c r="N110" t="s">
        <v>51</v>
      </c>
      <c r="O110">
        <v>2025</v>
      </c>
    </row>
    <row r="111" spans="1:15" x14ac:dyDescent="0.3">
      <c r="A111" t="s">
        <v>196</v>
      </c>
      <c r="B111" t="s">
        <v>47</v>
      </c>
      <c r="C111" t="s">
        <v>54</v>
      </c>
      <c r="D111" t="s">
        <v>68</v>
      </c>
      <c r="E111" t="s">
        <v>50</v>
      </c>
      <c r="F111" s="1">
        <v>45764</v>
      </c>
      <c r="G111">
        <v>2</v>
      </c>
      <c r="H111">
        <v>4778.67</v>
      </c>
      <c r="I111">
        <v>5</v>
      </c>
      <c r="J111" t="s">
        <v>82</v>
      </c>
      <c r="K111">
        <v>477.87</v>
      </c>
      <c r="L111">
        <v>9557.34</v>
      </c>
      <c r="M111">
        <v>9079.4699999999993</v>
      </c>
      <c r="N111" t="s">
        <v>27</v>
      </c>
      <c r="O111">
        <v>2025</v>
      </c>
    </row>
    <row r="112" spans="1:15" x14ac:dyDescent="0.3">
      <c r="A112" t="s">
        <v>197</v>
      </c>
      <c r="B112" t="s">
        <v>65</v>
      </c>
      <c r="C112" t="s">
        <v>90</v>
      </c>
      <c r="D112" t="s">
        <v>115</v>
      </c>
      <c r="E112" t="s">
        <v>30</v>
      </c>
      <c r="F112" s="1">
        <v>45717</v>
      </c>
      <c r="G112">
        <v>8</v>
      </c>
      <c r="H112">
        <v>9160.49</v>
      </c>
      <c r="I112">
        <v>5</v>
      </c>
      <c r="J112" t="s">
        <v>40</v>
      </c>
      <c r="K112">
        <v>3664.2</v>
      </c>
      <c r="L112">
        <v>73283.92</v>
      </c>
      <c r="M112">
        <v>69619.72</v>
      </c>
      <c r="N112" t="s">
        <v>83</v>
      </c>
      <c r="O112">
        <v>2025</v>
      </c>
    </row>
    <row r="113" spans="1:15" x14ac:dyDescent="0.3">
      <c r="A113" t="s">
        <v>198</v>
      </c>
      <c r="B113" t="s">
        <v>53</v>
      </c>
      <c r="C113" t="s">
        <v>90</v>
      </c>
      <c r="D113" t="s">
        <v>91</v>
      </c>
      <c r="E113" t="s">
        <v>56</v>
      </c>
      <c r="F113" s="1">
        <v>45905</v>
      </c>
      <c r="G113">
        <v>9</v>
      </c>
      <c r="H113">
        <v>1629.86</v>
      </c>
      <c r="I113">
        <v>5</v>
      </c>
      <c r="J113" t="s">
        <v>20</v>
      </c>
      <c r="K113">
        <v>733.44</v>
      </c>
      <c r="L113">
        <v>14668.74</v>
      </c>
      <c r="M113">
        <v>13935.3</v>
      </c>
      <c r="N113" t="s">
        <v>86</v>
      </c>
      <c r="O113">
        <v>2025</v>
      </c>
    </row>
    <row r="114" spans="1:15" x14ac:dyDescent="0.3">
      <c r="A114" t="s">
        <v>199</v>
      </c>
      <c r="B114" t="s">
        <v>74</v>
      </c>
      <c r="C114" t="s">
        <v>17</v>
      </c>
      <c r="D114" t="s">
        <v>39</v>
      </c>
      <c r="E114" t="s">
        <v>44</v>
      </c>
      <c r="F114" s="1">
        <v>45640</v>
      </c>
      <c r="G114">
        <v>9</v>
      </c>
      <c r="H114">
        <v>19142.5</v>
      </c>
      <c r="I114">
        <v>0</v>
      </c>
      <c r="J114" t="s">
        <v>31</v>
      </c>
      <c r="K114">
        <v>0</v>
      </c>
      <c r="L114">
        <v>172282.5</v>
      </c>
      <c r="M114">
        <v>172282.5</v>
      </c>
      <c r="N114" t="s">
        <v>51</v>
      </c>
      <c r="O114">
        <v>2024</v>
      </c>
    </row>
    <row r="115" spans="1:15" x14ac:dyDescent="0.3">
      <c r="A115" t="s">
        <v>200</v>
      </c>
      <c r="B115" t="s">
        <v>38</v>
      </c>
      <c r="C115" t="s">
        <v>62</v>
      </c>
      <c r="D115" t="s">
        <v>119</v>
      </c>
      <c r="E115" t="s">
        <v>81</v>
      </c>
      <c r="F115" s="1">
        <v>45444</v>
      </c>
      <c r="G115">
        <v>8</v>
      </c>
      <c r="H115">
        <v>3621.26</v>
      </c>
      <c r="I115">
        <v>10</v>
      </c>
      <c r="J115" t="s">
        <v>71</v>
      </c>
      <c r="K115">
        <v>2897.01</v>
      </c>
      <c r="L115">
        <v>28970.080000000002</v>
      </c>
      <c r="M115">
        <v>26073.07</v>
      </c>
      <c r="N115" t="s">
        <v>72</v>
      </c>
      <c r="O115">
        <v>2024</v>
      </c>
    </row>
    <row r="116" spans="1:15" x14ac:dyDescent="0.3">
      <c r="A116" t="s">
        <v>201</v>
      </c>
      <c r="B116" t="s">
        <v>74</v>
      </c>
      <c r="C116" t="s">
        <v>62</v>
      </c>
      <c r="D116" t="s">
        <v>132</v>
      </c>
      <c r="E116" t="s">
        <v>81</v>
      </c>
      <c r="F116" s="1">
        <v>45758</v>
      </c>
      <c r="G116">
        <v>6</v>
      </c>
      <c r="H116">
        <v>2793.5</v>
      </c>
      <c r="I116">
        <v>5</v>
      </c>
      <c r="J116" t="s">
        <v>31</v>
      </c>
      <c r="K116">
        <v>838.05</v>
      </c>
      <c r="L116">
        <v>16761</v>
      </c>
      <c r="M116">
        <v>15922.95</v>
      </c>
      <c r="N116" t="s">
        <v>27</v>
      </c>
      <c r="O116">
        <v>2025</v>
      </c>
    </row>
    <row r="117" spans="1:15" x14ac:dyDescent="0.3">
      <c r="A117" t="s">
        <v>202</v>
      </c>
      <c r="B117" t="s">
        <v>29</v>
      </c>
      <c r="C117" t="s">
        <v>54</v>
      </c>
      <c r="D117" t="s">
        <v>68</v>
      </c>
      <c r="E117" t="s">
        <v>44</v>
      </c>
      <c r="F117" s="1">
        <v>45336</v>
      </c>
      <c r="G117">
        <v>6</v>
      </c>
      <c r="H117">
        <v>4887.79</v>
      </c>
      <c r="I117">
        <v>15</v>
      </c>
      <c r="J117" t="s">
        <v>31</v>
      </c>
      <c r="K117">
        <v>4399.01</v>
      </c>
      <c r="L117">
        <v>29326.74</v>
      </c>
      <c r="M117">
        <v>24927.73</v>
      </c>
      <c r="N117" t="s">
        <v>41</v>
      </c>
      <c r="O117">
        <v>2024</v>
      </c>
    </row>
    <row r="118" spans="1:15" x14ac:dyDescent="0.3">
      <c r="A118" t="s">
        <v>203</v>
      </c>
      <c r="B118" t="s">
        <v>89</v>
      </c>
      <c r="C118" t="s">
        <v>90</v>
      </c>
      <c r="D118" t="s">
        <v>107</v>
      </c>
      <c r="E118" t="s">
        <v>25</v>
      </c>
      <c r="F118" s="1">
        <v>45806</v>
      </c>
      <c r="G118">
        <v>10</v>
      </c>
      <c r="H118">
        <v>11795.98</v>
      </c>
      <c r="I118">
        <v>0</v>
      </c>
      <c r="J118" t="s">
        <v>36</v>
      </c>
      <c r="K118">
        <v>0</v>
      </c>
      <c r="L118">
        <v>117959.8</v>
      </c>
      <c r="M118">
        <v>117959.8</v>
      </c>
      <c r="N118" t="s">
        <v>101</v>
      </c>
      <c r="O118">
        <v>2025</v>
      </c>
    </row>
    <row r="119" spans="1:15" x14ac:dyDescent="0.3">
      <c r="A119" t="s">
        <v>204</v>
      </c>
      <c r="B119" t="s">
        <v>65</v>
      </c>
      <c r="C119" t="s">
        <v>90</v>
      </c>
      <c r="D119" t="s">
        <v>105</v>
      </c>
      <c r="E119" t="s">
        <v>56</v>
      </c>
      <c r="F119" s="1">
        <v>45439</v>
      </c>
      <c r="G119">
        <v>7</v>
      </c>
      <c r="H119">
        <v>3912.07</v>
      </c>
      <c r="I119">
        <v>5</v>
      </c>
      <c r="J119" t="s">
        <v>26</v>
      </c>
      <c r="K119">
        <v>1369.22</v>
      </c>
      <c r="L119">
        <v>27384.49</v>
      </c>
      <c r="M119">
        <v>26015.27</v>
      </c>
      <c r="N119" t="s">
        <v>101</v>
      </c>
      <c r="O119">
        <v>2024</v>
      </c>
    </row>
    <row r="120" spans="1:15" x14ac:dyDescent="0.3">
      <c r="A120" t="s">
        <v>205</v>
      </c>
      <c r="B120" t="s">
        <v>74</v>
      </c>
      <c r="C120" t="s">
        <v>17</v>
      </c>
      <c r="D120" t="s">
        <v>157</v>
      </c>
      <c r="E120" t="s">
        <v>19</v>
      </c>
      <c r="F120" s="1">
        <v>45930</v>
      </c>
      <c r="G120">
        <v>7</v>
      </c>
      <c r="H120">
        <v>7437.21</v>
      </c>
      <c r="I120">
        <v>10</v>
      </c>
      <c r="J120" t="s">
        <v>45</v>
      </c>
      <c r="K120">
        <v>5206.05</v>
      </c>
      <c r="L120">
        <v>52060.47</v>
      </c>
      <c r="M120">
        <v>46854.42</v>
      </c>
      <c r="N120" t="s">
        <v>86</v>
      </c>
      <c r="O120">
        <v>2025</v>
      </c>
    </row>
    <row r="121" spans="1:15" x14ac:dyDescent="0.3">
      <c r="A121" t="s">
        <v>206</v>
      </c>
      <c r="B121" t="s">
        <v>33</v>
      </c>
      <c r="C121" t="s">
        <v>54</v>
      </c>
      <c r="D121" t="s">
        <v>68</v>
      </c>
      <c r="E121" t="s">
        <v>30</v>
      </c>
      <c r="F121" s="1">
        <v>45846</v>
      </c>
      <c r="G121">
        <v>1</v>
      </c>
      <c r="H121">
        <v>4744.6400000000003</v>
      </c>
      <c r="I121">
        <v>5</v>
      </c>
      <c r="J121" t="s">
        <v>71</v>
      </c>
      <c r="K121">
        <v>237.23</v>
      </c>
      <c r="L121">
        <v>4744.6400000000003</v>
      </c>
      <c r="M121">
        <v>4507.41</v>
      </c>
      <c r="N121" t="s">
        <v>122</v>
      </c>
      <c r="O121">
        <v>2025</v>
      </c>
    </row>
    <row r="122" spans="1:15" x14ac:dyDescent="0.3">
      <c r="A122" t="s">
        <v>207</v>
      </c>
      <c r="B122" t="s">
        <v>16</v>
      </c>
      <c r="C122" t="s">
        <v>62</v>
      </c>
      <c r="D122" t="s">
        <v>63</v>
      </c>
      <c r="E122" t="s">
        <v>25</v>
      </c>
      <c r="F122" s="1">
        <v>45392</v>
      </c>
      <c r="G122">
        <v>2</v>
      </c>
      <c r="H122">
        <v>1819.66</v>
      </c>
      <c r="I122">
        <v>10</v>
      </c>
      <c r="J122" t="s">
        <v>31</v>
      </c>
      <c r="K122">
        <v>363.93</v>
      </c>
      <c r="L122">
        <v>3639.32</v>
      </c>
      <c r="M122">
        <v>3275.39</v>
      </c>
      <c r="N122" t="s">
        <v>27</v>
      </c>
      <c r="O122">
        <v>2024</v>
      </c>
    </row>
    <row r="123" spans="1:15" x14ac:dyDescent="0.3">
      <c r="A123" t="s">
        <v>208</v>
      </c>
      <c r="B123" t="s">
        <v>33</v>
      </c>
      <c r="C123" t="s">
        <v>17</v>
      </c>
      <c r="D123" t="s">
        <v>18</v>
      </c>
      <c r="E123" t="s">
        <v>44</v>
      </c>
      <c r="F123" s="1">
        <v>45592</v>
      </c>
      <c r="G123">
        <v>6</v>
      </c>
      <c r="H123">
        <v>71050.28</v>
      </c>
      <c r="I123">
        <v>5</v>
      </c>
      <c r="J123" t="s">
        <v>26</v>
      </c>
      <c r="K123">
        <v>21315.08</v>
      </c>
      <c r="L123">
        <v>426301.68</v>
      </c>
      <c r="M123">
        <v>404986.6</v>
      </c>
      <c r="N123" t="s">
        <v>57</v>
      </c>
      <c r="O123">
        <v>2024</v>
      </c>
    </row>
    <row r="124" spans="1:15" x14ac:dyDescent="0.3">
      <c r="A124" t="s">
        <v>209</v>
      </c>
      <c r="B124" t="s">
        <v>23</v>
      </c>
      <c r="C124" t="s">
        <v>34</v>
      </c>
      <c r="D124" t="s">
        <v>66</v>
      </c>
      <c r="E124" t="s">
        <v>81</v>
      </c>
      <c r="F124" s="1">
        <v>45466</v>
      </c>
      <c r="G124">
        <v>3</v>
      </c>
      <c r="H124">
        <v>36789.68</v>
      </c>
      <c r="I124">
        <v>15</v>
      </c>
      <c r="J124" t="s">
        <v>36</v>
      </c>
      <c r="K124">
        <v>16555.36</v>
      </c>
      <c r="L124">
        <v>110369.04</v>
      </c>
      <c r="M124">
        <v>93813.68</v>
      </c>
      <c r="N124" t="s">
        <v>72</v>
      </c>
      <c r="O124">
        <v>2024</v>
      </c>
    </row>
    <row r="125" spans="1:15" x14ac:dyDescent="0.3">
      <c r="A125" t="s">
        <v>210</v>
      </c>
      <c r="B125" t="s">
        <v>89</v>
      </c>
      <c r="C125" t="s">
        <v>54</v>
      </c>
      <c r="D125" t="s">
        <v>55</v>
      </c>
      <c r="E125" t="s">
        <v>81</v>
      </c>
      <c r="F125" s="1">
        <v>45529</v>
      </c>
      <c r="G125">
        <v>8</v>
      </c>
      <c r="H125">
        <v>1271.3699999999999</v>
      </c>
      <c r="I125">
        <v>15</v>
      </c>
      <c r="J125" t="s">
        <v>36</v>
      </c>
      <c r="K125">
        <v>1525.64</v>
      </c>
      <c r="L125">
        <v>10170.959999999999</v>
      </c>
      <c r="M125">
        <v>8645.32</v>
      </c>
      <c r="N125" t="s">
        <v>21</v>
      </c>
      <c r="O125">
        <v>2024</v>
      </c>
    </row>
    <row r="126" spans="1:15" x14ac:dyDescent="0.3">
      <c r="A126" t="s">
        <v>211</v>
      </c>
      <c r="B126" t="s">
        <v>114</v>
      </c>
      <c r="C126" t="s">
        <v>62</v>
      </c>
      <c r="D126" t="s">
        <v>95</v>
      </c>
      <c r="E126" t="s">
        <v>44</v>
      </c>
      <c r="F126" s="1">
        <v>45586</v>
      </c>
      <c r="G126">
        <v>9</v>
      </c>
      <c r="H126">
        <v>826.75</v>
      </c>
      <c r="I126">
        <v>15</v>
      </c>
      <c r="J126" t="s">
        <v>71</v>
      </c>
      <c r="K126">
        <v>1116.1099999999999</v>
      </c>
      <c r="L126">
        <v>7440.75</v>
      </c>
      <c r="M126">
        <v>6324.64</v>
      </c>
      <c r="N126" t="s">
        <v>57</v>
      </c>
      <c r="O126">
        <v>2024</v>
      </c>
    </row>
    <row r="127" spans="1:15" x14ac:dyDescent="0.3">
      <c r="A127" t="s">
        <v>212</v>
      </c>
      <c r="B127" t="s">
        <v>43</v>
      </c>
      <c r="C127" t="s">
        <v>62</v>
      </c>
      <c r="D127" t="s">
        <v>132</v>
      </c>
      <c r="E127" t="s">
        <v>30</v>
      </c>
      <c r="F127" s="1">
        <v>45998</v>
      </c>
      <c r="G127">
        <v>5</v>
      </c>
      <c r="H127">
        <v>2789.07</v>
      </c>
      <c r="I127">
        <v>10</v>
      </c>
      <c r="J127" t="s">
        <v>31</v>
      </c>
      <c r="K127">
        <v>1394.54</v>
      </c>
      <c r="L127">
        <v>13945.35</v>
      </c>
      <c r="M127">
        <v>12550.81</v>
      </c>
      <c r="N127" t="s">
        <v>51</v>
      </c>
      <c r="O127">
        <v>2025</v>
      </c>
    </row>
    <row r="128" spans="1:15" x14ac:dyDescent="0.3">
      <c r="A128" t="s">
        <v>213</v>
      </c>
      <c r="B128" t="s">
        <v>38</v>
      </c>
      <c r="C128" t="s">
        <v>34</v>
      </c>
      <c r="D128" t="s">
        <v>35</v>
      </c>
      <c r="E128" t="s">
        <v>56</v>
      </c>
      <c r="F128" s="1">
        <v>45534</v>
      </c>
      <c r="G128">
        <v>7</v>
      </c>
      <c r="H128">
        <v>26074.52</v>
      </c>
      <c r="I128">
        <v>20</v>
      </c>
      <c r="J128" t="s">
        <v>82</v>
      </c>
      <c r="K128">
        <v>36504.33</v>
      </c>
      <c r="L128">
        <v>182521.64</v>
      </c>
      <c r="M128">
        <v>146017.31</v>
      </c>
      <c r="N128" t="s">
        <v>21</v>
      </c>
      <c r="O128">
        <v>2024</v>
      </c>
    </row>
    <row r="129" spans="1:15" x14ac:dyDescent="0.3">
      <c r="A129" t="s">
        <v>214</v>
      </c>
      <c r="B129" t="s">
        <v>109</v>
      </c>
      <c r="C129" t="s">
        <v>62</v>
      </c>
      <c r="D129" t="s">
        <v>119</v>
      </c>
      <c r="E129" t="s">
        <v>44</v>
      </c>
      <c r="F129" s="1">
        <v>45573</v>
      </c>
      <c r="G129">
        <v>1</v>
      </c>
      <c r="H129">
        <v>4009.71</v>
      </c>
      <c r="I129">
        <v>0</v>
      </c>
      <c r="J129" t="s">
        <v>31</v>
      </c>
      <c r="K129">
        <v>0</v>
      </c>
      <c r="L129">
        <v>4009.71</v>
      </c>
      <c r="M129">
        <v>4009.71</v>
      </c>
      <c r="N129" t="s">
        <v>57</v>
      </c>
      <c r="O129">
        <v>2024</v>
      </c>
    </row>
    <row r="130" spans="1:15" x14ac:dyDescent="0.3">
      <c r="A130" t="s">
        <v>215</v>
      </c>
      <c r="B130" t="s">
        <v>38</v>
      </c>
      <c r="C130" t="s">
        <v>54</v>
      </c>
      <c r="D130" t="s">
        <v>68</v>
      </c>
      <c r="E130" t="s">
        <v>19</v>
      </c>
      <c r="F130" s="1">
        <v>45913</v>
      </c>
      <c r="G130">
        <v>6</v>
      </c>
      <c r="H130">
        <v>4296.38</v>
      </c>
      <c r="I130">
        <v>5</v>
      </c>
      <c r="J130" t="s">
        <v>20</v>
      </c>
      <c r="K130">
        <v>1288.9100000000001</v>
      </c>
      <c r="L130">
        <v>25778.28</v>
      </c>
      <c r="M130">
        <v>24489.37</v>
      </c>
      <c r="N130" t="s">
        <v>86</v>
      </c>
      <c r="O130">
        <v>2025</v>
      </c>
    </row>
    <row r="131" spans="1:15" x14ac:dyDescent="0.3">
      <c r="A131" t="s">
        <v>216</v>
      </c>
      <c r="B131" t="s">
        <v>61</v>
      </c>
      <c r="C131" t="s">
        <v>54</v>
      </c>
      <c r="D131" t="s">
        <v>137</v>
      </c>
      <c r="E131" t="s">
        <v>44</v>
      </c>
      <c r="F131" s="1">
        <v>45935</v>
      </c>
      <c r="G131">
        <v>2</v>
      </c>
      <c r="H131">
        <v>1114.5899999999999</v>
      </c>
      <c r="I131">
        <v>0</v>
      </c>
      <c r="J131" t="s">
        <v>36</v>
      </c>
      <c r="K131">
        <v>0</v>
      </c>
      <c r="L131">
        <v>2229.1799999999998</v>
      </c>
      <c r="M131">
        <v>2229.1799999999998</v>
      </c>
      <c r="N131" t="s">
        <v>57</v>
      </c>
      <c r="O131">
        <v>2025</v>
      </c>
    </row>
    <row r="132" spans="1:15" x14ac:dyDescent="0.3">
      <c r="A132" t="s">
        <v>217</v>
      </c>
      <c r="B132" t="s">
        <v>109</v>
      </c>
      <c r="C132" t="s">
        <v>62</v>
      </c>
      <c r="D132" t="s">
        <v>99</v>
      </c>
      <c r="E132" t="s">
        <v>81</v>
      </c>
      <c r="F132" s="1">
        <v>45426</v>
      </c>
      <c r="G132">
        <v>2</v>
      </c>
      <c r="H132">
        <v>1691.11</v>
      </c>
      <c r="I132">
        <v>10</v>
      </c>
      <c r="J132" t="s">
        <v>45</v>
      </c>
      <c r="K132">
        <v>338.22</v>
      </c>
      <c r="L132">
        <v>3382.22</v>
      </c>
      <c r="M132">
        <v>3044</v>
      </c>
      <c r="N132" t="s">
        <v>101</v>
      </c>
      <c r="O132">
        <v>2024</v>
      </c>
    </row>
    <row r="133" spans="1:15" x14ac:dyDescent="0.3">
      <c r="A133" t="s">
        <v>218</v>
      </c>
      <c r="B133" t="s">
        <v>29</v>
      </c>
      <c r="C133" t="s">
        <v>90</v>
      </c>
      <c r="D133" t="s">
        <v>107</v>
      </c>
      <c r="E133" t="s">
        <v>50</v>
      </c>
      <c r="F133" s="1">
        <v>45835</v>
      </c>
      <c r="G133">
        <v>9</v>
      </c>
      <c r="H133">
        <v>13540.46</v>
      </c>
      <c r="I133">
        <v>5</v>
      </c>
      <c r="J133" t="s">
        <v>45</v>
      </c>
      <c r="K133">
        <v>6093.21</v>
      </c>
      <c r="L133">
        <v>121864.14</v>
      </c>
      <c r="M133">
        <v>115770.93</v>
      </c>
      <c r="N133" t="s">
        <v>72</v>
      </c>
      <c r="O133">
        <v>2025</v>
      </c>
    </row>
    <row r="134" spans="1:15" x14ac:dyDescent="0.3">
      <c r="A134" t="s">
        <v>219</v>
      </c>
      <c r="B134" t="s">
        <v>74</v>
      </c>
      <c r="C134" t="s">
        <v>62</v>
      </c>
      <c r="D134" t="s">
        <v>99</v>
      </c>
      <c r="E134" t="s">
        <v>19</v>
      </c>
      <c r="F134" s="1">
        <v>45409</v>
      </c>
      <c r="G134">
        <v>8</v>
      </c>
      <c r="H134">
        <v>1711.08</v>
      </c>
      <c r="I134">
        <v>5</v>
      </c>
      <c r="J134" t="s">
        <v>45</v>
      </c>
      <c r="K134">
        <v>684.43</v>
      </c>
      <c r="L134">
        <v>13688.64</v>
      </c>
      <c r="M134">
        <v>13004.21</v>
      </c>
      <c r="N134" t="s">
        <v>27</v>
      </c>
      <c r="O134">
        <v>2024</v>
      </c>
    </row>
    <row r="135" spans="1:15" x14ac:dyDescent="0.3">
      <c r="A135" t="s">
        <v>220</v>
      </c>
      <c r="B135" t="s">
        <v>38</v>
      </c>
      <c r="C135" t="s">
        <v>34</v>
      </c>
      <c r="D135" t="s">
        <v>35</v>
      </c>
      <c r="E135" t="s">
        <v>44</v>
      </c>
      <c r="F135" s="1">
        <v>45384</v>
      </c>
      <c r="G135">
        <v>7</v>
      </c>
      <c r="H135">
        <v>22586.99</v>
      </c>
      <c r="I135">
        <v>20</v>
      </c>
      <c r="J135" t="s">
        <v>45</v>
      </c>
      <c r="K135">
        <v>31621.79</v>
      </c>
      <c r="L135">
        <v>158108.93</v>
      </c>
      <c r="M135">
        <v>126487.14</v>
      </c>
      <c r="N135" t="s">
        <v>27</v>
      </c>
      <c r="O135">
        <v>2024</v>
      </c>
    </row>
    <row r="136" spans="1:15" x14ac:dyDescent="0.3">
      <c r="A136" t="s">
        <v>221</v>
      </c>
      <c r="B136" t="s">
        <v>33</v>
      </c>
      <c r="C136" t="s">
        <v>17</v>
      </c>
      <c r="D136" t="s">
        <v>157</v>
      </c>
      <c r="E136" t="s">
        <v>30</v>
      </c>
      <c r="F136" s="1">
        <v>45890</v>
      </c>
      <c r="G136">
        <v>7</v>
      </c>
      <c r="H136">
        <v>7739.23</v>
      </c>
      <c r="I136">
        <v>10</v>
      </c>
      <c r="J136" t="s">
        <v>40</v>
      </c>
      <c r="K136">
        <v>5417.46</v>
      </c>
      <c r="L136">
        <v>54174.61</v>
      </c>
      <c r="M136">
        <v>48757.15</v>
      </c>
      <c r="N136" t="s">
        <v>21</v>
      </c>
      <c r="O136">
        <v>2025</v>
      </c>
    </row>
    <row r="137" spans="1:15" x14ac:dyDescent="0.3">
      <c r="A137" t="s">
        <v>222</v>
      </c>
      <c r="B137" t="s">
        <v>89</v>
      </c>
      <c r="C137" t="s">
        <v>17</v>
      </c>
      <c r="D137" t="s">
        <v>59</v>
      </c>
      <c r="E137" t="s">
        <v>25</v>
      </c>
      <c r="F137" s="1">
        <v>45916</v>
      </c>
      <c r="G137">
        <v>4</v>
      </c>
      <c r="H137">
        <v>26547.83</v>
      </c>
      <c r="I137">
        <v>15</v>
      </c>
      <c r="J137" t="s">
        <v>45</v>
      </c>
      <c r="K137">
        <v>15928.7</v>
      </c>
      <c r="L137">
        <v>106191.32</v>
      </c>
      <c r="M137">
        <v>90262.62</v>
      </c>
      <c r="N137" t="s">
        <v>86</v>
      </c>
      <c r="O137">
        <v>2025</v>
      </c>
    </row>
    <row r="138" spans="1:15" x14ac:dyDescent="0.3">
      <c r="A138" t="s">
        <v>223</v>
      </c>
      <c r="B138" t="s">
        <v>47</v>
      </c>
      <c r="C138" t="s">
        <v>62</v>
      </c>
      <c r="D138" t="s">
        <v>99</v>
      </c>
      <c r="E138" t="s">
        <v>50</v>
      </c>
      <c r="F138" s="1">
        <v>45330</v>
      </c>
      <c r="G138">
        <v>5</v>
      </c>
      <c r="H138">
        <v>1723.47</v>
      </c>
      <c r="I138">
        <v>0</v>
      </c>
      <c r="J138" t="s">
        <v>26</v>
      </c>
      <c r="K138">
        <v>0</v>
      </c>
      <c r="L138">
        <v>8617.35</v>
      </c>
      <c r="M138">
        <v>8617.35</v>
      </c>
      <c r="N138" t="s">
        <v>41</v>
      </c>
      <c r="O138">
        <v>2024</v>
      </c>
    </row>
    <row r="139" spans="1:15" x14ac:dyDescent="0.3">
      <c r="A139" t="s">
        <v>224</v>
      </c>
      <c r="B139" t="s">
        <v>114</v>
      </c>
      <c r="C139" t="s">
        <v>17</v>
      </c>
      <c r="D139" t="s">
        <v>59</v>
      </c>
      <c r="E139" t="s">
        <v>81</v>
      </c>
      <c r="F139" s="1">
        <v>45689</v>
      </c>
      <c r="G139">
        <v>8</v>
      </c>
      <c r="H139">
        <v>24818.82</v>
      </c>
      <c r="I139">
        <v>20</v>
      </c>
      <c r="J139" t="s">
        <v>36</v>
      </c>
      <c r="K139">
        <v>39710.11</v>
      </c>
      <c r="L139">
        <v>198550.56</v>
      </c>
      <c r="M139">
        <v>158840.45000000001</v>
      </c>
      <c r="N139" t="s">
        <v>41</v>
      </c>
      <c r="O139">
        <v>2025</v>
      </c>
    </row>
    <row r="140" spans="1:15" x14ac:dyDescent="0.3">
      <c r="A140" t="s">
        <v>225</v>
      </c>
      <c r="B140" t="s">
        <v>16</v>
      </c>
      <c r="C140" t="s">
        <v>90</v>
      </c>
      <c r="D140" t="s">
        <v>91</v>
      </c>
      <c r="E140" t="s">
        <v>30</v>
      </c>
      <c r="F140" s="1">
        <v>45716</v>
      </c>
      <c r="G140">
        <v>2</v>
      </c>
      <c r="H140">
        <v>1662.63</v>
      </c>
      <c r="I140">
        <v>20</v>
      </c>
      <c r="J140" t="s">
        <v>36</v>
      </c>
      <c r="K140">
        <v>665.05</v>
      </c>
      <c r="L140">
        <v>3325.26</v>
      </c>
      <c r="M140">
        <v>2660.21</v>
      </c>
      <c r="N140" t="s">
        <v>41</v>
      </c>
      <c r="O140">
        <v>2025</v>
      </c>
    </row>
    <row r="141" spans="1:15" x14ac:dyDescent="0.3">
      <c r="A141" t="s">
        <v>226</v>
      </c>
      <c r="B141" t="s">
        <v>109</v>
      </c>
      <c r="C141" t="s">
        <v>90</v>
      </c>
      <c r="D141" t="s">
        <v>115</v>
      </c>
      <c r="E141" t="s">
        <v>30</v>
      </c>
      <c r="F141" s="1">
        <v>45514</v>
      </c>
      <c r="G141">
        <v>8</v>
      </c>
      <c r="H141">
        <v>8089.39</v>
      </c>
      <c r="I141">
        <v>5</v>
      </c>
      <c r="J141" t="s">
        <v>45</v>
      </c>
      <c r="K141">
        <v>3235.76</v>
      </c>
      <c r="L141">
        <v>64715.12</v>
      </c>
      <c r="M141">
        <v>61479.360000000001</v>
      </c>
      <c r="N141" t="s">
        <v>21</v>
      </c>
      <c r="O141">
        <v>2024</v>
      </c>
    </row>
    <row r="142" spans="1:15" x14ac:dyDescent="0.3">
      <c r="A142" t="s">
        <v>227</v>
      </c>
      <c r="B142" t="s">
        <v>61</v>
      </c>
      <c r="C142" t="s">
        <v>62</v>
      </c>
      <c r="D142" t="s">
        <v>95</v>
      </c>
      <c r="E142" t="s">
        <v>19</v>
      </c>
      <c r="F142" s="1">
        <v>45354</v>
      </c>
      <c r="G142">
        <v>7</v>
      </c>
      <c r="H142">
        <v>775.18</v>
      </c>
      <c r="I142">
        <v>0</v>
      </c>
      <c r="J142" t="s">
        <v>45</v>
      </c>
      <c r="K142">
        <v>0</v>
      </c>
      <c r="L142">
        <v>5426.26</v>
      </c>
      <c r="M142">
        <v>5426.26</v>
      </c>
      <c r="N142" t="s">
        <v>83</v>
      </c>
      <c r="O142">
        <v>2024</v>
      </c>
    </row>
    <row r="143" spans="1:15" x14ac:dyDescent="0.3">
      <c r="A143" t="s">
        <v>228</v>
      </c>
      <c r="B143" t="s">
        <v>61</v>
      </c>
      <c r="C143" t="s">
        <v>90</v>
      </c>
      <c r="D143" t="s">
        <v>105</v>
      </c>
      <c r="E143" t="s">
        <v>50</v>
      </c>
      <c r="F143" s="1">
        <v>45343</v>
      </c>
      <c r="G143">
        <v>6</v>
      </c>
      <c r="H143">
        <v>3363.12</v>
      </c>
      <c r="I143">
        <v>5</v>
      </c>
      <c r="J143" t="s">
        <v>26</v>
      </c>
      <c r="K143">
        <v>1008.94</v>
      </c>
      <c r="L143">
        <v>20178.72</v>
      </c>
      <c r="M143">
        <v>19169.78</v>
      </c>
      <c r="N143" t="s">
        <v>41</v>
      </c>
      <c r="O143">
        <v>2024</v>
      </c>
    </row>
    <row r="144" spans="1:15" x14ac:dyDescent="0.3">
      <c r="A144" t="s">
        <v>229</v>
      </c>
      <c r="B144" t="s">
        <v>47</v>
      </c>
      <c r="C144" t="s">
        <v>54</v>
      </c>
      <c r="D144" t="s">
        <v>55</v>
      </c>
      <c r="E144" t="s">
        <v>44</v>
      </c>
      <c r="F144" s="1">
        <v>45892</v>
      </c>
      <c r="G144">
        <v>4</v>
      </c>
      <c r="H144">
        <v>1323.92</v>
      </c>
      <c r="I144">
        <v>5</v>
      </c>
      <c r="J144" t="s">
        <v>20</v>
      </c>
      <c r="K144">
        <v>264.77999999999997</v>
      </c>
      <c r="L144">
        <v>5295.68</v>
      </c>
      <c r="M144">
        <v>5030.8999999999996</v>
      </c>
      <c r="N144" t="s">
        <v>21</v>
      </c>
      <c r="O144">
        <v>2025</v>
      </c>
    </row>
    <row r="145" spans="1:15" x14ac:dyDescent="0.3">
      <c r="A145" t="s">
        <v>230</v>
      </c>
      <c r="B145" t="s">
        <v>74</v>
      </c>
      <c r="C145" t="s">
        <v>62</v>
      </c>
      <c r="D145" t="s">
        <v>63</v>
      </c>
      <c r="E145" t="s">
        <v>81</v>
      </c>
      <c r="F145" s="1">
        <v>45575</v>
      </c>
      <c r="G145">
        <v>3</v>
      </c>
      <c r="H145">
        <v>2270.83</v>
      </c>
      <c r="I145">
        <v>20</v>
      </c>
      <c r="J145" t="s">
        <v>26</v>
      </c>
      <c r="K145">
        <v>1362.5</v>
      </c>
      <c r="L145">
        <v>6812.49</v>
      </c>
      <c r="M145">
        <v>5449.99</v>
      </c>
      <c r="N145" t="s">
        <v>57</v>
      </c>
      <c r="O145">
        <v>2024</v>
      </c>
    </row>
    <row r="146" spans="1:15" x14ac:dyDescent="0.3">
      <c r="A146" t="s">
        <v>231</v>
      </c>
      <c r="B146" t="s">
        <v>47</v>
      </c>
      <c r="C146" t="s">
        <v>62</v>
      </c>
      <c r="D146" t="s">
        <v>63</v>
      </c>
      <c r="E146" t="s">
        <v>30</v>
      </c>
      <c r="F146" s="1">
        <v>45426</v>
      </c>
      <c r="G146">
        <v>1</v>
      </c>
      <c r="H146">
        <v>1781.21</v>
      </c>
      <c r="I146">
        <v>5</v>
      </c>
      <c r="J146" t="s">
        <v>26</v>
      </c>
      <c r="K146">
        <v>89.06</v>
      </c>
      <c r="L146">
        <v>1781.21</v>
      </c>
      <c r="M146">
        <v>1692.15</v>
      </c>
      <c r="N146" t="s">
        <v>101</v>
      </c>
      <c r="O146">
        <v>2024</v>
      </c>
    </row>
    <row r="147" spans="1:15" x14ac:dyDescent="0.3">
      <c r="A147" t="s">
        <v>232</v>
      </c>
      <c r="B147" t="s">
        <v>109</v>
      </c>
      <c r="C147" t="s">
        <v>54</v>
      </c>
      <c r="D147" t="s">
        <v>137</v>
      </c>
      <c r="E147" t="s">
        <v>50</v>
      </c>
      <c r="F147" s="1">
        <v>45345</v>
      </c>
      <c r="G147">
        <v>3</v>
      </c>
      <c r="H147">
        <v>976.89</v>
      </c>
      <c r="I147">
        <v>20</v>
      </c>
      <c r="J147" t="s">
        <v>40</v>
      </c>
      <c r="K147">
        <v>586.13</v>
      </c>
      <c r="L147">
        <v>2930.67</v>
      </c>
      <c r="M147">
        <v>2344.54</v>
      </c>
      <c r="N147" t="s">
        <v>41</v>
      </c>
      <c r="O147">
        <v>2024</v>
      </c>
    </row>
    <row r="148" spans="1:15" x14ac:dyDescent="0.3">
      <c r="A148" t="s">
        <v>233</v>
      </c>
      <c r="B148" t="s">
        <v>89</v>
      </c>
      <c r="C148" t="s">
        <v>17</v>
      </c>
      <c r="D148" t="s">
        <v>18</v>
      </c>
      <c r="E148" t="s">
        <v>56</v>
      </c>
      <c r="F148" s="1">
        <v>45817</v>
      </c>
      <c r="G148">
        <v>10</v>
      </c>
      <c r="H148">
        <v>60272.13</v>
      </c>
      <c r="I148">
        <v>20</v>
      </c>
      <c r="J148" t="s">
        <v>45</v>
      </c>
      <c r="K148">
        <v>120544.26</v>
      </c>
      <c r="L148">
        <v>602721.30000000005</v>
      </c>
      <c r="M148">
        <v>482177.04</v>
      </c>
      <c r="N148" t="s">
        <v>72</v>
      </c>
      <c r="O148">
        <v>2025</v>
      </c>
    </row>
    <row r="149" spans="1:15" x14ac:dyDescent="0.3">
      <c r="A149" t="s">
        <v>234</v>
      </c>
      <c r="B149" t="s">
        <v>109</v>
      </c>
      <c r="C149" t="s">
        <v>34</v>
      </c>
      <c r="D149" t="s">
        <v>66</v>
      </c>
      <c r="E149" t="s">
        <v>30</v>
      </c>
      <c r="F149" s="1">
        <v>45761</v>
      </c>
      <c r="G149">
        <v>1</v>
      </c>
      <c r="H149">
        <v>36608.25</v>
      </c>
      <c r="I149">
        <v>15</v>
      </c>
      <c r="J149" t="s">
        <v>40</v>
      </c>
      <c r="K149">
        <v>5491.24</v>
      </c>
      <c r="L149">
        <v>36608.25</v>
      </c>
      <c r="M149">
        <v>31117.01</v>
      </c>
      <c r="N149" t="s">
        <v>27</v>
      </c>
      <c r="O149">
        <v>2025</v>
      </c>
    </row>
    <row r="150" spans="1:15" x14ac:dyDescent="0.3">
      <c r="A150" t="s">
        <v>235</v>
      </c>
      <c r="B150" t="s">
        <v>61</v>
      </c>
      <c r="C150" t="s">
        <v>90</v>
      </c>
      <c r="D150" t="s">
        <v>152</v>
      </c>
      <c r="E150" t="s">
        <v>25</v>
      </c>
      <c r="F150" s="1">
        <v>46021</v>
      </c>
      <c r="G150">
        <v>8</v>
      </c>
      <c r="H150">
        <v>10102.1</v>
      </c>
      <c r="I150">
        <v>0</v>
      </c>
      <c r="J150" t="s">
        <v>71</v>
      </c>
      <c r="K150">
        <v>0</v>
      </c>
      <c r="L150">
        <v>80816.800000000003</v>
      </c>
      <c r="M150">
        <v>80816.800000000003</v>
      </c>
      <c r="N150" t="s">
        <v>51</v>
      </c>
      <c r="O150">
        <v>2025</v>
      </c>
    </row>
    <row r="151" spans="1:15" x14ac:dyDescent="0.3">
      <c r="A151" t="s">
        <v>236</v>
      </c>
      <c r="B151" t="s">
        <v>53</v>
      </c>
      <c r="C151" t="s">
        <v>62</v>
      </c>
      <c r="D151" t="s">
        <v>132</v>
      </c>
      <c r="E151" t="s">
        <v>25</v>
      </c>
      <c r="F151" s="1">
        <v>45573</v>
      </c>
      <c r="G151">
        <v>10</v>
      </c>
      <c r="H151">
        <v>2910.24</v>
      </c>
      <c r="I151">
        <v>20</v>
      </c>
      <c r="J151" t="s">
        <v>36</v>
      </c>
      <c r="K151">
        <v>5820.48</v>
      </c>
      <c r="L151">
        <v>29102.400000000001</v>
      </c>
      <c r="M151">
        <v>23281.919999999998</v>
      </c>
      <c r="N151" t="s">
        <v>57</v>
      </c>
      <c r="O151">
        <v>2024</v>
      </c>
    </row>
    <row r="152" spans="1:15" x14ac:dyDescent="0.3">
      <c r="A152" t="s">
        <v>237</v>
      </c>
      <c r="B152" t="s">
        <v>93</v>
      </c>
      <c r="C152" t="s">
        <v>62</v>
      </c>
      <c r="D152" t="s">
        <v>99</v>
      </c>
      <c r="E152" t="s">
        <v>81</v>
      </c>
      <c r="F152" s="1">
        <v>45756</v>
      </c>
      <c r="G152">
        <v>9</v>
      </c>
      <c r="H152">
        <v>1577.04</v>
      </c>
      <c r="I152">
        <v>0</v>
      </c>
      <c r="J152" t="s">
        <v>40</v>
      </c>
      <c r="K152">
        <v>0</v>
      </c>
      <c r="L152">
        <v>14193.36</v>
      </c>
      <c r="M152">
        <v>14193.36</v>
      </c>
      <c r="N152" t="s">
        <v>27</v>
      </c>
      <c r="O152">
        <v>2025</v>
      </c>
    </row>
    <row r="153" spans="1:15" x14ac:dyDescent="0.3">
      <c r="A153" t="s">
        <v>238</v>
      </c>
      <c r="B153" t="s">
        <v>16</v>
      </c>
      <c r="C153" t="s">
        <v>17</v>
      </c>
      <c r="D153" t="s">
        <v>24</v>
      </c>
      <c r="E153" t="s">
        <v>44</v>
      </c>
      <c r="F153" s="1">
        <v>45732</v>
      </c>
      <c r="G153">
        <v>8</v>
      </c>
      <c r="H153">
        <v>3366.07</v>
      </c>
      <c r="I153">
        <v>15</v>
      </c>
      <c r="J153" t="s">
        <v>20</v>
      </c>
      <c r="K153">
        <v>4039.28</v>
      </c>
      <c r="L153">
        <v>26928.560000000001</v>
      </c>
      <c r="M153">
        <v>22889.279999999999</v>
      </c>
      <c r="N153" t="s">
        <v>83</v>
      </c>
      <c r="O153">
        <v>2025</v>
      </c>
    </row>
    <row r="154" spans="1:15" x14ac:dyDescent="0.3">
      <c r="A154" t="s">
        <v>239</v>
      </c>
      <c r="B154" t="s">
        <v>23</v>
      </c>
      <c r="C154" t="s">
        <v>62</v>
      </c>
      <c r="D154" t="s">
        <v>99</v>
      </c>
      <c r="E154" t="s">
        <v>56</v>
      </c>
      <c r="F154" s="1">
        <v>45612</v>
      </c>
      <c r="G154">
        <v>7</v>
      </c>
      <c r="H154">
        <v>1613.92</v>
      </c>
      <c r="I154">
        <v>10</v>
      </c>
      <c r="J154" t="s">
        <v>82</v>
      </c>
      <c r="K154">
        <v>1129.74</v>
      </c>
      <c r="L154">
        <v>11297.44</v>
      </c>
      <c r="M154">
        <v>10167.700000000001</v>
      </c>
      <c r="N154" t="s">
        <v>96</v>
      </c>
      <c r="O154">
        <v>2024</v>
      </c>
    </row>
    <row r="155" spans="1:15" x14ac:dyDescent="0.3">
      <c r="A155" t="s">
        <v>240</v>
      </c>
      <c r="B155" t="s">
        <v>61</v>
      </c>
      <c r="C155" t="s">
        <v>62</v>
      </c>
      <c r="D155" t="s">
        <v>63</v>
      </c>
      <c r="E155" t="s">
        <v>56</v>
      </c>
      <c r="F155" s="1">
        <v>45385</v>
      </c>
      <c r="G155">
        <v>2</v>
      </c>
      <c r="H155">
        <v>1661.95</v>
      </c>
      <c r="I155">
        <v>0</v>
      </c>
      <c r="J155" t="s">
        <v>82</v>
      </c>
      <c r="K155">
        <v>0</v>
      </c>
      <c r="L155">
        <v>3323.9</v>
      </c>
      <c r="M155">
        <v>3323.9</v>
      </c>
      <c r="N155" t="s">
        <v>27</v>
      </c>
      <c r="O155">
        <v>2024</v>
      </c>
    </row>
    <row r="156" spans="1:15" x14ac:dyDescent="0.3">
      <c r="A156" t="s">
        <v>241</v>
      </c>
      <c r="B156" t="s">
        <v>65</v>
      </c>
      <c r="C156" t="s">
        <v>62</v>
      </c>
      <c r="D156" t="s">
        <v>63</v>
      </c>
      <c r="E156" t="s">
        <v>25</v>
      </c>
      <c r="F156" s="1">
        <v>45978</v>
      </c>
      <c r="G156">
        <v>2</v>
      </c>
      <c r="H156">
        <v>1985.35</v>
      </c>
      <c r="I156">
        <v>15</v>
      </c>
      <c r="J156" t="s">
        <v>45</v>
      </c>
      <c r="K156">
        <v>595.6</v>
      </c>
      <c r="L156">
        <v>3970.7</v>
      </c>
      <c r="M156">
        <v>3375.1</v>
      </c>
      <c r="N156" t="s">
        <v>96</v>
      </c>
      <c r="O156">
        <v>2025</v>
      </c>
    </row>
    <row r="157" spans="1:15" x14ac:dyDescent="0.3">
      <c r="A157" t="s">
        <v>242</v>
      </c>
      <c r="B157" t="s">
        <v>93</v>
      </c>
      <c r="C157" t="s">
        <v>17</v>
      </c>
      <c r="D157" t="s">
        <v>39</v>
      </c>
      <c r="E157" t="s">
        <v>19</v>
      </c>
      <c r="F157" s="1">
        <v>45398</v>
      </c>
      <c r="G157">
        <v>10</v>
      </c>
      <c r="H157">
        <v>18483.36</v>
      </c>
      <c r="I157">
        <v>5</v>
      </c>
      <c r="J157" t="s">
        <v>45</v>
      </c>
      <c r="K157">
        <v>9241.68</v>
      </c>
      <c r="L157">
        <v>184833.6</v>
      </c>
      <c r="M157">
        <v>175591.92</v>
      </c>
      <c r="N157" t="s">
        <v>27</v>
      </c>
      <c r="O157">
        <v>2024</v>
      </c>
    </row>
    <row r="158" spans="1:15" x14ac:dyDescent="0.3">
      <c r="A158" t="s">
        <v>243</v>
      </c>
      <c r="B158" t="s">
        <v>38</v>
      </c>
      <c r="C158" t="s">
        <v>90</v>
      </c>
      <c r="D158" t="s">
        <v>107</v>
      </c>
      <c r="E158" t="s">
        <v>25</v>
      </c>
      <c r="F158" s="1">
        <v>45861</v>
      </c>
      <c r="G158">
        <v>6</v>
      </c>
      <c r="H158">
        <v>11144.66</v>
      </c>
      <c r="I158">
        <v>10</v>
      </c>
      <c r="J158" t="s">
        <v>45</v>
      </c>
      <c r="K158">
        <v>6686.8</v>
      </c>
      <c r="L158">
        <v>66867.960000000006</v>
      </c>
      <c r="M158">
        <v>60181.16</v>
      </c>
      <c r="N158" t="s">
        <v>122</v>
      </c>
      <c r="O158">
        <v>2025</v>
      </c>
    </row>
    <row r="159" spans="1:15" x14ac:dyDescent="0.3">
      <c r="A159" t="s">
        <v>244</v>
      </c>
      <c r="B159" t="s">
        <v>74</v>
      </c>
      <c r="C159" t="s">
        <v>54</v>
      </c>
      <c r="D159" t="s">
        <v>55</v>
      </c>
      <c r="E159" t="s">
        <v>56</v>
      </c>
      <c r="F159" s="1">
        <v>45915</v>
      </c>
      <c r="G159">
        <v>5</v>
      </c>
      <c r="H159">
        <v>1088.69</v>
      </c>
      <c r="I159">
        <v>10</v>
      </c>
      <c r="J159" t="s">
        <v>26</v>
      </c>
      <c r="K159">
        <v>544.35</v>
      </c>
      <c r="L159">
        <v>5443.45</v>
      </c>
      <c r="M159">
        <v>4899.1000000000004</v>
      </c>
      <c r="N159" t="s">
        <v>86</v>
      </c>
      <c r="O159">
        <v>2025</v>
      </c>
    </row>
    <row r="160" spans="1:15" x14ac:dyDescent="0.3">
      <c r="A160" t="s">
        <v>245</v>
      </c>
      <c r="B160" t="s">
        <v>33</v>
      </c>
      <c r="C160" t="s">
        <v>62</v>
      </c>
      <c r="D160" t="s">
        <v>119</v>
      </c>
      <c r="E160" t="s">
        <v>25</v>
      </c>
      <c r="F160" s="1">
        <v>45438</v>
      </c>
      <c r="G160">
        <v>10</v>
      </c>
      <c r="H160">
        <v>3725.18</v>
      </c>
      <c r="I160">
        <v>0</v>
      </c>
      <c r="J160" t="s">
        <v>36</v>
      </c>
      <c r="K160">
        <v>0</v>
      </c>
      <c r="L160">
        <v>37251.800000000003</v>
      </c>
      <c r="M160">
        <v>37251.800000000003</v>
      </c>
      <c r="N160" t="s">
        <v>101</v>
      </c>
      <c r="O160">
        <v>2024</v>
      </c>
    </row>
    <row r="161" spans="1:15" x14ac:dyDescent="0.3">
      <c r="A161" t="s">
        <v>246</v>
      </c>
      <c r="B161" t="s">
        <v>47</v>
      </c>
      <c r="C161" t="s">
        <v>34</v>
      </c>
      <c r="D161" t="s">
        <v>80</v>
      </c>
      <c r="E161" t="s">
        <v>30</v>
      </c>
      <c r="F161" s="1">
        <v>45677</v>
      </c>
      <c r="G161">
        <v>7</v>
      </c>
      <c r="H161">
        <v>6080.47</v>
      </c>
      <c r="I161">
        <v>5</v>
      </c>
      <c r="J161" t="s">
        <v>20</v>
      </c>
      <c r="K161">
        <v>2128.16</v>
      </c>
      <c r="L161">
        <v>42563.29</v>
      </c>
      <c r="M161">
        <v>40435.129999999997</v>
      </c>
      <c r="N161" t="s">
        <v>116</v>
      </c>
      <c r="O161">
        <v>2025</v>
      </c>
    </row>
    <row r="162" spans="1:15" x14ac:dyDescent="0.3">
      <c r="A162" t="s">
        <v>247</v>
      </c>
      <c r="B162" t="s">
        <v>16</v>
      </c>
      <c r="C162" t="s">
        <v>62</v>
      </c>
      <c r="D162" t="s">
        <v>119</v>
      </c>
      <c r="E162" t="s">
        <v>19</v>
      </c>
      <c r="F162" s="1">
        <v>45345</v>
      </c>
      <c r="G162">
        <v>3</v>
      </c>
      <c r="H162">
        <v>3287.73</v>
      </c>
      <c r="I162">
        <v>20</v>
      </c>
      <c r="J162" t="s">
        <v>82</v>
      </c>
      <c r="K162">
        <v>1972.64</v>
      </c>
      <c r="L162">
        <v>9863.19</v>
      </c>
      <c r="M162">
        <v>7890.55</v>
      </c>
      <c r="N162" t="s">
        <v>41</v>
      </c>
      <c r="O162">
        <v>2024</v>
      </c>
    </row>
    <row r="163" spans="1:15" x14ac:dyDescent="0.3">
      <c r="A163" t="s">
        <v>248</v>
      </c>
      <c r="B163" t="s">
        <v>43</v>
      </c>
      <c r="C163" t="s">
        <v>17</v>
      </c>
      <c r="D163" t="s">
        <v>18</v>
      </c>
      <c r="E163" t="s">
        <v>56</v>
      </c>
      <c r="F163" s="1">
        <v>45789</v>
      </c>
      <c r="G163">
        <v>10</v>
      </c>
      <c r="H163">
        <v>65683.22</v>
      </c>
      <c r="I163">
        <v>10</v>
      </c>
      <c r="J163" t="s">
        <v>31</v>
      </c>
      <c r="K163">
        <v>65683.22</v>
      </c>
      <c r="L163">
        <v>656832.19999999995</v>
      </c>
      <c r="M163">
        <v>591148.98</v>
      </c>
      <c r="N163" t="s">
        <v>101</v>
      </c>
      <c r="O163">
        <v>2025</v>
      </c>
    </row>
    <row r="164" spans="1:15" x14ac:dyDescent="0.3">
      <c r="A164" t="s">
        <v>249</v>
      </c>
      <c r="B164" t="s">
        <v>47</v>
      </c>
      <c r="C164" t="s">
        <v>34</v>
      </c>
      <c r="D164" t="s">
        <v>66</v>
      </c>
      <c r="E164" t="s">
        <v>19</v>
      </c>
      <c r="F164" s="1">
        <v>45405</v>
      </c>
      <c r="G164">
        <v>5</v>
      </c>
      <c r="H164">
        <v>42782.18</v>
      </c>
      <c r="I164">
        <v>20</v>
      </c>
      <c r="J164" t="s">
        <v>31</v>
      </c>
      <c r="K164">
        <v>42782.18</v>
      </c>
      <c r="L164">
        <v>213910.9</v>
      </c>
      <c r="M164">
        <v>171128.72</v>
      </c>
      <c r="N164" t="s">
        <v>27</v>
      </c>
      <c r="O164">
        <v>2024</v>
      </c>
    </row>
    <row r="165" spans="1:15" x14ac:dyDescent="0.3">
      <c r="A165" t="s">
        <v>250</v>
      </c>
      <c r="B165" t="s">
        <v>61</v>
      </c>
      <c r="C165" t="s">
        <v>90</v>
      </c>
      <c r="D165" t="s">
        <v>91</v>
      </c>
      <c r="E165" t="s">
        <v>19</v>
      </c>
      <c r="F165" s="1">
        <v>45517</v>
      </c>
      <c r="G165">
        <v>7</v>
      </c>
      <c r="H165">
        <v>1719.17</v>
      </c>
      <c r="I165">
        <v>0</v>
      </c>
      <c r="J165" t="s">
        <v>26</v>
      </c>
      <c r="K165">
        <v>0</v>
      </c>
      <c r="L165">
        <v>12034.19</v>
      </c>
      <c r="M165">
        <v>12034.19</v>
      </c>
      <c r="N165" t="s">
        <v>21</v>
      </c>
      <c r="O165">
        <v>2024</v>
      </c>
    </row>
    <row r="166" spans="1:15" x14ac:dyDescent="0.3">
      <c r="A166" t="s">
        <v>251</v>
      </c>
      <c r="B166" t="s">
        <v>43</v>
      </c>
      <c r="C166" t="s">
        <v>17</v>
      </c>
      <c r="D166" t="s">
        <v>59</v>
      </c>
      <c r="E166" t="s">
        <v>50</v>
      </c>
      <c r="F166" s="1">
        <v>45553</v>
      </c>
      <c r="G166">
        <v>5</v>
      </c>
      <c r="H166">
        <v>24550.76</v>
      </c>
      <c r="I166">
        <v>0</v>
      </c>
      <c r="J166" t="s">
        <v>36</v>
      </c>
      <c r="K166">
        <v>0</v>
      </c>
      <c r="L166">
        <v>122753.8</v>
      </c>
      <c r="M166">
        <v>122753.8</v>
      </c>
      <c r="N166" t="s">
        <v>86</v>
      </c>
      <c r="O166">
        <v>2024</v>
      </c>
    </row>
    <row r="167" spans="1:15" x14ac:dyDescent="0.3">
      <c r="A167" t="s">
        <v>252</v>
      </c>
      <c r="B167" t="s">
        <v>53</v>
      </c>
      <c r="C167" t="s">
        <v>90</v>
      </c>
      <c r="D167" t="s">
        <v>152</v>
      </c>
      <c r="E167" t="s">
        <v>50</v>
      </c>
      <c r="F167" s="1">
        <v>45837</v>
      </c>
      <c r="G167">
        <v>4</v>
      </c>
      <c r="H167">
        <v>10250.66</v>
      </c>
      <c r="I167">
        <v>10</v>
      </c>
      <c r="J167" t="s">
        <v>31</v>
      </c>
      <c r="K167">
        <v>4100.26</v>
      </c>
      <c r="L167">
        <v>41002.639999999999</v>
      </c>
      <c r="M167">
        <v>36902.379999999997</v>
      </c>
      <c r="N167" t="s">
        <v>72</v>
      </c>
      <c r="O167">
        <v>2025</v>
      </c>
    </row>
    <row r="168" spans="1:15" x14ac:dyDescent="0.3">
      <c r="A168" t="s">
        <v>253</v>
      </c>
      <c r="B168" t="s">
        <v>38</v>
      </c>
      <c r="C168" t="s">
        <v>17</v>
      </c>
      <c r="D168" t="s">
        <v>157</v>
      </c>
      <c r="E168" t="s">
        <v>30</v>
      </c>
      <c r="F168" s="1">
        <v>45738</v>
      </c>
      <c r="G168">
        <v>1</v>
      </c>
      <c r="H168">
        <v>7104.57</v>
      </c>
      <c r="I168">
        <v>0</v>
      </c>
      <c r="J168" t="s">
        <v>26</v>
      </c>
      <c r="K168">
        <v>0</v>
      </c>
      <c r="L168">
        <v>7104.57</v>
      </c>
      <c r="M168">
        <v>7104.57</v>
      </c>
      <c r="N168" t="s">
        <v>83</v>
      </c>
      <c r="O168">
        <v>2025</v>
      </c>
    </row>
    <row r="169" spans="1:15" x14ac:dyDescent="0.3">
      <c r="A169" t="s">
        <v>254</v>
      </c>
      <c r="B169" t="s">
        <v>23</v>
      </c>
      <c r="C169" t="s">
        <v>62</v>
      </c>
      <c r="D169" t="s">
        <v>132</v>
      </c>
      <c r="E169" t="s">
        <v>81</v>
      </c>
      <c r="F169" s="1">
        <v>46018</v>
      </c>
      <c r="G169">
        <v>7</v>
      </c>
      <c r="H169">
        <v>2674.04</v>
      </c>
      <c r="I169">
        <v>15</v>
      </c>
      <c r="J169" t="s">
        <v>31</v>
      </c>
      <c r="K169">
        <v>2807.74</v>
      </c>
      <c r="L169">
        <v>18718.28</v>
      </c>
      <c r="M169">
        <v>15910.54</v>
      </c>
      <c r="N169" t="s">
        <v>51</v>
      </c>
      <c r="O169">
        <v>2025</v>
      </c>
    </row>
    <row r="170" spans="1:15" x14ac:dyDescent="0.3">
      <c r="A170" t="s">
        <v>255</v>
      </c>
      <c r="B170" t="s">
        <v>53</v>
      </c>
      <c r="C170" t="s">
        <v>17</v>
      </c>
      <c r="D170" t="s">
        <v>39</v>
      </c>
      <c r="E170" t="s">
        <v>44</v>
      </c>
      <c r="F170" s="1">
        <v>45998</v>
      </c>
      <c r="G170">
        <v>6</v>
      </c>
      <c r="H170">
        <v>18256.240000000002</v>
      </c>
      <c r="I170">
        <v>0</v>
      </c>
      <c r="J170" t="s">
        <v>71</v>
      </c>
      <c r="K170">
        <v>0</v>
      </c>
      <c r="L170">
        <v>109537.44</v>
      </c>
      <c r="M170">
        <v>109537.44</v>
      </c>
      <c r="N170" t="s">
        <v>51</v>
      </c>
      <c r="O170">
        <v>2025</v>
      </c>
    </row>
    <row r="171" spans="1:15" x14ac:dyDescent="0.3">
      <c r="A171" t="s">
        <v>256</v>
      </c>
      <c r="B171" t="s">
        <v>93</v>
      </c>
      <c r="C171" t="s">
        <v>34</v>
      </c>
      <c r="D171" t="s">
        <v>35</v>
      </c>
      <c r="E171" t="s">
        <v>56</v>
      </c>
      <c r="F171" s="1">
        <v>45697</v>
      </c>
      <c r="G171">
        <v>5</v>
      </c>
      <c r="H171">
        <v>27161.279999999999</v>
      </c>
      <c r="I171">
        <v>5</v>
      </c>
      <c r="J171" t="s">
        <v>82</v>
      </c>
      <c r="K171">
        <v>6790.32</v>
      </c>
      <c r="L171">
        <v>135806.39999999999</v>
      </c>
      <c r="M171">
        <v>129016.08</v>
      </c>
      <c r="N171" t="s">
        <v>41</v>
      </c>
      <c r="O171">
        <v>2025</v>
      </c>
    </row>
    <row r="172" spans="1:15" x14ac:dyDescent="0.3">
      <c r="A172" t="s">
        <v>257</v>
      </c>
      <c r="B172" t="s">
        <v>47</v>
      </c>
      <c r="C172" t="s">
        <v>62</v>
      </c>
      <c r="D172" t="s">
        <v>63</v>
      </c>
      <c r="E172" t="s">
        <v>81</v>
      </c>
      <c r="F172" s="1">
        <v>45835</v>
      </c>
      <c r="G172">
        <v>9</v>
      </c>
      <c r="H172">
        <v>1707.26</v>
      </c>
      <c r="I172">
        <v>10</v>
      </c>
      <c r="J172" t="s">
        <v>82</v>
      </c>
      <c r="K172">
        <v>1536.53</v>
      </c>
      <c r="L172">
        <v>15365.34</v>
      </c>
      <c r="M172">
        <v>13828.81</v>
      </c>
      <c r="N172" t="s">
        <v>72</v>
      </c>
      <c r="O172">
        <v>2025</v>
      </c>
    </row>
    <row r="173" spans="1:15" x14ac:dyDescent="0.3">
      <c r="A173" t="s">
        <v>258</v>
      </c>
      <c r="B173" t="s">
        <v>29</v>
      </c>
      <c r="C173" t="s">
        <v>62</v>
      </c>
      <c r="D173" t="s">
        <v>63</v>
      </c>
      <c r="E173" t="s">
        <v>25</v>
      </c>
      <c r="F173" s="1">
        <v>45554</v>
      </c>
      <c r="G173">
        <v>4</v>
      </c>
      <c r="H173">
        <v>1698.07</v>
      </c>
      <c r="I173">
        <v>5</v>
      </c>
      <c r="J173" t="s">
        <v>36</v>
      </c>
      <c r="K173">
        <v>339.61</v>
      </c>
      <c r="L173">
        <v>6792.28</v>
      </c>
      <c r="M173">
        <v>6452.67</v>
      </c>
      <c r="N173" t="s">
        <v>86</v>
      </c>
      <c r="O173">
        <v>2024</v>
      </c>
    </row>
    <row r="174" spans="1:15" x14ac:dyDescent="0.3">
      <c r="A174" t="s">
        <v>259</v>
      </c>
      <c r="B174" t="s">
        <v>74</v>
      </c>
      <c r="C174" t="s">
        <v>17</v>
      </c>
      <c r="D174" t="s">
        <v>59</v>
      </c>
      <c r="E174" t="s">
        <v>30</v>
      </c>
      <c r="F174" s="1">
        <v>45767</v>
      </c>
      <c r="G174">
        <v>10</v>
      </c>
      <c r="H174">
        <v>27249.23</v>
      </c>
      <c r="I174">
        <v>15</v>
      </c>
      <c r="J174" t="s">
        <v>71</v>
      </c>
      <c r="K174">
        <v>40873.839999999997</v>
      </c>
      <c r="L174">
        <v>272492.3</v>
      </c>
      <c r="M174">
        <v>231618.46</v>
      </c>
      <c r="N174" t="s">
        <v>27</v>
      </c>
      <c r="O174">
        <v>2025</v>
      </c>
    </row>
    <row r="175" spans="1:15" x14ac:dyDescent="0.3">
      <c r="A175" t="s">
        <v>260</v>
      </c>
      <c r="B175" t="s">
        <v>33</v>
      </c>
      <c r="C175" t="s">
        <v>54</v>
      </c>
      <c r="D175" t="s">
        <v>77</v>
      </c>
      <c r="E175" t="s">
        <v>44</v>
      </c>
      <c r="F175" s="1">
        <v>45446</v>
      </c>
      <c r="G175">
        <v>8</v>
      </c>
      <c r="H175">
        <v>4585.3599999999997</v>
      </c>
      <c r="I175">
        <v>15</v>
      </c>
      <c r="J175" t="s">
        <v>45</v>
      </c>
      <c r="K175">
        <v>5502.43</v>
      </c>
      <c r="L175">
        <v>36682.879999999997</v>
      </c>
      <c r="M175">
        <v>31180.45</v>
      </c>
      <c r="N175" t="s">
        <v>72</v>
      </c>
      <c r="O175">
        <v>2024</v>
      </c>
    </row>
    <row r="176" spans="1:15" x14ac:dyDescent="0.3">
      <c r="A176" t="s">
        <v>261</v>
      </c>
      <c r="B176" t="s">
        <v>93</v>
      </c>
      <c r="C176" t="s">
        <v>62</v>
      </c>
      <c r="D176" t="s">
        <v>119</v>
      </c>
      <c r="E176" t="s">
        <v>25</v>
      </c>
      <c r="F176" s="1">
        <v>45811</v>
      </c>
      <c r="G176">
        <v>2</v>
      </c>
      <c r="H176">
        <v>3421.61</v>
      </c>
      <c r="I176">
        <v>15</v>
      </c>
      <c r="J176" t="s">
        <v>45</v>
      </c>
      <c r="K176">
        <v>1026.48</v>
      </c>
      <c r="L176">
        <v>6843.22</v>
      </c>
      <c r="M176">
        <v>5816.74</v>
      </c>
      <c r="N176" t="s">
        <v>72</v>
      </c>
      <c r="O176">
        <v>2025</v>
      </c>
    </row>
    <row r="177" spans="1:15" x14ac:dyDescent="0.3">
      <c r="A177" t="s">
        <v>262</v>
      </c>
      <c r="B177" t="s">
        <v>33</v>
      </c>
      <c r="C177" t="s">
        <v>17</v>
      </c>
      <c r="D177" t="s">
        <v>18</v>
      </c>
      <c r="E177" t="s">
        <v>44</v>
      </c>
      <c r="F177" s="1">
        <v>45370</v>
      </c>
      <c r="G177">
        <v>2</v>
      </c>
      <c r="H177">
        <v>68493.89</v>
      </c>
      <c r="I177">
        <v>20</v>
      </c>
      <c r="J177" t="s">
        <v>40</v>
      </c>
      <c r="K177">
        <v>27397.56</v>
      </c>
      <c r="L177">
        <v>136987.78</v>
      </c>
      <c r="M177">
        <v>109590.22</v>
      </c>
      <c r="N177" t="s">
        <v>83</v>
      </c>
      <c r="O177">
        <v>2024</v>
      </c>
    </row>
    <row r="178" spans="1:15" x14ac:dyDescent="0.3">
      <c r="A178" t="s">
        <v>263</v>
      </c>
      <c r="B178" t="s">
        <v>93</v>
      </c>
      <c r="C178" t="s">
        <v>90</v>
      </c>
      <c r="D178" t="s">
        <v>152</v>
      </c>
      <c r="E178" t="s">
        <v>81</v>
      </c>
      <c r="F178" s="1">
        <v>45752</v>
      </c>
      <c r="G178">
        <v>10</v>
      </c>
      <c r="H178">
        <v>10629.59</v>
      </c>
      <c r="I178">
        <v>10</v>
      </c>
      <c r="J178" t="s">
        <v>26</v>
      </c>
      <c r="K178">
        <v>10629.59</v>
      </c>
      <c r="L178">
        <v>106295.9</v>
      </c>
      <c r="M178">
        <v>95666.31</v>
      </c>
      <c r="N178" t="s">
        <v>27</v>
      </c>
      <c r="O178">
        <v>2025</v>
      </c>
    </row>
    <row r="179" spans="1:15" x14ac:dyDescent="0.3">
      <c r="A179" t="s">
        <v>264</v>
      </c>
      <c r="B179" t="s">
        <v>65</v>
      </c>
      <c r="C179" t="s">
        <v>54</v>
      </c>
      <c r="D179" t="s">
        <v>68</v>
      </c>
      <c r="E179" t="s">
        <v>50</v>
      </c>
      <c r="F179" s="1">
        <v>45753</v>
      </c>
      <c r="G179">
        <v>2</v>
      </c>
      <c r="H179">
        <v>4962.34</v>
      </c>
      <c r="I179">
        <v>10</v>
      </c>
      <c r="J179" t="s">
        <v>26</v>
      </c>
      <c r="K179">
        <v>992.47</v>
      </c>
      <c r="L179">
        <v>9924.68</v>
      </c>
      <c r="M179">
        <v>8932.2099999999991</v>
      </c>
      <c r="N179" t="s">
        <v>27</v>
      </c>
      <c r="O179">
        <v>2025</v>
      </c>
    </row>
    <row r="180" spans="1:15" x14ac:dyDescent="0.3">
      <c r="A180" t="s">
        <v>265</v>
      </c>
      <c r="B180" t="s">
        <v>61</v>
      </c>
      <c r="C180" t="s">
        <v>17</v>
      </c>
      <c r="D180" t="s">
        <v>24</v>
      </c>
      <c r="E180" t="s">
        <v>50</v>
      </c>
      <c r="F180" s="1">
        <v>45545</v>
      </c>
      <c r="G180">
        <v>8</v>
      </c>
      <c r="H180">
        <v>3443.24</v>
      </c>
      <c r="I180">
        <v>20</v>
      </c>
      <c r="J180" t="s">
        <v>26</v>
      </c>
      <c r="K180">
        <v>5509.18</v>
      </c>
      <c r="L180">
        <v>27545.919999999998</v>
      </c>
      <c r="M180">
        <v>22036.74</v>
      </c>
      <c r="N180" t="s">
        <v>86</v>
      </c>
      <c r="O180">
        <v>2024</v>
      </c>
    </row>
    <row r="181" spans="1:15" x14ac:dyDescent="0.3">
      <c r="A181" t="s">
        <v>266</v>
      </c>
      <c r="B181" t="s">
        <v>53</v>
      </c>
      <c r="C181" t="s">
        <v>54</v>
      </c>
      <c r="D181" t="s">
        <v>77</v>
      </c>
      <c r="E181" t="s">
        <v>19</v>
      </c>
      <c r="F181" s="1">
        <v>45581</v>
      </c>
      <c r="G181">
        <v>7</v>
      </c>
      <c r="H181">
        <v>5512.06</v>
      </c>
      <c r="I181">
        <v>10</v>
      </c>
      <c r="J181" t="s">
        <v>45</v>
      </c>
      <c r="K181">
        <v>3858.44</v>
      </c>
      <c r="L181">
        <v>38584.42</v>
      </c>
      <c r="M181">
        <v>34725.980000000003</v>
      </c>
      <c r="N181" t="s">
        <v>57</v>
      </c>
      <c r="O181">
        <v>2024</v>
      </c>
    </row>
    <row r="182" spans="1:15" x14ac:dyDescent="0.3">
      <c r="A182" t="s">
        <v>267</v>
      </c>
      <c r="B182" t="s">
        <v>74</v>
      </c>
      <c r="C182" t="s">
        <v>54</v>
      </c>
      <c r="D182" t="s">
        <v>70</v>
      </c>
      <c r="E182" t="s">
        <v>30</v>
      </c>
      <c r="F182" s="1">
        <v>45359</v>
      </c>
      <c r="G182">
        <v>6</v>
      </c>
      <c r="H182">
        <v>2309.0700000000002</v>
      </c>
      <c r="I182">
        <v>15</v>
      </c>
      <c r="J182" t="s">
        <v>45</v>
      </c>
      <c r="K182">
        <v>2078.16</v>
      </c>
      <c r="L182">
        <v>13854.42</v>
      </c>
      <c r="M182">
        <v>11776.26</v>
      </c>
      <c r="N182" t="s">
        <v>83</v>
      </c>
      <c r="O182">
        <v>2024</v>
      </c>
    </row>
    <row r="183" spans="1:15" x14ac:dyDescent="0.3">
      <c r="A183" t="s">
        <v>268</v>
      </c>
      <c r="B183" t="s">
        <v>16</v>
      </c>
      <c r="C183" t="s">
        <v>62</v>
      </c>
      <c r="D183" t="s">
        <v>119</v>
      </c>
      <c r="E183" t="s">
        <v>44</v>
      </c>
      <c r="F183" s="1">
        <v>45633</v>
      </c>
      <c r="G183">
        <v>2</v>
      </c>
      <c r="H183">
        <v>4025.89</v>
      </c>
      <c r="I183">
        <v>5</v>
      </c>
      <c r="J183" t="s">
        <v>36</v>
      </c>
      <c r="K183">
        <v>402.59</v>
      </c>
      <c r="L183">
        <v>8051.78</v>
      </c>
      <c r="M183">
        <v>7649.19</v>
      </c>
      <c r="N183" t="s">
        <v>51</v>
      </c>
      <c r="O183">
        <v>2024</v>
      </c>
    </row>
    <row r="184" spans="1:15" x14ac:dyDescent="0.3">
      <c r="A184" t="s">
        <v>269</v>
      </c>
      <c r="B184" t="s">
        <v>61</v>
      </c>
      <c r="C184" t="s">
        <v>62</v>
      </c>
      <c r="D184" t="s">
        <v>119</v>
      </c>
      <c r="E184" t="s">
        <v>30</v>
      </c>
      <c r="F184" s="1">
        <v>45424</v>
      </c>
      <c r="G184">
        <v>10</v>
      </c>
      <c r="H184">
        <v>3770.23</v>
      </c>
      <c r="I184">
        <v>0</v>
      </c>
      <c r="J184" t="s">
        <v>31</v>
      </c>
      <c r="K184">
        <v>0</v>
      </c>
      <c r="L184">
        <v>37702.300000000003</v>
      </c>
      <c r="M184">
        <v>37702.300000000003</v>
      </c>
      <c r="N184" t="s">
        <v>101</v>
      </c>
      <c r="O184">
        <v>2024</v>
      </c>
    </row>
    <row r="185" spans="1:15" x14ac:dyDescent="0.3">
      <c r="A185" t="s">
        <v>270</v>
      </c>
      <c r="B185" t="s">
        <v>23</v>
      </c>
      <c r="C185" t="s">
        <v>62</v>
      </c>
      <c r="D185" t="s">
        <v>132</v>
      </c>
      <c r="E185" t="s">
        <v>30</v>
      </c>
      <c r="F185" s="1">
        <v>45422</v>
      </c>
      <c r="G185">
        <v>9</v>
      </c>
      <c r="H185">
        <v>2308.41</v>
      </c>
      <c r="I185">
        <v>15</v>
      </c>
      <c r="J185" t="s">
        <v>45</v>
      </c>
      <c r="K185">
        <v>3116.35</v>
      </c>
      <c r="L185">
        <v>20775.689999999999</v>
      </c>
      <c r="M185">
        <v>17659.34</v>
      </c>
      <c r="N185" t="s">
        <v>101</v>
      </c>
      <c r="O185">
        <v>2024</v>
      </c>
    </row>
    <row r="186" spans="1:15" x14ac:dyDescent="0.3">
      <c r="A186" t="s">
        <v>271</v>
      </c>
      <c r="B186" t="s">
        <v>109</v>
      </c>
      <c r="C186" t="s">
        <v>54</v>
      </c>
      <c r="D186" t="s">
        <v>137</v>
      </c>
      <c r="E186" t="s">
        <v>19</v>
      </c>
      <c r="F186" s="1">
        <v>45476</v>
      </c>
      <c r="G186">
        <v>4</v>
      </c>
      <c r="H186">
        <v>886.89</v>
      </c>
      <c r="I186">
        <v>15</v>
      </c>
      <c r="J186" t="s">
        <v>40</v>
      </c>
      <c r="K186">
        <v>532.13</v>
      </c>
      <c r="L186">
        <v>3547.56</v>
      </c>
      <c r="M186">
        <v>3015.43</v>
      </c>
      <c r="N186" t="s">
        <v>122</v>
      </c>
      <c r="O186">
        <v>2024</v>
      </c>
    </row>
    <row r="187" spans="1:15" x14ac:dyDescent="0.3">
      <c r="A187" t="s">
        <v>272</v>
      </c>
      <c r="B187" t="s">
        <v>53</v>
      </c>
      <c r="C187" t="s">
        <v>34</v>
      </c>
      <c r="D187" t="s">
        <v>85</v>
      </c>
      <c r="E187" t="s">
        <v>50</v>
      </c>
      <c r="F187" s="1">
        <v>45594</v>
      </c>
      <c r="G187">
        <v>2</v>
      </c>
      <c r="H187">
        <v>13555.38</v>
      </c>
      <c r="I187">
        <v>20</v>
      </c>
      <c r="J187" t="s">
        <v>82</v>
      </c>
      <c r="K187">
        <v>5422.15</v>
      </c>
      <c r="L187">
        <v>27110.76</v>
      </c>
      <c r="M187">
        <v>21688.61</v>
      </c>
      <c r="N187" t="s">
        <v>57</v>
      </c>
      <c r="O187">
        <v>2024</v>
      </c>
    </row>
    <row r="188" spans="1:15" x14ac:dyDescent="0.3">
      <c r="A188" t="s">
        <v>273</v>
      </c>
      <c r="B188" t="s">
        <v>61</v>
      </c>
      <c r="C188" t="s">
        <v>54</v>
      </c>
      <c r="D188" t="s">
        <v>70</v>
      </c>
      <c r="E188" t="s">
        <v>19</v>
      </c>
      <c r="F188" s="1">
        <v>45903</v>
      </c>
      <c r="G188">
        <v>7</v>
      </c>
      <c r="H188">
        <v>2346.41</v>
      </c>
      <c r="I188">
        <v>5</v>
      </c>
      <c r="J188" t="s">
        <v>36</v>
      </c>
      <c r="K188">
        <v>821.24</v>
      </c>
      <c r="L188">
        <v>16424.87</v>
      </c>
      <c r="M188">
        <v>15603.63</v>
      </c>
      <c r="N188" t="s">
        <v>86</v>
      </c>
      <c r="O188">
        <v>2025</v>
      </c>
    </row>
    <row r="189" spans="1:15" x14ac:dyDescent="0.3">
      <c r="A189" t="s">
        <v>274</v>
      </c>
      <c r="B189" t="s">
        <v>16</v>
      </c>
      <c r="C189" t="s">
        <v>54</v>
      </c>
      <c r="D189" t="s">
        <v>55</v>
      </c>
      <c r="E189" t="s">
        <v>56</v>
      </c>
      <c r="F189" s="1">
        <v>45712</v>
      </c>
      <c r="G189">
        <v>6</v>
      </c>
      <c r="H189">
        <v>1282.9100000000001</v>
      </c>
      <c r="I189">
        <v>5</v>
      </c>
      <c r="J189" t="s">
        <v>26</v>
      </c>
      <c r="K189">
        <v>384.87</v>
      </c>
      <c r="L189">
        <v>7697.46</v>
      </c>
      <c r="M189">
        <v>7312.59</v>
      </c>
      <c r="N189" t="s">
        <v>41</v>
      </c>
      <c r="O189">
        <v>2025</v>
      </c>
    </row>
    <row r="190" spans="1:15" x14ac:dyDescent="0.3">
      <c r="A190" t="s">
        <v>275</v>
      </c>
      <c r="B190" t="s">
        <v>43</v>
      </c>
      <c r="C190" t="s">
        <v>90</v>
      </c>
      <c r="D190" t="s">
        <v>91</v>
      </c>
      <c r="E190" t="s">
        <v>44</v>
      </c>
      <c r="F190" s="1">
        <v>45531</v>
      </c>
      <c r="G190">
        <v>9</v>
      </c>
      <c r="H190">
        <v>1439.69</v>
      </c>
      <c r="I190">
        <v>15</v>
      </c>
      <c r="J190" t="s">
        <v>71</v>
      </c>
      <c r="K190">
        <v>1943.58</v>
      </c>
      <c r="L190">
        <v>12957.21</v>
      </c>
      <c r="M190">
        <v>11013.63</v>
      </c>
      <c r="N190" t="s">
        <v>21</v>
      </c>
      <c r="O190">
        <v>2024</v>
      </c>
    </row>
    <row r="191" spans="1:15" x14ac:dyDescent="0.3">
      <c r="A191" t="s">
        <v>276</v>
      </c>
      <c r="B191" t="s">
        <v>61</v>
      </c>
      <c r="C191" t="s">
        <v>34</v>
      </c>
      <c r="D191" t="s">
        <v>48</v>
      </c>
      <c r="E191" t="s">
        <v>81</v>
      </c>
      <c r="F191" s="1">
        <v>45764</v>
      </c>
      <c r="G191">
        <v>5</v>
      </c>
      <c r="H191">
        <v>8756.25</v>
      </c>
      <c r="I191">
        <v>20</v>
      </c>
      <c r="J191" t="s">
        <v>71</v>
      </c>
      <c r="K191">
        <v>8756.25</v>
      </c>
      <c r="L191">
        <v>43781.25</v>
      </c>
      <c r="M191">
        <v>35025</v>
      </c>
      <c r="N191" t="s">
        <v>27</v>
      </c>
      <c r="O191">
        <v>2025</v>
      </c>
    </row>
    <row r="192" spans="1:15" x14ac:dyDescent="0.3">
      <c r="A192" t="s">
        <v>277</v>
      </c>
      <c r="B192" t="s">
        <v>53</v>
      </c>
      <c r="C192" t="s">
        <v>54</v>
      </c>
      <c r="D192" t="s">
        <v>68</v>
      </c>
      <c r="E192" t="s">
        <v>44</v>
      </c>
      <c r="F192" s="1">
        <v>45911</v>
      </c>
      <c r="G192">
        <v>3</v>
      </c>
      <c r="H192">
        <v>5032.13</v>
      </c>
      <c r="I192">
        <v>0</v>
      </c>
      <c r="J192" t="s">
        <v>20</v>
      </c>
      <c r="K192">
        <v>0</v>
      </c>
      <c r="L192">
        <v>15096.39</v>
      </c>
      <c r="M192">
        <v>15096.39</v>
      </c>
      <c r="N192" t="s">
        <v>86</v>
      </c>
      <c r="O192">
        <v>2025</v>
      </c>
    </row>
    <row r="193" spans="1:15" x14ac:dyDescent="0.3">
      <c r="A193" t="s">
        <v>278</v>
      </c>
      <c r="B193" t="s">
        <v>65</v>
      </c>
      <c r="C193" t="s">
        <v>90</v>
      </c>
      <c r="D193" t="s">
        <v>115</v>
      </c>
      <c r="E193" t="s">
        <v>25</v>
      </c>
      <c r="F193" s="1">
        <v>45583</v>
      </c>
      <c r="G193">
        <v>2</v>
      </c>
      <c r="H193">
        <v>9598.86</v>
      </c>
      <c r="I193">
        <v>10</v>
      </c>
      <c r="J193" t="s">
        <v>82</v>
      </c>
      <c r="K193">
        <v>1919.77</v>
      </c>
      <c r="L193">
        <v>19197.72</v>
      </c>
      <c r="M193">
        <v>17277.95</v>
      </c>
      <c r="N193" t="s">
        <v>57</v>
      </c>
      <c r="O193">
        <v>2024</v>
      </c>
    </row>
    <row r="194" spans="1:15" x14ac:dyDescent="0.3">
      <c r="A194" t="s">
        <v>279</v>
      </c>
      <c r="B194" t="s">
        <v>53</v>
      </c>
      <c r="C194" t="s">
        <v>90</v>
      </c>
      <c r="D194" t="s">
        <v>91</v>
      </c>
      <c r="E194" t="s">
        <v>44</v>
      </c>
      <c r="F194" s="1">
        <v>45385</v>
      </c>
      <c r="G194">
        <v>4</v>
      </c>
      <c r="H194">
        <v>1656.26</v>
      </c>
      <c r="I194">
        <v>10</v>
      </c>
      <c r="J194" t="s">
        <v>31</v>
      </c>
      <c r="K194">
        <v>662.5</v>
      </c>
      <c r="L194">
        <v>6625.04</v>
      </c>
      <c r="M194">
        <v>5962.54</v>
      </c>
      <c r="N194" t="s">
        <v>27</v>
      </c>
      <c r="O194">
        <v>2024</v>
      </c>
    </row>
    <row r="195" spans="1:15" x14ac:dyDescent="0.3">
      <c r="A195" t="s">
        <v>280</v>
      </c>
      <c r="B195" t="s">
        <v>109</v>
      </c>
      <c r="C195" t="s">
        <v>17</v>
      </c>
      <c r="D195" t="s">
        <v>157</v>
      </c>
      <c r="E195" t="s">
        <v>56</v>
      </c>
      <c r="F195" s="1">
        <v>45533</v>
      </c>
      <c r="G195">
        <v>7</v>
      </c>
      <c r="H195">
        <v>8040.42</v>
      </c>
      <c r="I195">
        <v>10</v>
      </c>
      <c r="J195" t="s">
        <v>45</v>
      </c>
      <c r="K195">
        <v>5628.29</v>
      </c>
      <c r="L195">
        <v>56282.94</v>
      </c>
      <c r="M195">
        <v>50654.65</v>
      </c>
      <c r="N195" t="s">
        <v>21</v>
      </c>
      <c r="O195">
        <v>2024</v>
      </c>
    </row>
    <row r="196" spans="1:15" x14ac:dyDescent="0.3">
      <c r="A196" t="s">
        <v>281</v>
      </c>
      <c r="B196" t="s">
        <v>33</v>
      </c>
      <c r="C196" t="s">
        <v>34</v>
      </c>
      <c r="D196" t="s">
        <v>80</v>
      </c>
      <c r="E196" t="s">
        <v>25</v>
      </c>
      <c r="F196" s="1">
        <v>45441</v>
      </c>
      <c r="G196">
        <v>3</v>
      </c>
      <c r="H196">
        <v>5457.45</v>
      </c>
      <c r="I196">
        <v>15</v>
      </c>
      <c r="J196" t="s">
        <v>45</v>
      </c>
      <c r="K196">
        <v>2455.85</v>
      </c>
      <c r="L196">
        <v>16372.35</v>
      </c>
      <c r="M196">
        <v>13916.5</v>
      </c>
      <c r="N196" t="s">
        <v>101</v>
      </c>
      <c r="O196">
        <v>2024</v>
      </c>
    </row>
    <row r="197" spans="1:15" x14ac:dyDescent="0.3">
      <c r="A197" t="s">
        <v>282</v>
      </c>
      <c r="B197" t="s">
        <v>89</v>
      </c>
      <c r="C197" t="s">
        <v>34</v>
      </c>
      <c r="D197" t="s">
        <v>35</v>
      </c>
      <c r="E197" t="s">
        <v>81</v>
      </c>
      <c r="F197" s="1">
        <v>45373</v>
      </c>
      <c r="G197">
        <v>1</v>
      </c>
      <c r="H197">
        <v>24099.52</v>
      </c>
      <c r="I197">
        <v>5</v>
      </c>
      <c r="J197" t="s">
        <v>26</v>
      </c>
      <c r="K197">
        <v>1204.98</v>
      </c>
      <c r="L197">
        <v>24099.52</v>
      </c>
      <c r="M197">
        <v>22894.54</v>
      </c>
      <c r="N197" t="s">
        <v>83</v>
      </c>
      <c r="O197">
        <v>2024</v>
      </c>
    </row>
    <row r="198" spans="1:15" x14ac:dyDescent="0.3">
      <c r="A198" t="s">
        <v>283</v>
      </c>
      <c r="B198" t="s">
        <v>65</v>
      </c>
      <c r="C198" t="s">
        <v>54</v>
      </c>
      <c r="D198" t="s">
        <v>77</v>
      </c>
      <c r="E198" t="s">
        <v>56</v>
      </c>
      <c r="F198" s="1">
        <v>45587</v>
      </c>
      <c r="G198">
        <v>4</v>
      </c>
      <c r="H198">
        <v>5364.08</v>
      </c>
      <c r="I198">
        <v>0</v>
      </c>
      <c r="J198" t="s">
        <v>82</v>
      </c>
      <c r="K198">
        <v>0</v>
      </c>
      <c r="L198">
        <v>21456.32</v>
      </c>
      <c r="M198">
        <v>21456.32</v>
      </c>
      <c r="N198" t="s">
        <v>57</v>
      </c>
      <c r="O198">
        <v>2024</v>
      </c>
    </row>
    <row r="199" spans="1:15" x14ac:dyDescent="0.3">
      <c r="A199" t="s">
        <v>284</v>
      </c>
      <c r="B199" t="s">
        <v>61</v>
      </c>
      <c r="C199" t="s">
        <v>34</v>
      </c>
      <c r="D199" t="s">
        <v>35</v>
      </c>
      <c r="E199" t="s">
        <v>44</v>
      </c>
      <c r="F199" s="1">
        <v>45356</v>
      </c>
      <c r="G199">
        <v>2</v>
      </c>
      <c r="H199">
        <v>27729.3</v>
      </c>
      <c r="I199">
        <v>15</v>
      </c>
      <c r="J199" t="s">
        <v>71</v>
      </c>
      <c r="K199">
        <v>8318.7900000000009</v>
      </c>
      <c r="L199">
        <v>55458.6</v>
      </c>
      <c r="M199">
        <v>47139.81</v>
      </c>
      <c r="N199" t="s">
        <v>83</v>
      </c>
      <c r="O199">
        <v>2024</v>
      </c>
    </row>
    <row r="200" spans="1:15" x14ac:dyDescent="0.3">
      <c r="A200" t="s">
        <v>285</v>
      </c>
      <c r="B200" t="s">
        <v>109</v>
      </c>
      <c r="C200" t="s">
        <v>54</v>
      </c>
      <c r="D200" t="s">
        <v>77</v>
      </c>
      <c r="E200" t="s">
        <v>30</v>
      </c>
      <c r="F200" s="1">
        <v>45439</v>
      </c>
      <c r="G200">
        <v>5</v>
      </c>
      <c r="H200">
        <v>5036.55</v>
      </c>
      <c r="I200">
        <v>20</v>
      </c>
      <c r="J200" t="s">
        <v>20</v>
      </c>
      <c r="K200">
        <v>5036.55</v>
      </c>
      <c r="L200">
        <v>25182.75</v>
      </c>
      <c r="M200">
        <v>20146.2</v>
      </c>
      <c r="N200" t="s">
        <v>101</v>
      </c>
      <c r="O200">
        <v>2024</v>
      </c>
    </row>
    <row r="201" spans="1:15" x14ac:dyDescent="0.3">
      <c r="A201" t="s">
        <v>286</v>
      </c>
      <c r="B201" t="s">
        <v>93</v>
      </c>
      <c r="C201" t="s">
        <v>62</v>
      </c>
      <c r="D201" t="s">
        <v>63</v>
      </c>
      <c r="E201" t="s">
        <v>56</v>
      </c>
      <c r="F201" s="1">
        <v>45972</v>
      </c>
      <c r="G201">
        <v>2</v>
      </c>
      <c r="H201">
        <v>2041.12</v>
      </c>
      <c r="I201">
        <v>10</v>
      </c>
      <c r="J201" t="s">
        <v>36</v>
      </c>
      <c r="K201">
        <v>408.22</v>
      </c>
      <c r="L201">
        <v>4082.24</v>
      </c>
      <c r="M201">
        <v>3674.02</v>
      </c>
      <c r="N201" t="s">
        <v>96</v>
      </c>
      <c r="O201">
        <v>2025</v>
      </c>
    </row>
    <row r="202" spans="1:15" x14ac:dyDescent="0.3">
      <c r="A202" t="s">
        <v>287</v>
      </c>
      <c r="B202" t="s">
        <v>65</v>
      </c>
      <c r="C202" t="s">
        <v>17</v>
      </c>
      <c r="D202" t="s">
        <v>24</v>
      </c>
      <c r="E202" t="s">
        <v>81</v>
      </c>
      <c r="F202" s="1">
        <v>45691</v>
      </c>
      <c r="G202">
        <v>8</v>
      </c>
      <c r="H202">
        <v>2732.65</v>
      </c>
      <c r="I202">
        <v>15</v>
      </c>
      <c r="J202" t="s">
        <v>26</v>
      </c>
      <c r="K202">
        <v>3279.18</v>
      </c>
      <c r="L202">
        <v>21861.200000000001</v>
      </c>
      <c r="M202">
        <v>18582.02</v>
      </c>
      <c r="N202" t="s">
        <v>41</v>
      </c>
      <c r="O202">
        <v>2025</v>
      </c>
    </row>
    <row r="203" spans="1:15" x14ac:dyDescent="0.3">
      <c r="A203" t="s">
        <v>288</v>
      </c>
      <c r="B203" t="s">
        <v>16</v>
      </c>
      <c r="C203" t="s">
        <v>62</v>
      </c>
      <c r="D203" t="s">
        <v>119</v>
      </c>
      <c r="E203" t="s">
        <v>25</v>
      </c>
      <c r="F203" s="1">
        <v>45361</v>
      </c>
      <c r="G203">
        <v>6</v>
      </c>
      <c r="H203">
        <v>3360.99</v>
      </c>
      <c r="I203">
        <v>0</v>
      </c>
      <c r="J203" t="s">
        <v>45</v>
      </c>
      <c r="K203">
        <v>0</v>
      </c>
      <c r="L203">
        <v>20165.939999999999</v>
      </c>
      <c r="M203">
        <v>20165.939999999999</v>
      </c>
      <c r="N203" t="s">
        <v>83</v>
      </c>
      <c r="O203">
        <v>2024</v>
      </c>
    </row>
    <row r="204" spans="1:15" x14ac:dyDescent="0.3">
      <c r="A204" t="s">
        <v>289</v>
      </c>
      <c r="B204" t="s">
        <v>53</v>
      </c>
      <c r="C204" t="s">
        <v>54</v>
      </c>
      <c r="D204" t="s">
        <v>137</v>
      </c>
      <c r="E204" t="s">
        <v>25</v>
      </c>
      <c r="F204" s="1">
        <v>45851</v>
      </c>
      <c r="G204">
        <v>6</v>
      </c>
      <c r="H204">
        <v>993.04</v>
      </c>
      <c r="I204">
        <v>5</v>
      </c>
      <c r="J204" t="s">
        <v>45</v>
      </c>
      <c r="K204">
        <v>297.91000000000003</v>
      </c>
      <c r="L204">
        <v>5958.24</v>
      </c>
      <c r="M204">
        <v>5660.33</v>
      </c>
      <c r="N204" t="s">
        <v>122</v>
      </c>
      <c r="O204">
        <v>2025</v>
      </c>
    </row>
    <row r="205" spans="1:15" x14ac:dyDescent="0.3">
      <c r="A205" t="s">
        <v>290</v>
      </c>
      <c r="B205" t="s">
        <v>61</v>
      </c>
      <c r="C205" t="s">
        <v>90</v>
      </c>
      <c r="D205" t="s">
        <v>152</v>
      </c>
      <c r="E205" t="s">
        <v>50</v>
      </c>
      <c r="F205" s="1">
        <v>45356</v>
      </c>
      <c r="G205">
        <v>8</v>
      </c>
      <c r="H205">
        <v>9092.4599999999991</v>
      </c>
      <c r="I205">
        <v>5</v>
      </c>
      <c r="J205" t="s">
        <v>36</v>
      </c>
      <c r="K205">
        <v>3636.98</v>
      </c>
      <c r="L205">
        <v>72739.679999999993</v>
      </c>
      <c r="M205">
        <v>69102.7</v>
      </c>
      <c r="N205" t="s">
        <v>83</v>
      </c>
      <c r="O205">
        <v>2024</v>
      </c>
    </row>
    <row r="206" spans="1:15" x14ac:dyDescent="0.3">
      <c r="A206" t="s">
        <v>291</v>
      </c>
      <c r="B206" t="s">
        <v>114</v>
      </c>
      <c r="C206" t="s">
        <v>17</v>
      </c>
      <c r="D206" t="s">
        <v>59</v>
      </c>
      <c r="E206" t="s">
        <v>25</v>
      </c>
      <c r="F206" s="1">
        <v>45609</v>
      </c>
      <c r="G206">
        <v>9</v>
      </c>
      <c r="H206">
        <v>27487.79</v>
      </c>
      <c r="I206">
        <v>20</v>
      </c>
      <c r="J206" t="s">
        <v>45</v>
      </c>
      <c r="K206">
        <v>49478.02</v>
      </c>
      <c r="L206">
        <v>247390.11</v>
      </c>
      <c r="M206">
        <v>197912.09</v>
      </c>
      <c r="N206" t="s">
        <v>96</v>
      </c>
      <c r="O206">
        <v>2024</v>
      </c>
    </row>
    <row r="207" spans="1:15" x14ac:dyDescent="0.3">
      <c r="A207" t="s">
        <v>292</v>
      </c>
      <c r="B207" t="s">
        <v>109</v>
      </c>
      <c r="C207" t="s">
        <v>90</v>
      </c>
      <c r="D207" t="s">
        <v>115</v>
      </c>
      <c r="E207" t="s">
        <v>44</v>
      </c>
      <c r="F207" s="1">
        <v>45584</v>
      </c>
      <c r="G207">
        <v>6</v>
      </c>
      <c r="H207">
        <v>9816.7000000000007</v>
      </c>
      <c r="I207">
        <v>0</v>
      </c>
      <c r="J207" t="s">
        <v>20</v>
      </c>
      <c r="K207">
        <v>0</v>
      </c>
      <c r="L207">
        <v>58900.2</v>
      </c>
      <c r="M207">
        <v>58900.2</v>
      </c>
      <c r="N207" t="s">
        <v>57</v>
      </c>
      <c r="O207">
        <v>2024</v>
      </c>
    </row>
    <row r="208" spans="1:15" x14ac:dyDescent="0.3">
      <c r="A208" t="s">
        <v>293</v>
      </c>
      <c r="B208" t="s">
        <v>47</v>
      </c>
      <c r="C208" t="s">
        <v>62</v>
      </c>
      <c r="D208" t="s">
        <v>119</v>
      </c>
      <c r="E208" t="s">
        <v>44</v>
      </c>
      <c r="F208" s="1">
        <v>45739</v>
      </c>
      <c r="G208">
        <v>7</v>
      </c>
      <c r="H208">
        <v>3800.39</v>
      </c>
      <c r="I208">
        <v>15</v>
      </c>
      <c r="J208" t="s">
        <v>45</v>
      </c>
      <c r="K208">
        <v>3990.41</v>
      </c>
      <c r="L208">
        <v>26602.73</v>
      </c>
      <c r="M208">
        <v>22612.32</v>
      </c>
      <c r="N208" t="s">
        <v>83</v>
      </c>
      <c r="O208">
        <v>2025</v>
      </c>
    </row>
    <row r="209" spans="1:15" x14ac:dyDescent="0.3">
      <c r="A209" t="s">
        <v>294</v>
      </c>
      <c r="B209" t="s">
        <v>89</v>
      </c>
      <c r="C209" t="s">
        <v>62</v>
      </c>
      <c r="D209" t="s">
        <v>63</v>
      </c>
      <c r="E209" t="s">
        <v>30</v>
      </c>
      <c r="F209" s="1">
        <v>45668</v>
      </c>
      <c r="G209">
        <v>9</v>
      </c>
      <c r="H209">
        <v>1740.02</v>
      </c>
      <c r="I209">
        <v>0</v>
      </c>
      <c r="J209" t="s">
        <v>71</v>
      </c>
      <c r="K209">
        <v>0</v>
      </c>
      <c r="L209">
        <v>15660.18</v>
      </c>
      <c r="M209">
        <v>15660.18</v>
      </c>
      <c r="N209" t="s">
        <v>116</v>
      </c>
      <c r="O209">
        <v>2025</v>
      </c>
    </row>
    <row r="210" spans="1:15" x14ac:dyDescent="0.3">
      <c r="A210" t="s">
        <v>295</v>
      </c>
      <c r="B210" t="s">
        <v>23</v>
      </c>
      <c r="C210" t="s">
        <v>90</v>
      </c>
      <c r="D210" t="s">
        <v>105</v>
      </c>
      <c r="E210" t="s">
        <v>81</v>
      </c>
      <c r="F210" s="1">
        <v>45850</v>
      </c>
      <c r="G210">
        <v>5</v>
      </c>
      <c r="H210">
        <v>3431.06</v>
      </c>
      <c r="I210">
        <v>0</v>
      </c>
      <c r="J210" t="s">
        <v>36</v>
      </c>
      <c r="K210">
        <v>0</v>
      </c>
      <c r="L210">
        <v>17155.3</v>
      </c>
      <c r="M210">
        <v>17155.3</v>
      </c>
      <c r="N210" t="s">
        <v>122</v>
      </c>
      <c r="O210">
        <v>2025</v>
      </c>
    </row>
    <row r="211" spans="1:15" x14ac:dyDescent="0.3">
      <c r="A211" t="s">
        <v>296</v>
      </c>
      <c r="B211" t="s">
        <v>43</v>
      </c>
      <c r="C211" t="s">
        <v>62</v>
      </c>
      <c r="D211" t="s">
        <v>119</v>
      </c>
      <c r="E211" t="s">
        <v>56</v>
      </c>
      <c r="F211" s="1">
        <v>45462</v>
      </c>
      <c r="G211">
        <v>8</v>
      </c>
      <c r="H211">
        <v>3457.6</v>
      </c>
      <c r="I211">
        <v>0</v>
      </c>
      <c r="J211" t="s">
        <v>31</v>
      </c>
      <c r="K211">
        <v>0</v>
      </c>
      <c r="L211">
        <v>27660.799999999999</v>
      </c>
      <c r="M211">
        <v>27660.799999999999</v>
      </c>
      <c r="N211" t="s">
        <v>72</v>
      </c>
      <c r="O211">
        <v>2024</v>
      </c>
    </row>
    <row r="212" spans="1:15" x14ac:dyDescent="0.3">
      <c r="A212" t="s">
        <v>297</v>
      </c>
      <c r="B212" t="s">
        <v>23</v>
      </c>
      <c r="C212" t="s">
        <v>62</v>
      </c>
      <c r="D212" t="s">
        <v>132</v>
      </c>
      <c r="E212" t="s">
        <v>19</v>
      </c>
      <c r="F212" s="1">
        <v>45368</v>
      </c>
      <c r="G212">
        <v>7</v>
      </c>
      <c r="H212">
        <v>2477.0700000000002</v>
      </c>
      <c r="I212">
        <v>5</v>
      </c>
      <c r="J212" t="s">
        <v>26</v>
      </c>
      <c r="K212">
        <v>866.97</v>
      </c>
      <c r="L212">
        <v>17339.490000000002</v>
      </c>
      <c r="M212">
        <v>16472.52</v>
      </c>
      <c r="N212" t="s">
        <v>83</v>
      </c>
      <c r="O212">
        <v>2024</v>
      </c>
    </row>
    <row r="213" spans="1:15" x14ac:dyDescent="0.3">
      <c r="A213" t="s">
        <v>298</v>
      </c>
      <c r="B213" t="s">
        <v>38</v>
      </c>
      <c r="C213" t="s">
        <v>17</v>
      </c>
      <c r="D213" t="s">
        <v>59</v>
      </c>
      <c r="E213" t="s">
        <v>81</v>
      </c>
      <c r="F213" s="1">
        <v>45327</v>
      </c>
      <c r="G213">
        <v>3</v>
      </c>
      <c r="H213">
        <v>22920.21</v>
      </c>
      <c r="I213">
        <v>10</v>
      </c>
      <c r="J213" t="s">
        <v>71</v>
      </c>
      <c r="K213">
        <v>6876.06</v>
      </c>
      <c r="L213">
        <v>68760.63</v>
      </c>
      <c r="M213">
        <v>61884.57</v>
      </c>
      <c r="N213" t="s">
        <v>41</v>
      </c>
      <c r="O213">
        <v>2024</v>
      </c>
    </row>
    <row r="214" spans="1:15" x14ac:dyDescent="0.3">
      <c r="A214" t="s">
        <v>299</v>
      </c>
      <c r="B214" t="s">
        <v>93</v>
      </c>
      <c r="C214" t="s">
        <v>62</v>
      </c>
      <c r="D214" t="s">
        <v>99</v>
      </c>
      <c r="E214" t="s">
        <v>25</v>
      </c>
      <c r="F214" s="1">
        <v>45987</v>
      </c>
      <c r="G214">
        <v>8</v>
      </c>
      <c r="H214">
        <v>1876.39</v>
      </c>
      <c r="I214">
        <v>10</v>
      </c>
      <c r="J214" t="s">
        <v>36</v>
      </c>
      <c r="K214">
        <v>1501.11</v>
      </c>
      <c r="L214">
        <v>15011.12</v>
      </c>
      <c r="M214">
        <v>13510.01</v>
      </c>
      <c r="N214" t="s">
        <v>96</v>
      </c>
      <c r="O214">
        <v>2025</v>
      </c>
    </row>
    <row r="215" spans="1:15" x14ac:dyDescent="0.3">
      <c r="A215" t="s">
        <v>300</v>
      </c>
      <c r="B215" t="s">
        <v>93</v>
      </c>
      <c r="C215" t="s">
        <v>90</v>
      </c>
      <c r="D215" t="s">
        <v>105</v>
      </c>
      <c r="E215" t="s">
        <v>50</v>
      </c>
      <c r="F215" s="1">
        <v>45699</v>
      </c>
      <c r="G215">
        <v>6</v>
      </c>
      <c r="H215">
        <v>3718.37</v>
      </c>
      <c r="I215">
        <v>5</v>
      </c>
      <c r="J215" t="s">
        <v>45</v>
      </c>
      <c r="K215">
        <v>1115.51</v>
      </c>
      <c r="L215">
        <v>22310.22</v>
      </c>
      <c r="M215">
        <v>21194.71</v>
      </c>
      <c r="N215" t="s">
        <v>41</v>
      </c>
      <c r="O215">
        <v>2025</v>
      </c>
    </row>
    <row r="216" spans="1:15" x14ac:dyDescent="0.3">
      <c r="A216" t="s">
        <v>301</v>
      </c>
      <c r="B216" t="s">
        <v>16</v>
      </c>
      <c r="C216" t="s">
        <v>17</v>
      </c>
      <c r="D216" t="s">
        <v>18</v>
      </c>
      <c r="E216" t="s">
        <v>50</v>
      </c>
      <c r="F216" s="1">
        <v>45822</v>
      </c>
      <c r="G216">
        <v>7</v>
      </c>
      <c r="H216">
        <v>73345.070000000007</v>
      </c>
      <c r="I216">
        <v>0</v>
      </c>
      <c r="J216" t="s">
        <v>71</v>
      </c>
      <c r="K216">
        <v>0</v>
      </c>
      <c r="L216">
        <v>513415.49</v>
      </c>
      <c r="M216">
        <v>513415.49</v>
      </c>
      <c r="N216" t="s">
        <v>72</v>
      </c>
      <c r="O216">
        <v>2025</v>
      </c>
    </row>
    <row r="217" spans="1:15" x14ac:dyDescent="0.3">
      <c r="A217" t="s">
        <v>302</v>
      </c>
      <c r="B217" t="s">
        <v>16</v>
      </c>
      <c r="C217" t="s">
        <v>62</v>
      </c>
      <c r="D217" t="s">
        <v>119</v>
      </c>
      <c r="E217" t="s">
        <v>56</v>
      </c>
      <c r="F217" s="1">
        <v>45918</v>
      </c>
      <c r="G217">
        <v>5</v>
      </c>
      <c r="H217">
        <v>3757.23</v>
      </c>
      <c r="I217">
        <v>15</v>
      </c>
      <c r="J217" t="s">
        <v>20</v>
      </c>
      <c r="K217">
        <v>2817.92</v>
      </c>
      <c r="L217">
        <v>18786.150000000001</v>
      </c>
      <c r="M217">
        <v>15968.23</v>
      </c>
      <c r="N217" t="s">
        <v>86</v>
      </c>
      <c r="O217">
        <v>2025</v>
      </c>
    </row>
    <row r="218" spans="1:15" x14ac:dyDescent="0.3">
      <c r="A218" t="s">
        <v>303</v>
      </c>
      <c r="B218" t="s">
        <v>53</v>
      </c>
      <c r="C218" t="s">
        <v>34</v>
      </c>
      <c r="D218" t="s">
        <v>80</v>
      </c>
      <c r="E218" t="s">
        <v>44</v>
      </c>
      <c r="F218" s="1">
        <v>45754</v>
      </c>
      <c r="G218">
        <v>3</v>
      </c>
      <c r="H218">
        <v>6748.02</v>
      </c>
      <c r="I218">
        <v>15</v>
      </c>
      <c r="J218" t="s">
        <v>82</v>
      </c>
      <c r="K218">
        <v>3036.61</v>
      </c>
      <c r="L218">
        <v>20244.060000000001</v>
      </c>
      <c r="M218">
        <v>17207.45</v>
      </c>
      <c r="N218" t="s">
        <v>27</v>
      </c>
      <c r="O218">
        <v>2025</v>
      </c>
    </row>
    <row r="219" spans="1:15" x14ac:dyDescent="0.3">
      <c r="A219" t="s">
        <v>304</v>
      </c>
      <c r="B219" t="s">
        <v>61</v>
      </c>
      <c r="C219" t="s">
        <v>17</v>
      </c>
      <c r="D219" t="s">
        <v>39</v>
      </c>
      <c r="E219" t="s">
        <v>19</v>
      </c>
      <c r="F219" s="1">
        <v>45855</v>
      </c>
      <c r="G219">
        <v>9</v>
      </c>
      <c r="H219">
        <v>17506.63</v>
      </c>
      <c r="I219">
        <v>10</v>
      </c>
      <c r="J219" t="s">
        <v>82</v>
      </c>
      <c r="K219">
        <v>15755.97</v>
      </c>
      <c r="L219">
        <v>157559.67000000001</v>
      </c>
      <c r="M219">
        <v>141803.70000000001</v>
      </c>
      <c r="N219" t="s">
        <v>122</v>
      </c>
      <c r="O219">
        <v>2025</v>
      </c>
    </row>
    <row r="220" spans="1:15" x14ac:dyDescent="0.3">
      <c r="A220" t="s">
        <v>305</v>
      </c>
      <c r="B220" t="s">
        <v>74</v>
      </c>
      <c r="C220" t="s">
        <v>34</v>
      </c>
      <c r="D220" t="s">
        <v>85</v>
      </c>
      <c r="E220" t="s">
        <v>19</v>
      </c>
      <c r="F220" s="1">
        <v>45416</v>
      </c>
      <c r="G220">
        <v>4</v>
      </c>
      <c r="H220">
        <v>13176.2</v>
      </c>
      <c r="I220">
        <v>5</v>
      </c>
      <c r="J220" t="s">
        <v>20</v>
      </c>
      <c r="K220">
        <v>2635.24</v>
      </c>
      <c r="L220">
        <v>52704.800000000003</v>
      </c>
      <c r="M220">
        <v>50069.56</v>
      </c>
      <c r="N220" t="s">
        <v>101</v>
      </c>
      <c r="O220">
        <v>2024</v>
      </c>
    </row>
    <row r="221" spans="1:15" x14ac:dyDescent="0.3">
      <c r="A221" t="s">
        <v>306</v>
      </c>
      <c r="B221" t="s">
        <v>33</v>
      </c>
      <c r="C221" t="s">
        <v>90</v>
      </c>
      <c r="D221" t="s">
        <v>105</v>
      </c>
      <c r="E221" t="s">
        <v>81</v>
      </c>
      <c r="F221" s="1">
        <v>45770</v>
      </c>
      <c r="G221">
        <v>9</v>
      </c>
      <c r="H221">
        <v>3263.55</v>
      </c>
      <c r="I221">
        <v>0</v>
      </c>
      <c r="J221" t="s">
        <v>45</v>
      </c>
      <c r="K221">
        <v>0</v>
      </c>
      <c r="L221">
        <v>29371.95</v>
      </c>
      <c r="M221">
        <v>29371.95</v>
      </c>
      <c r="N221" t="s">
        <v>27</v>
      </c>
      <c r="O221">
        <v>2025</v>
      </c>
    </row>
    <row r="222" spans="1:15" x14ac:dyDescent="0.3">
      <c r="A222" t="s">
        <v>307</v>
      </c>
      <c r="B222" t="s">
        <v>23</v>
      </c>
      <c r="C222" t="s">
        <v>17</v>
      </c>
      <c r="D222" t="s">
        <v>39</v>
      </c>
      <c r="E222" t="s">
        <v>30</v>
      </c>
      <c r="F222" s="1">
        <v>45830</v>
      </c>
      <c r="G222">
        <v>7</v>
      </c>
      <c r="H222">
        <v>19661.240000000002</v>
      </c>
      <c r="I222">
        <v>20</v>
      </c>
      <c r="J222" t="s">
        <v>71</v>
      </c>
      <c r="K222">
        <v>27525.74</v>
      </c>
      <c r="L222">
        <v>137628.68</v>
      </c>
      <c r="M222">
        <v>110102.94</v>
      </c>
      <c r="N222" t="s">
        <v>72</v>
      </c>
      <c r="O222">
        <v>2025</v>
      </c>
    </row>
    <row r="223" spans="1:15" x14ac:dyDescent="0.3">
      <c r="A223" t="s">
        <v>308</v>
      </c>
      <c r="B223" t="s">
        <v>33</v>
      </c>
      <c r="C223" t="s">
        <v>17</v>
      </c>
      <c r="D223" t="s">
        <v>59</v>
      </c>
      <c r="E223" t="s">
        <v>30</v>
      </c>
      <c r="F223" s="1">
        <v>45752</v>
      </c>
      <c r="G223">
        <v>8</v>
      </c>
      <c r="H223">
        <v>26750.68</v>
      </c>
      <c r="I223">
        <v>10</v>
      </c>
      <c r="J223" t="s">
        <v>82</v>
      </c>
      <c r="K223">
        <v>21400.54</v>
      </c>
      <c r="L223">
        <v>214005.44</v>
      </c>
      <c r="M223">
        <v>192604.9</v>
      </c>
      <c r="N223" t="s">
        <v>27</v>
      </c>
      <c r="O223">
        <v>2025</v>
      </c>
    </row>
    <row r="224" spans="1:15" x14ac:dyDescent="0.3">
      <c r="A224" t="s">
        <v>309</v>
      </c>
      <c r="B224" t="s">
        <v>61</v>
      </c>
      <c r="C224" t="s">
        <v>34</v>
      </c>
      <c r="D224" t="s">
        <v>66</v>
      </c>
      <c r="E224" t="s">
        <v>81</v>
      </c>
      <c r="F224" s="1">
        <v>45424</v>
      </c>
      <c r="G224">
        <v>7</v>
      </c>
      <c r="H224">
        <v>41028.639999999999</v>
      </c>
      <c r="I224">
        <v>0</v>
      </c>
      <c r="J224" t="s">
        <v>36</v>
      </c>
      <c r="K224">
        <v>0</v>
      </c>
      <c r="L224">
        <v>287200.48</v>
      </c>
      <c r="M224">
        <v>287200.48</v>
      </c>
      <c r="N224" t="s">
        <v>101</v>
      </c>
      <c r="O224">
        <v>2024</v>
      </c>
    </row>
    <row r="225" spans="1:15" x14ac:dyDescent="0.3">
      <c r="A225" t="s">
        <v>310</v>
      </c>
      <c r="B225" t="s">
        <v>53</v>
      </c>
      <c r="C225" t="s">
        <v>17</v>
      </c>
      <c r="D225" t="s">
        <v>24</v>
      </c>
      <c r="E225" t="s">
        <v>19</v>
      </c>
      <c r="F225" s="1">
        <v>45457</v>
      </c>
      <c r="G225">
        <v>6</v>
      </c>
      <c r="H225">
        <v>3401.05</v>
      </c>
      <c r="I225">
        <v>5</v>
      </c>
      <c r="J225" t="s">
        <v>36</v>
      </c>
      <c r="K225">
        <v>1020.32</v>
      </c>
      <c r="L225">
        <v>20406.3</v>
      </c>
      <c r="M225">
        <v>19385.98</v>
      </c>
      <c r="N225" t="s">
        <v>72</v>
      </c>
      <c r="O225">
        <v>2024</v>
      </c>
    </row>
    <row r="226" spans="1:15" x14ac:dyDescent="0.3">
      <c r="A226" t="s">
        <v>311</v>
      </c>
      <c r="B226" t="s">
        <v>114</v>
      </c>
      <c r="C226" t="s">
        <v>62</v>
      </c>
      <c r="D226" t="s">
        <v>132</v>
      </c>
      <c r="E226" t="s">
        <v>19</v>
      </c>
      <c r="F226" s="1">
        <v>45548</v>
      </c>
      <c r="G226">
        <v>4</v>
      </c>
      <c r="H226">
        <v>2646.91</v>
      </c>
      <c r="I226">
        <v>20</v>
      </c>
      <c r="J226" t="s">
        <v>82</v>
      </c>
      <c r="K226">
        <v>2117.5300000000002</v>
      </c>
      <c r="L226">
        <v>10587.64</v>
      </c>
      <c r="M226">
        <v>8470.11</v>
      </c>
      <c r="N226" t="s">
        <v>86</v>
      </c>
      <c r="O226">
        <v>2024</v>
      </c>
    </row>
    <row r="227" spans="1:15" x14ac:dyDescent="0.3">
      <c r="A227" t="s">
        <v>312</v>
      </c>
      <c r="B227" t="s">
        <v>61</v>
      </c>
      <c r="C227" t="s">
        <v>62</v>
      </c>
      <c r="D227" t="s">
        <v>63</v>
      </c>
      <c r="E227" t="s">
        <v>19</v>
      </c>
      <c r="F227" s="1">
        <v>45806</v>
      </c>
      <c r="G227">
        <v>3</v>
      </c>
      <c r="H227">
        <v>1886.31</v>
      </c>
      <c r="I227">
        <v>20</v>
      </c>
      <c r="J227" t="s">
        <v>82</v>
      </c>
      <c r="K227">
        <v>1131.79</v>
      </c>
      <c r="L227">
        <v>5658.93</v>
      </c>
      <c r="M227">
        <v>4527.1400000000003</v>
      </c>
      <c r="N227" t="s">
        <v>101</v>
      </c>
      <c r="O227">
        <v>2025</v>
      </c>
    </row>
    <row r="228" spans="1:15" x14ac:dyDescent="0.3">
      <c r="A228" t="s">
        <v>313</v>
      </c>
      <c r="B228" t="s">
        <v>61</v>
      </c>
      <c r="C228" t="s">
        <v>34</v>
      </c>
      <c r="D228" t="s">
        <v>85</v>
      </c>
      <c r="E228" t="s">
        <v>81</v>
      </c>
      <c r="F228" s="1">
        <v>45869</v>
      </c>
      <c r="G228">
        <v>1</v>
      </c>
      <c r="H228">
        <v>13275.71</v>
      </c>
      <c r="I228">
        <v>0</v>
      </c>
      <c r="J228" t="s">
        <v>45</v>
      </c>
      <c r="K228">
        <v>0</v>
      </c>
      <c r="L228">
        <v>13275.71</v>
      </c>
      <c r="M228">
        <v>13275.71</v>
      </c>
      <c r="N228" t="s">
        <v>122</v>
      </c>
      <c r="O228">
        <v>2025</v>
      </c>
    </row>
    <row r="229" spans="1:15" x14ac:dyDescent="0.3">
      <c r="A229" t="s">
        <v>314</v>
      </c>
      <c r="B229" t="s">
        <v>61</v>
      </c>
      <c r="C229" t="s">
        <v>17</v>
      </c>
      <c r="D229" t="s">
        <v>18</v>
      </c>
      <c r="E229" t="s">
        <v>44</v>
      </c>
      <c r="F229" s="1">
        <v>45958</v>
      </c>
      <c r="G229">
        <v>4</v>
      </c>
      <c r="H229">
        <v>78059.39</v>
      </c>
      <c r="I229">
        <v>15</v>
      </c>
      <c r="J229" t="s">
        <v>40</v>
      </c>
      <c r="K229">
        <v>46835.63</v>
      </c>
      <c r="L229">
        <v>312237.56</v>
      </c>
      <c r="M229">
        <v>265401.93</v>
      </c>
      <c r="N229" t="s">
        <v>57</v>
      </c>
      <c r="O229">
        <v>2025</v>
      </c>
    </row>
    <row r="230" spans="1:15" x14ac:dyDescent="0.3">
      <c r="A230" t="s">
        <v>315</v>
      </c>
      <c r="B230" t="s">
        <v>89</v>
      </c>
      <c r="C230" t="s">
        <v>54</v>
      </c>
      <c r="D230" t="s">
        <v>70</v>
      </c>
      <c r="E230" t="s">
        <v>30</v>
      </c>
      <c r="F230" s="1">
        <v>45949</v>
      </c>
      <c r="G230">
        <v>5</v>
      </c>
      <c r="H230">
        <v>2807.02</v>
      </c>
      <c r="I230">
        <v>15</v>
      </c>
      <c r="J230" t="s">
        <v>40</v>
      </c>
      <c r="K230">
        <v>2105.2600000000002</v>
      </c>
      <c r="L230">
        <v>14035.1</v>
      </c>
      <c r="M230">
        <v>11929.84</v>
      </c>
      <c r="N230" t="s">
        <v>57</v>
      </c>
      <c r="O230">
        <v>2025</v>
      </c>
    </row>
    <row r="231" spans="1:15" x14ac:dyDescent="0.3">
      <c r="A231" t="s">
        <v>316</v>
      </c>
      <c r="B231" t="s">
        <v>47</v>
      </c>
      <c r="C231" t="s">
        <v>62</v>
      </c>
      <c r="D231" t="s">
        <v>99</v>
      </c>
      <c r="E231" t="s">
        <v>30</v>
      </c>
      <c r="F231" s="1">
        <v>45453</v>
      </c>
      <c r="G231">
        <v>8</v>
      </c>
      <c r="H231">
        <v>1505.86</v>
      </c>
      <c r="I231">
        <v>15</v>
      </c>
      <c r="J231" t="s">
        <v>26</v>
      </c>
      <c r="K231">
        <v>1807.03</v>
      </c>
      <c r="L231">
        <v>12046.88</v>
      </c>
      <c r="M231">
        <v>10239.85</v>
      </c>
      <c r="N231" t="s">
        <v>72</v>
      </c>
      <c r="O231">
        <v>2024</v>
      </c>
    </row>
    <row r="232" spans="1:15" x14ac:dyDescent="0.3">
      <c r="A232" t="s">
        <v>317</v>
      </c>
      <c r="B232" t="s">
        <v>93</v>
      </c>
      <c r="C232" t="s">
        <v>34</v>
      </c>
      <c r="D232" t="s">
        <v>48</v>
      </c>
      <c r="E232" t="s">
        <v>50</v>
      </c>
      <c r="F232" s="1">
        <v>45618</v>
      </c>
      <c r="G232">
        <v>6</v>
      </c>
      <c r="H232">
        <v>10065.82</v>
      </c>
      <c r="I232">
        <v>5</v>
      </c>
      <c r="J232" t="s">
        <v>45</v>
      </c>
      <c r="K232">
        <v>3019.75</v>
      </c>
      <c r="L232">
        <v>60394.92</v>
      </c>
      <c r="M232">
        <v>57375.17</v>
      </c>
      <c r="N232" t="s">
        <v>96</v>
      </c>
      <c r="O232">
        <v>2024</v>
      </c>
    </row>
    <row r="233" spans="1:15" x14ac:dyDescent="0.3">
      <c r="A233" t="s">
        <v>318</v>
      </c>
      <c r="B233" t="s">
        <v>65</v>
      </c>
      <c r="C233" t="s">
        <v>62</v>
      </c>
      <c r="D233" t="s">
        <v>132</v>
      </c>
      <c r="E233" t="s">
        <v>25</v>
      </c>
      <c r="F233" s="1">
        <v>45539</v>
      </c>
      <c r="G233">
        <v>8</v>
      </c>
      <c r="H233">
        <v>2326.58</v>
      </c>
      <c r="I233">
        <v>15</v>
      </c>
      <c r="J233" t="s">
        <v>45</v>
      </c>
      <c r="K233">
        <v>2791.9</v>
      </c>
      <c r="L233">
        <v>18612.64</v>
      </c>
      <c r="M233">
        <v>15820.74</v>
      </c>
      <c r="N233" t="s">
        <v>86</v>
      </c>
      <c r="O233">
        <v>2024</v>
      </c>
    </row>
    <row r="234" spans="1:15" x14ac:dyDescent="0.3">
      <c r="A234" t="s">
        <v>319</v>
      </c>
      <c r="B234" t="s">
        <v>47</v>
      </c>
      <c r="C234" t="s">
        <v>34</v>
      </c>
      <c r="D234" t="s">
        <v>85</v>
      </c>
      <c r="E234" t="s">
        <v>25</v>
      </c>
      <c r="F234" s="1">
        <v>45685</v>
      </c>
      <c r="G234">
        <v>10</v>
      </c>
      <c r="H234">
        <v>12054.4</v>
      </c>
      <c r="I234">
        <v>5</v>
      </c>
      <c r="J234" t="s">
        <v>40</v>
      </c>
      <c r="K234">
        <v>6027.2</v>
      </c>
      <c r="L234">
        <v>120544</v>
      </c>
      <c r="M234">
        <v>114516.8</v>
      </c>
      <c r="N234" t="s">
        <v>116</v>
      </c>
      <c r="O234">
        <v>2025</v>
      </c>
    </row>
    <row r="235" spans="1:15" x14ac:dyDescent="0.3">
      <c r="A235" t="s">
        <v>320</v>
      </c>
      <c r="B235" t="s">
        <v>16</v>
      </c>
      <c r="C235" t="s">
        <v>62</v>
      </c>
      <c r="D235" t="s">
        <v>132</v>
      </c>
      <c r="E235" t="s">
        <v>19</v>
      </c>
      <c r="F235" s="1">
        <v>45455</v>
      </c>
      <c r="G235">
        <v>8</v>
      </c>
      <c r="H235">
        <v>2872.48</v>
      </c>
      <c r="I235">
        <v>15</v>
      </c>
      <c r="J235" t="s">
        <v>20</v>
      </c>
      <c r="K235">
        <v>3446.98</v>
      </c>
      <c r="L235">
        <v>22979.84</v>
      </c>
      <c r="M235">
        <v>19532.86</v>
      </c>
      <c r="N235" t="s">
        <v>72</v>
      </c>
      <c r="O235">
        <v>2024</v>
      </c>
    </row>
    <row r="236" spans="1:15" x14ac:dyDescent="0.3">
      <c r="A236" t="s">
        <v>321</v>
      </c>
      <c r="B236" t="s">
        <v>89</v>
      </c>
      <c r="C236" t="s">
        <v>90</v>
      </c>
      <c r="D236" t="s">
        <v>115</v>
      </c>
      <c r="E236" t="s">
        <v>25</v>
      </c>
      <c r="F236" s="1">
        <v>45694</v>
      </c>
      <c r="G236">
        <v>9</v>
      </c>
      <c r="H236">
        <v>8114.46</v>
      </c>
      <c r="I236">
        <v>5</v>
      </c>
      <c r="J236" t="s">
        <v>82</v>
      </c>
      <c r="K236">
        <v>3651.51</v>
      </c>
      <c r="L236">
        <v>73030.14</v>
      </c>
      <c r="M236">
        <v>69378.63</v>
      </c>
      <c r="N236" t="s">
        <v>41</v>
      </c>
      <c r="O236">
        <v>2025</v>
      </c>
    </row>
    <row r="237" spans="1:15" x14ac:dyDescent="0.3">
      <c r="A237" t="s">
        <v>322</v>
      </c>
      <c r="B237" t="s">
        <v>33</v>
      </c>
      <c r="C237" t="s">
        <v>34</v>
      </c>
      <c r="D237" t="s">
        <v>66</v>
      </c>
      <c r="E237" t="s">
        <v>25</v>
      </c>
      <c r="F237" s="1">
        <v>45580</v>
      </c>
      <c r="G237">
        <v>8</v>
      </c>
      <c r="H237">
        <v>46172.71</v>
      </c>
      <c r="I237">
        <v>15</v>
      </c>
      <c r="J237" t="s">
        <v>26</v>
      </c>
      <c r="K237">
        <v>55407.25</v>
      </c>
      <c r="L237">
        <v>369381.68</v>
      </c>
      <c r="M237">
        <v>313974.43</v>
      </c>
      <c r="N237" t="s">
        <v>57</v>
      </c>
      <c r="O237">
        <v>2024</v>
      </c>
    </row>
    <row r="238" spans="1:15" x14ac:dyDescent="0.3">
      <c r="A238" t="s">
        <v>323</v>
      </c>
      <c r="B238" t="s">
        <v>109</v>
      </c>
      <c r="C238" t="s">
        <v>62</v>
      </c>
      <c r="D238" t="s">
        <v>132</v>
      </c>
      <c r="E238" t="s">
        <v>44</v>
      </c>
      <c r="F238" s="1">
        <v>45733</v>
      </c>
      <c r="G238">
        <v>3</v>
      </c>
      <c r="H238">
        <v>2801.53</v>
      </c>
      <c r="I238">
        <v>10</v>
      </c>
      <c r="J238" t="s">
        <v>82</v>
      </c>
      <c r="K238">
        <v>840.46</v>
      </c>
      <c r="L238">
        <v>8404.59</v>
      </c>
      <c r="M238">
        <v>7564.13</v>
      </c>
      <c r="N238" t="s">
        <v>83</v>
      </c>
      <c r="O238">
        <v>2025</v>
      </c>
    </row>
    <row r="239" spans="1:15" x14ac:dyDescent="0.3">
      <c r="A239" t="s">
        <v>324</v>
      </c>
      <c r="B239" t="s">
        <v>109</v>
      </c>
      <c r="C239" t="s">
        <v>90</v>
      </c>
      <c r="D239" t="s">
        <v>115</v>
      </c>
      <c r="E239" t="s">
        <v>56</v>
      </c>
      <c r="F239" s="1">
        <v>45875</v>
      </c>
      <c r="G239">
        <v>9</v>
      </c>
      <c r="H239">
        <v>7589.31</v>
      </c>
      <c r="I239">
        <v>20</v>
      </c>
      <c r="J239" t="s">
        <v>26</v>
      </c>
      <c r="K239">
        <v>13660.76</v>
      </c>
      <c r="L239">
        <v>68303.789999999994</v>
      </c>
      <c r="M239">
        <v>54643.03</v>
      </c>
      <c r="N239" t="s">
        <v>21</v>
      </c>
      <c r="O239">
        <v>2025</v>
      </c>
    </row>
    <row r="240" spans="1:15" x14ac:dyDescent="0.3">
      <c r="A240" t="s">
        <v>325</v>
      </c>
      <c r="B240" t="s">
        <v>23</v>
      </c>
      <c r="C240" t="s">
        <v>62</v>
      </c>
      <c r="D240" t="s">
        <v>95</v>
      </c>
      <c r="E240" t="s">
        <v>81</v>
      </c>
      <c r="F240" s="1">
        <v>45855</v>
      </c>
      <c r="G240">
        <v>5</v>
      </c>
      <c r="H240">
        <v>885.06</v>
      </c>
      <c r="I240">
        <v>20</v>
      </c>
      <c r="J240" t="s">
        <v>71</v>
      </c>
      <c r="K240">
        <v>885.06</v>
      </c>
      <c r="L240">
        <v>4425.3</v>
      </c>
      <c r="M240">
        <v>3540.24</v>
      </c>
      <c r="N240" t="s">
        <v>122</v>
      </c>
      <c r="O240">
        <v>2025</v>
      </c>
    </row>
    <row r="241" spans="1:15" x14ac:dyDescent="0.3">
      <c r="A241" t="s">
        <v>326</v>
      </c>
      <c r="B241" t="s">
        <v>53</v>
      </c>
      <c r="C241" t="s">
        <v>54</v>
      </c>
      <c r="D241" t="s">
        <v>70</v>
      </c>
      <c r="E241" t="s">
        <v>25</v>
      </c>
      <c r="F241" s="1">
        <v>45674</v>
      </c>
      <c r="G241">
        <v>6</v>
      </c>
      <c r="H241">
        <v>2598.64</v>
      </c>
      <c r="I241">
        <v>10</v>
      </c>
      <c r="J241" t="s">
        <v>31</v>
      </c>
      <c r="K241">
        <v>1559.18</v>
      </c>
      <c r="L241">
        <v>15591.84</v>
      </c>
      <c r="M241">
        <v>14032.66</v>
      </c>
      <c r="N241" t="s">
        <v>116</v>
      </c>
      <c r="O241">
        <v>2025</v>
      </c>
    </row>
    <row r="242" spans="1:15" x14ac:dyDescent="0.3">
      <c r="A242" t="s">
        <v>327</v>
      </c>
      <c r="B242" t="s">
        <v>93</v>
      </c>
      <c r="C242" t="s">
        <v>34</v>
      </c>
      <c r="D242" t="s">
        <v>85</v>
      </c>
      <c r="E242" t="s">
        <v>81</v>
      </c>
      <c r="F242" s="1">
        <v>45804</v>
      </c>
      <c r="G242">
        <v>1</v>
      </c>
      <c r="H242">
        <v>10935.91</v>
      </c>
      <c r="I242">
        <v>5</v>
      </c>
      <c r="J242" t="s">
        <v>31</v>
      </c>
      <c r="K242">
        <v>546.79999999999995</v>
      </c>
      <c r="L242">
        <v>10935.91</v>
      </c>
      <c r="M242">
        <v>10389.11</v>
      </c>
      <c r="N242" t="s">
        <v>101</v>
      </c>
      <c r="O242">
        <v>2025</v>
      </c>
    </row>
    <row r="243" spans="1:15" x14ac:dyDescent="0.3">
      <c r="A243" t="s">
        <v>328</v>
      </c>
      <c r="B243" t="s">
        <v>65</v>
      </c>
      <c r="C243" t="s">
        <v>62</v>
      </c>
      <c r="D243" t="s">
        <v>99</v>
      </c>
      <c r="E243" t="s">
        <v>56</v>
      </c>
      <c r="F243" s="1">
        <v>45912</v>
      </c>
      <c r="G243">
        <v>9</v>
      </c>
      <c r="H243">
        <v>1402.42</v>
      </c>
      <c r="I243">
        <v>20</v>
      </c>
      <c r="J243" t="s">
        <v>36</v>
      </c>
      <c r="K243">
        <v>2524.36</v>
      </c>
      <c r="L243">
        <v>12621.78</v>
      </c>
      <c r="M243">
        <v>10097.42</v>
      </c>
      <c r="N243" t="s">
        <v>86</v>
      </c>
      <c r="O243">
        <v>2025</v>
      </c>
    </row>
    <row r="244" spans="1:15" x14ac:dyDescent="0.3">
      <c r="A244" t="s">
        <v>329</v>
      </c>
      <c r="B244" t="s">
        <v>23</v>
      </c>
      <c r="C244" t="s">
        <v>62</v>
      </c>
      <c r="D244" t="s">
        <v>63</v>
      </c>
      <c r="E244" t="s">
        <v>81</v>
      </c>
      <c r="F244" s="1">
        <v>45899</v>
      </c>
      <c r="G244">
        <v>6</v>
      </c>
      <c r="H244">
        <v>1848.29</v>
      </c>
      <c r="I244">
        <v>20</v>
      </c>
      <c r="J244" t="s">
        <v>40</v>
      </c>
      <c r="K244">
        <v>2217.9499999999998</v>
      </c>
      <c r="L244">
        <v>11089.74</v>
      </c>
      <c r="M244">
        <v>8871.7900000000009</v>
      </c>
      <c r="N244" t="s">
        <v>21</v>
      </c>
      <c r="O244">
        <v>2025</v>
      </c>
    </row>
    <row r="245" spans="1:15" x14ac:dyDescent="0.3">
      <c r="A245" t="s">
        <v>330</v>
      </c>
      <c r="B245" t="s">
        <v>16</v>
      </c>
      <c r="C245" t="s">
        <v>54</v>
      </c>
      <c r="D245" t="s">
        <v>68</v>
      </c>
      <c r="E245" t="s">
        <v>81</v>
      </c>
      <c r="F245" s="1">
        <v>45778</v>
      </c>
      <c r="G245">
        <v>1</v>
      </c>
      <c r="H245">
        <v>4464.3999999999996</v>
      </c>
      <c r="I245">
        <v>0</v>
      </c>
      <c r="J245" t="s">
        <v>40</v>
      </c>
      <c r="K245">
        <v>0</v>
      </c>
      <c r="L245">
        <v>4464.3999999999996</v>
      </c>
      <c r="M245">
        <v>4464.3999999999996</v>
      </c>
      <c r="N245" t="s">
        <v>101</v>
      </c>
      <c r="O245">
        <v>2025</v>
      </c>
    </row>
    <row r="246" spans="1:15" x14ac:dyDescent="0.3">
      <c r="A246" t="s">
        <v>331</v>
      </c>
      <c r="B246" t="s">
        <v>43</v>
      </c>
      <c r="C246" t="s">
        <v>90</v>
      </c>
      <c r="D246" t="s">
        <v>91</v>
      </c>
      <c r="E246" t="s">
        <v>44</v>
      </c>
      <c r="F246" s="1">
        <v>45903</v>
      </c>
      <c r="G246">
        <v>8</v>
      </c>
      <c r="H246">
        <v>1449.57</v>
      </c>
      <c r="I246">
        <v>20</v>
      </c>
      <c r="J246" t="s">
        <v>26</v>
      </c>
      <c r="K246">
        <v>2319.31</v>
      </c>
      <c r="L246">
        <v>11596.56</v>
      </c>
      <c r="M246">
        <v>9277.25</v>
      </c>
      <c r="N246" t="s">
        <v>86</v>
      </c>
      <c r="O246">
        <v>2025</v>
      </c>
    </row>
    <row r="247" spans="1:15" x14ac:dyDescent="0.3">
      <c r="A247" t="s">
        <v>332</v>
      </c>
      <c r="B247" t="s">
        <v>16</v>
      </c>
      <c r="C247" t="s">
        <v>54</v>
      </c>
      <c r="D247" t="s">
        <v>55</v>
      </c>
      <c r="E247" t="s">
        <v>25</v>
      </c>
      <c r="F247" s="1">
        <v>45466</v>
      </c>
      <c r="G247">
        <v>9</v>
      </c>
      <c r="H247">
        <v>1268.71</v>
      </c>
      <c r="I247">
        <v>20</v>
      </c>
      <c r="J247" t="s">
        <v>71</v>
      </c>
      <c r="K247">
        <v>2283.6799999999998</v>
      </c>
      <c r="L247">
        <v>11418.39</v>
      </c>
      <c r="M247">
        <v>9134.7099999999991</v>
      </c>
      <c r="N247" t="s">
        <v>72</v>
      </c>
      <c r="O247">
        <v>2024</v>
      </c>
    </row>
    <row r="248" spans="1:15" x14ac:dyDescent="0.3">
      <c r="A248" t="s">
        <v>333</v>
      </c>
      <c r="B248" t="s">
        <v>38</v>
      </c>
      <c r="C248" t="s">
        <v>90</v>
      </c>
      <c r="D248" t="s">
        <v>107</v>
      </c>
      <c r="E248" t="s">
        <v>30</v>
      </c>
      <c r="F248" s="1">
        <v>45324</v>
      </c>
      <c r="G248">
        <v>10</v>
      </c>
      <c r="H248">
        <v>13644.62</v>
      </c>
      <c r="I248">
        <v>0</v>
      </c>
      <c r="J248" t="s">
        <v>20</v>
      </c>
      <c r="K248">
        <v>0</v>
      </c>
      <c r="L248">
        <v>136446.20000000001</v>
      </c>
      <c r="M248">
        <v>136446.20000000001</v>
      </c>
      <c r="N248" t="s">
        <v>41</v>
      </c>
      <c r="O248">
        <v>2024</v>
      </c>
    </row>
    <row r="249" spans="1:15" x14ac:dyDescent="0.3">
      <c r="A249" t="s">
        <v>334</v>
      </c>
      <c r="B249" t="s">
        <v>89</v>
      </c>
      <c r="C249" t="s">
        <v>34</v>
      </c>
      <c r="D249" t="s">
        <v>80</v>
      </c>
      <c r="E249" t="s">
        <v>19</v>
      </c>
      <c r="F249" s="1">
        <v>45447</v>
      </c>
      <c r="G249">
        <v>7</v>
      </c>
      <c r="H249">
        <v>6435.75</v>
      </c>
      <c r="I249">
        <v>15</v>
      </c>
      <c r="J249" t="s">
        <v>31</v>
      </c>
      <c r="K249">
        <v>6757.54</v>
      </c>
      <c r="L249">
        <v>45050.25</v>
      </c>
      <c r="M249">
        <v>38292.71</v>
      </c>
      <c r="N249" t="s">
        <v>72</v>
      </c>
      <c r="O249">
        <v>2024</v>
      </c>
    </row>
    <row r="250" spans="1:15" x14ac:dyDescent="0.3">
      <c r="A250" t="s">
        <v>335</v>
      </c>
      <c r="B250" t="s">
        <v>114</v>
      </c>
      <c r="C250" t="s">
        <v>54</v>
      </c>
      <c r="D250" t="s">
        <v>77</v>
      </c>
      <c r="E250" t="s">
        <v>56</v>
      </c>
      <c r="F250" s="1">
        <v>46014</v>
      </c>
      <c r="G250">
        <v>3</v>
      </c>
      <c r="H250">
        <v>5663.19</v>
      </c>
      <c r="I250">
        <v>20</v>
      </c>
      <c r="J250" t="s">
        <v>26</v>
      </c>
      <c r="K250">
        <v>3397.91</v>
      </c>
      <c r="L250">
        <v>16989.57</v>
      </c>
      <c r="M250">
        <v>13591.66</v>
      </c>
      <c r="N250" t="s">
        <v>51</v>
      </c>
      <c r="O250">
        <v>2025</v>
      </c>
    </row>
    <row r="251" spans="1:15" x14ac:dyDescent="0.3">
      <c r="A251" t="s">
        <v>336</v>
      </c>
      <c r="B251" t="s">
        <v>65</v>
      </c>
      <c r="C251" t="s">
        <v>62</v>
      </c>
      <c r="D251" t="s">
        <v>99</v>
      </c>
      <c r="E251" t="s">
        <v>56</v>
      </c>
      <c r="F251" s="1">
        <v>45469</v>
      </c>
      <c r="G251">
        <v>8</v>
      </c>
      <c r="H251">
        <v>1692.05</v>
      </c>
      <c r="I251">
        <v>10</v>
      </c>
      <c r="J251" t="s">
        <v>45</v>
      </c>
      <c r="K251">
        <v>1353.64</v>
      </c>
      <c r="L251">
        <v>13536.4</v>
      </c>
      <c r="M251">
        <v>12182.76</v>
      </c>
      <c r="N251" t="s">
        <v>72</v>
      </c>
      <c r="O251">
        <v>2024</v>
      </c>
    </row>
    <row r="252" spans="1:15" x14ac:dyDescent="0.3">
      <c r="A252" t="s">
        <v>337</v>
      </c>
      <c r="B252" t="s">
        <v>61</v>
      </c>
      <c r="C252" t="s">
        <v>54</v>
      </c>
      <c r="D252" t="s">
        <v>137</v>
      </c>
      <c r="E252" t="s">
        <v>44</v>
      </c>
      <c r="F252" s="1">
        <v>45916</v>
      </c>
      <c r="G252">
        <v>8</v>
      </c>
      <c r="H252">
        <v>853.26</v>
      </c>
      <c r="I252">
        <v>5</v>
      </c>
      <c r="J252" t="s">
        <v>40</v>
      </c>
      <c r="K252">
        <v>341.3</v>
      </c>
      <c r="L252">
        <v>6826.08</v>
      </c>
      <c r="M252">
        <v>6484.78</v>
      </c>
      <c r="N252" t="s">
        <v>86</v>
      </c>
      <c r="O252">
        <v>2025</v>
      </c>
    </row>
    <row r="253" spans="1:15" x14ac:dyDescent="0.3">
      <c r="A253" t="s">
        <v>338</v>
      </c>
      <c r="B253" t="s">
        <v>43</v>
      </c>
      <c r="C253" t="s">
        <v>62</v>
      </c>
      <c r="D253" t="s">
        <v>132</v>
      </c>
      <c r="E253" t="s">
        <v>50</v>
      </c>
      <c r="F253" s="1">
        <v>45587</v>
      </c>
      <c r="G253">
        <v>4</v>
      </c>
      <c r="H253">
        <v>2949.54</v>
      </c>
      <c r="I253">
        <v>15</v>
      </c>
      <c r="J253" t="s">
        <v>40</v>
      </c>
      <c r="K253">
        <v>1769.72</v>
      </c>
      <c r="L253">
        <v>11798.16</v>
      </c>
      <c r="M253">
        <v>10028.44</v>
      </c>
      <c r="N253" t="s">
        <v>57</v>
      </c>
      <c r="O253">
        <v>2024</v>
      </c>
    </row>
    <row r="254" spans="1:15" x14ac:dyDescent="0.3">
      <c r="A254" t="s">
        <v>339</v>
      </c>
      <c r="B254" t="s">
        <v>33</v>
      </c>
      <c r="C254" t="s">
        <v>62</v>
      </c>
      <c r="D254" t="s">
        <v>99</v>
      </c>
      <c r="E254" t="s">
        <v>81</v>
      </c>
      <c r="F254" s="1">
        <v>45586</v>
      </c>
      <c r="G254">
        <v>2</v>
      </c>
      <c r="H254">
        <v>1721.56</v>
      </c>
      <c r="I254">
        <v>20</v>
      </c>
      <c r="J254" t="s">
        <v>40</v>
      </c>
      <c r="K254">
        <v>688.62</v>
      </c>
      <c r="L254">
        <v>3443.12</v>
      </c>
      <c r="M254">
        <v>2754.5</v>
      </c>
      <c r="N254" t="s">
        <v>57</v>
      </c>
      <c r="O254">
        <v>2024</v>
      </c>
    </row>
    <row r="255" spans="1:15" x14ac:dyDescent="0.3">
      <c r="A255" t="s">
        <v>340</v>
      </c>
      <c r="B255" t="s">
        <v>38</v>
      </c>
      <c r="C255" t="s">
        <v>90</v>
      </c>
      <c r="D255" t="s">
        <v>152</v>
      </c>
      <c r="E255" t="s">
        <v>19</v>
      </c>
      <c r="F255" s="1">
        <v>45589</v>
      </c>
      <c r="G255">
        <v>1</v>
      </c>
      <c r="H255">
        <v>10690.98</v>
      </c>
      <c r="I255">
        <v>0</v>
      </c>
      <c r="J255" t="s">
        <v>36</v>
      </c>
      <c r="K255">
        <v>0</v>
      </c>
      <c r="L255">
        <v>10690.98</v>
      </c>
      <c r="M255">
        <v>10690.98</v>
      </c>
      <c r="N255" t="s">
        <v>57</v>
      </c>
      <c r="O255">
        <v>2024</v>
      </c>
    </row>
    <row r="256" spans="1:15" x14ac:dyDescent="0.3">
      <c r="A256" t="s">
        <v>341</v>
      </c>
      <c r="B256" t="s">
        <v>61</v>
      </c>
      <c r="C256" t="s">
        <v>62</v>
      </c>
      <c r="D256" t="s">
        <v>99</v>
      </c>
      <c r="E256" t="s">
        <v>19</v>
      </c>
      <c r="F256" s="1">
        <v>45511</v>
      </c>
      <c r="G256">
        <v>4</v>
      </c>
      <c r="H256">
        <v>1660.48</v>
      </c>
      <c r="I256">
        <v>10</v>
      </c>
      <c r="J256" t="s">
        <v>71</v>
      </c>
      <c r="K256">
        <v>664.19</v>
      </c>
      <c r="L256">
        <v>6641.92</v>
      </c>
      <c r="M256">
        <v>5977.73</v>
      </c>
      <c r="N256" t="s">
        <v>21</v>
      </c>
      <c r="O256">
        <v>2024</v>
      </c>
    </row>
    <row r="257" spans="1:15" x14ac:dyDescent="0.3">
      <c r="A257" t="s">
        <v>342</v>
      </c>
      <c r="B257" t="s">
        <v>53</v>
      </c>
      <c r="C257" t="s">
        <v>54</v>
      </c>
      <c r="D257" t="s">
        <v>137</v>
      </c>
      <c r="E257" t="s">
        <v>25</v>
      </c>
      <c r="F257" s="1">
        <v>45540</v>
      </c>
      <c r="G257">
        <v>1</v>
      </c>
      <c r="H257">
        <v>960.71</v>
      </c>
      <c r="I257">
        <v>20</v>
      </c>
      <c r="J257" t="s">
        <v>20</v>
      </c>
      <c r="K257">
        <v>192.14</v>
      </c>
      <c r="L257">
        <v>960.71</v>
      </c>
      <c r="M257">
        <v>768.57</v>
      </c>
      <c r="N257" t="s">
        <v>86</v>
      </c>
      <c r="O257">
        <v>2024</v>
      </c>
    </row>
    <row r="258" spans="1:15" x14ac:dyDescent="0.3">
      <c r="A258" t="s">
        <v>343</v>
      </c>
      <c r="B258" t="s">
        <v>109</v>
      </c>
      <c r="C258" t="s">
        <v>34</v>
      </c>
      <c r="D258" t="s">
        <v>85</v>
      </c>
      <c r="E258" t="s">
        <v>25</v>
      </c>
      <c r="F258" s="1">
        <v>45630</v>
      </c>
      <c r="G258">
        <v>8</v>
      </c>
      <c r="H258">
        <v>12211.8</v>
      </c>
      <c r="I258">
        <v>5</v>
      </c>
      <c r="J258" t="s">
        <v>31</v>
      </c>
      <c r="K258">
        <v>4884.72</v>
      </c>
      <c r="L258">
        <v>97694.399999999994</v>
      </c>
      <c r="M258">
        <v>92809.68</v>
      </c>
      <c r="N258" t="s">
        <v>51</v>
      </c>
      <c r="O258">
        <v>2024</v>
      </c>
    </row>
    <row r="259" spans="1:15" x14ac:dyDescent="0.3">
      <c r="A259" t="s">
        <v>344</v>
      </c>
      <c r="B259" t="s">
        <v>114</v>
      </c>
      <c r="C259" t="s">
        <v>17</v>
      </c>
      <c r="D259" t="s">
        <v>24</v>
      </c>
      <c r="E259" t="s">
        <v>50</v>
      </c>
      <c r="F259" s="1">
        <v>45960</v>
      </c>
      <c r="G259">
        <v>8</v>
      </c>
      <c r="H259">
        <v>3363.9</v>
      </c>
      <c r="I259">
        <v>5</v>
      </c>
      <c r="J259" t="s">
        <v>31</v>
      </c>
      <c r="K259">
        <v>1345.56</v>
      </c>
      <c r="L259">
        <v>26911.200000000001</v>
      </c>
      <c r="M259">
        <v>25565.64</v>
      </c>
      <c r="N259" t="s">
        <v>57</v>
      </c>
      <c r="O259">
        <v>2025</v>
      </c>
    </row>
    <row r="260" spans="1:15" x14ac:dyDescent="0.3">
      <c r="A260" t="s">
        <v>345</v>
      </c>
      <c r="B260" t="s">
        <v>43</v>
      </c>
      <c r="C260" t="s">
        <v>62</v>
      </c>
      <c r="D260" t="s">
        <v>119</v>
      </c>
      <c r="E260" t="s">
        <v>30</v>
      </c>
      <c r="F260" s="1">
        <v>45383</v>
      </c>
      <c r="G260">
        <v>10</v>
      </c>
      <c r="H260">
        <v>3353.19</v>
      </c>
      <c r="I260">
        <v>0</v>
      </c>
      <c r="J260" t="s">
        <v>26</v>
      </c>
      <c r="K260">
        <v>0</v>
      </c>
      <c r="L260">
        <v>33531.9</v>
      </c>
      <c r="M260">
        <v>33531.9</v>
      </c>
      <c r="N260" t="s">
        <v>27</v>
      </c>
      <c r="O260">
        <v>2024</v>
      </c>
    </row>
    <row r="261" spans="1:15" x14ac:dyDescent="0.3">
      <c r="A261" t="s">
        <v>346</v>
      </c>
      <c r="B261" t="s">
        <v>114</v>
      </c>
      <c r="C261" t="s">
        <v>34</v>
      </c>
      <c r="D261" t="s">
        <v>35</v>
      </c>
      <c r="E261" t="s">
        <v>44</v>
      </c>
      <c r="F261" s="1">
        <v>45329</v>
      </c>
      <c r="G261">
        <v>7</v>
      </c>
      <c r="H261">
        <v>27424.75</v>
      </c>
      <c r="I261">
        <v>5</v>
      </c>
      <c r="J261" t="s">
        <v>36</v>
      </c>
      <c r="K261">
        <v>9598.66</v>
      </c>
      <c r="L261">
        <v>191973.25</v>
      </c>
      <c r="M261">
        <v>182374.59</v>
      </c>
      <c r="N261" t="s">
        <v>41</v>
      </c>
      <c r="O261">
        <v>2024</v>
      </c>
    </row>
    <row r="262" spans="1:15" x14ac:dyDescent="0.3">
      <c r="A262" t="s">
        <v>347</v>
      </c>
      <c r="B262" t="s">
        <v>109</v>
      </c>
      <c r="C262" t="s">
        <v>62</v>
      </c>
      <c r="D262" t="s">
        <v>95</v>
      </c>
      <c r="E262" t="s">
        <v>19</v>
      </c>
      <c r="F262" s="1">
        <v>45635</v>
      </c>
      <c r="G262">
        <v>5</v>
      </c>
      <c r="H262">
        <v>891.96</v>
      </c>
      <c r="I262">
        <v>20</v>
      </c>
      <c r="J262" t="s">
        <v>82</v>
      </c>
      <c r="K262">
        <v>891.96</v>
      </c>
      <c r="L262">
        <v>4459.8</v>
      </c>
      <c r="M262">
        <v>3567.84</v>
      </c>
      <c r="N262" t="s">
        <v>51</v>
      </c>
      <c r="O262">
        <v>2024</v>
      </c>
    </row>
    <row r="263" spans="1:15" x14ac:dyDescent="0.3">
      <c r="A263" t="s">
        <v>348</v>
      </c>
      <c r="B263" t="s">
        <v>114</v>
      </c>
      <c r="C263" t="s">
        <v>54</v>
      </c>
      <c r="D263" t="s">
        <v>68</v>
      </c>
      <c r="E263" t="s">
        <v>50</v>
      </c>
      <c r="F263" s="1">
        <v>45571</v>
      </c>
      <c r="G263">
        <v>4</v>
      </c>
      <c r="H263">
        <v>5455.91</v>
      </c>
      <c r="I263">
        <v>10</v>
      </c>
      <c r="J263" t="s">
        <v>71</v>
      </c>
      <c r="K263">
        <v>2182.36</v>
      </c>
      <c r="L263">
        <v>21823.64</v>
      </c>
      <c r="M263">
        <v>19641.28</v>
      </c>
      <c r="N263" t="s">
        <v>57</v>
      </c>
      <c r="O263">
        <v>2024</v>
      </c>
    </row>
    <row r="264" spans="1:15" x14ac:dyDescent="0.3">
      <c r="A264" t="s">
        <v>349</v>
      </c>
      <c r="B264" t="s">
        <v>61</v>
      </c>
      <c r="C264" t="s">
        <v>34</v>
      </c>
      <c r="D264" t="s">
        <v>35</v>
      </c>
      <c r="E264" t="s">
        <v>19</v>
      </c>
      <c r="F264" s="1">
        <v>45306</v>
      </c>
      <c r="G264">
        <v>6</v>
      </c>
      <c r="H264">
        <v>27442.3</v>
      </c>
      <c r="I264">
        <v>20</v>
      </c>
      <c r="J264" t="s">
        <v>36</v>
      </c>
      <c r="K264">
        <v>32930.76</v>
      </c>
      <c r="L264">
        <v>164653.79999999999</v>
      </c>
      <c r="M264">
        <v>131723.04</v>
      </c>
      <c r="N264" t="s">
        <v>116</v>
      </c>
      <c r="O264">
        <v>2024</v>
      </c>
    </row>
    <row r="265" spans="1:15" x14ac:dyDescent="0.3">
      <c r="A265" t="s">
        <v>350</v>
      </c>
      <c r="B265" t="s">
        <v>93</v>
      </c>
      <c r="C265" t="s">
        <v>34</v>
      </c>
      <c r="D265" t="s">
        <v>85</v>
      </c>
      <c r="E265" t="s">
        <v>44</v>
      </c>
      <c r="F265" s="1">
        <v>45729</v>
      </c>
      <c r="G265">
        <v>9</v>
      </c>
      <c r="H265">
        <v>11783.78</v>
      </c>
      <c r="I265">
        <v>15</v>
      </c>
      <c r="J265" t="s">
        <v>31</v>
      </c>
      <c r="K265">
        <v>15908.1</v>
      </c>
      <c r="L265">
        <v>106054.02</v>
      </c>
      <c r="M265">
        <v>90145.919999999998</v>
      </c>
      <c r="N265" t="s">
        <v>83</v>
      </c>
      <c r="O265">
        <v>2025</v>
      </c>
    </row>
    <row r="266" spans="1:15" x14ac:dyDescent="0.3">
      <c r="A266" t="s">
        <v>351</v>
      </c>
      <c r="B266" t="s">
        <v>53</v>
      </c>
      <c r="C266" t="s">
        <v>17</v>
      </c>
      <c r="D266" t="s">
        <v>59</v>
      </c>
      <c r="E266" t="s">
        <v>56</v>
      </c>
      <c r="F266" s="1">
        <v>45546</v>
      </c>
      <c r="G266">
        <v>1</v>
      </c>
      <c r="H266">
        <v>24129.91</v>
      </c>
      <c r="I266">
        <v>5</v>
      </c>
      <c r="J266" t="s">
        <v>45</v>
      </c>
      <c r="K266">
        <v>1206.5</v>
      </c>
      <c r="L266">
        <v>24129.91</v>
      </c>
      <c r="M266">
        <v>22923.41</v>
      </c>
      <c r="N266" t="s">
        <v>86</v>
      </c>
      <c r="O266">
        <v>2024</v>
      </c>
    </row>
    <row r="267" spans="1:15" x14ac:dyDescent="0.3">
      <c r="A267" t="s">
        <v>352</v>
      </c>
      <c r="B267" t="s">
        <v>33</v>
      </c>
      <c r="C267" t="s">
        <v>90</v>
      </c>
      <c r="D267" t="s">
        <v>115</v>
      </c>
      <c r="E267" t="s">
        <v>19</v>
      </c>
      <c r="F267" s="1">
        <v>45559</v>
      </c>
      <c r="G267">
        <v>6</v>
      </c>
      <c r="H267">
        <v>8585.5400000000009</v>
      </c>
      <c r="I267">
        <v>0</v>
      </c>
      <c r="J267" t="s">
        <v>26</v>
      </c>
      <c r="K267">
        <v>0</v>
      </c>
      <c r="L267">
        <v>51513.24</v>
      </c>
      <c r="M267">
        <v>51513.24</v>
      </c>
      <c r="N267" t="s">
        <v>86</v>
      </c>
      <c r="O267">
        <v>2024</v>
      </c>
    </row>
    <row r="268" spans="1:15" x14ac:dyDescent="0.3">
      <c r="A268" t="s">
        <v>353</v>
      </c>
      <c r="B268" t="s">
        <v>43</v>
      </c>
      <c r="C268" t="s">
        <v>17</v>
      </c>
      <c r="D268" t="s">
        <v>157</v>
      </c>
      <c r="E268" t="s">
        <v>50</v>
      </c>
      <c r="F268" s="1">
        <v>45994</v>
      </c>
      <c r="G268">
        <v>9</v>
      </c>
      <c r="H268">
        <v>8706.98</v>
      </c>
      <c r="I268">
        <v>10</v>
      </c>
      <c r="J268" t="s">
        <v>31</v>
      </c>
      <c r="K268">
        <v>7836.28</v>
      </c>
      <c r="L268">
        <v>78362.820000000007</v>
      </c>
      <c r="M268">
        <v>70526.539999999994</v>
      </c>
      <c r="N268" t="s">
        <v>51</v>
      </c>
      <c r="O268">
        <v>2025</v>
      </c>
    </row>
    <row r="269" spans="1:15" x14ac:dyDescent="0.3">
      <c r="A269" t="s">
        <v>354</v>
      </c>
      <c r="B269" t="s">
        <v>33</v>
      </c>
      <c r="C269" t="s">
        <v>17</v>
      </c>
      <c r="D269" t="s">
        <v>39</v>
      </c>
      <c r="E269" t="s">
        <v>81</v>
      </c>
      <c r="F269" s="1">
        <v>45516</v>
      </c>
      <c r="G269">
        <v>3</v>
      </c>
      <c r="H269">
        <v>18351.82</v>
      </c>
      <c r="I269">
        <v>15</v>
      </c>
      <c r="J269" t="s">
        <v>20</v>
      </c>
      <c r="K269">
        <v>8258.32</v>
      </c>
      <c r="L269">
        <v>55055.46</v>
      </c>
      <c r="M269">
        <v>46797.14</v>
      </c>
      <c r="N269" t="s">
        <v>21</v>
      </c>
      <c r="O269">
        <v>2024</v>
      </c>
    </row>
    <row r="270" spans="1:15" x14ac:dyDescent="0.3">
      <c r="A270" t="s">
        <v>355</v>
      </c>
      <c r="B270" t="s">
        <v>23</v>
      </c>
      <c r="C270" t="s">
        <v>54</v>
      </c>
      <c r="D270" t="s">
        <v>137</v>
      </c>
      <c r="E270" t="s">
        <v>30</v>
      </c>
      <c r="F270" s="1">
        <v>45842</v>
      </c>
      <c r="G270">
        <v>4</v>
      </c>
      <c r="H270">
        <v>981.42</v>
      </c>
      <c r="I270">
        <v>20</v>
      </c>
      <c r="J270" t="s">
        <v>71</v>
      </c>
      <c r="K270">
        <v>785.14</v>
      </c>
      <c r="L270">
        <v>3925.68</v>
      </c>
      <c r="M270">
        <v>3140.54</v>
      </c>
      <c r="N270" t="s">
        <v>122</v>
      </c>
      <c r="O270">
        <v>2025</v>
      </c>
    </row>
    <row r="271" spans="1:15" x14ac:dyDescent="0.3">
      <c r="A271" t="s">
        <v>356</v>
      </c>
      <c r="B271" t="s">
        <v>89</v>
      </c>
      <c r="C271" t="s">
        <v>17</v>
      </c>
      <c r="D271" t="s">
        <v>24</v>
      </c>
      <c r="E271" t="s">
        <v>81</v>
      </c>
      <c r="F271" s="1">
        <v>45371</v>
      </c>
      <c r="G271">
        <v>10</v>
      </c>
      <c r="H271">
        <v>2784.16</v>
      </c>
      <c r="I271">
        <v>20</v>
      </c>
      <c r="J271" t="s">
        <v>45</v>
      </c>
      <c r="K271">
        <v>5568.32</v>
      </c>
      <c r="L271">
        <v>27841.599999999999</v>
      </c>
      <c r="M271">
        <v>22273.279999999999</v>
      </c>
      <c r="N271" t="s">
        <v>83</v>
      </c>
      <c r="O271">
        <v>2024</v>
      </c>
    </row>
    <row r="272" spans="1:15" x14ac:dyDescent="0.3">
      <c r="A272" t="s">
        <v>357</v>
      </c>
      <c r="B272" t="s">
        <v>93</v>
      </c>
      <c r="C272" t="s">
        <v>54</v>
      </c>
      <c r="D272" t="s">
        <v>55</v>
      </c>
      <c r="E272" t="s">
        <v>81</v>
      </c>
      <c r="F272" s="1">
        <v>45460</v>
      </c>
      <c r="G272">
        <v>6</v>
      </c>
      <c r="H272">
        <v>1336.35</v>
      </c>
      <c r="I272">
        <v>15</v>
      </c>
      <c r="J272" t="s">
        <v>36</v>
      </c>
      <c r="K272">
        <v>1202.71</v>
      </c>
      <c r="L272">
        <v>8018.1</v>
      </c>
      <c r="M272">
        <v>6815.39</v>
      </c>
      <c r="N272" t="s">
        <v>72</v>
      </c>
      <c r="O272">
        <v>2024</v>
      </c>
    </row>
    <row r="273" spans="1:15" x14ac:dyDescent="0.3">
      <c r="A273" t="s">
        <v>358</v>
      </c>
      <c r="B273" t="s">
        <v>16</v>
      </c>
      <c r="C273" t="s">
        <v>17</v>
      </c>
      <c r="D273" t="s">
        <v>59</v>
      </c>
      <c r="E273" t="s">
        <v>81</v>
      </c>
      <c r="F273" s="1">
        <v>45385</v>
      </c>
      <c r="G273">
        <v>9</v>
      </c>
      <c r="H273">
        <v>25284.27</v>
      </c>
      <c r="I273">
        <v>0</v>
      </c>
      <c r="J273" t="s">
        <v>71</v>
      </c>
      <c r="K273">
        <v>0</v>
      </c>
      <c r="L273">
        <v>227558.43</v>
      </c>
      <c r="M273">
        <v>227558.43</v>
      </c>
      <c r="N273" t="s">
        <v>27</v>
      </c>
      <c r="O273">
        <v>2024</v>
      </c>
    </row>
    <row r="274" spans="1:15" x14ac:dyDescent="0.3">
      <c r="A274" t="s">
        <v>359</v>
      </c>
      <c r="B274" t="s">
        <v>65</v>
      </c>
      <c r="C274" t="s">
        <v>90</v>
      </c>
      <c r="D274" t="s">
        <v>107</v>
      </c>
      <c r="E274" t="s">
        <v>56</v>
      </c>
      <c r="F274" s="1">
        <v>45869</v>
      </c>
      <c r="G274">
        <v>1</v>
      </c>
      <c r="H274">
        <v>12476.39</v>
      </c>
      <c r="I274">
        <v>10</v>
      </c>
      <c r="J274" t="s">
        <v>71</v>
      </c>
      <c r="K274">
        <v>1247.6400000000001</v>
      </c>
      <c r="L274">
        <v>12476.39</v>
      </c>
      <c r="M274">
        <v>11228.75</v>
      </c>
      <c r="N274" t="s">
        <v>122</v>
      </c>
      <c r="O274">
        <v>2025</v>
      </c>
    </row>
    <row r="275" spans="1:15" x14ac:dyDescent="0.3">
      <c r="A275" t="s">
        <v>360</v>
      </c>
      <c r="B275" t="s">
        <v>43</v>
      </c>
      <c r="C275" t="s">
        <v>17</v>
      </c>
      <c r="D275" t="s">
        <v>157</v>
      </c>
      <c r="E275" t="s">
        <v>44</v>
      </c>
      <c r="F275" s="1">
        <v>45515</v>
      </c>
      <c r="G275">
        <v>10</v>
      </c>
      <c r="H275">
        <v>6427.8</v>
      </c>
      <c r="I275">
        <v>15</v>
      </c>
      <c r="J275" t="s">
        <v>26</v>
      </c>
      <c r="K275">
        <v>9641.7000000000007</v>
      </c>
      <c r="L275">
        <v>64278</v>
      </c>
      <c r="M275">
        <v>54636.3</v>
      </c>
      <c r="N275" t="s">
        <v>21</v>
      </c>
      <c r="O275">
        <v>2024</v>
      </c>
    </row>
    <row r="276" spans="1:15" x14ac:dyDescent="0.3">
      <c r="A276" t="s">
        <v>361</v>
      </c>
      <c r="B276" t="s">
        <v>65</v>
      </c>
      <c r="C276" t="s">
        <v>62</v>
      </c>
      <c r="D276" t="s">
        <v>95</v>
      </c>
      <c r="E276" t="s">
        <v>25</v>
      </c>
      <c r="F276" s="1">
        <v>45775</v>
      </c>
      <c r="G276">
        <v>1</v>
      </c>
      <c r="H276">
        <v>777.42</v>
      </c>
      <c r="I276">
        <v>5</v>
      </c>
      <c r="J276" t="s">
        <v>82</v>
      </c>
      <c r="K276">
        <v>38.869999999999997</v>
      </c>
      <c r="L276">
        <v>777.42</v>
      </c>
      <c r="M276">
        <v>738.55</v>
      </c>
      <c r="N276" t="s">
        <v>27</v>
      </c>
      <c r="O276">
        <v>2025</v>
      </c>
    </row>
    <row r="277" spans="1:15" x14ac:dyDescent="0.3">
      <c r="A277" t="s">
        <v>362</v>
      </c>
      <c r="B277" t="s">
        <v>33</v>
      </c>
      <c r="C277" t="s">
        <v>34</v>
      </c>
      <c r="D277" t="s">
        <v>35</v>
      </c>
      <c r="E277" t="s">
        <v>56</v>
      </c>
      <c r="F277" s="1">
        <v>45678</v>
      </c>
      <c r="G277">
        <v>7</v>
      </c>
      <c r="H277">
        <v>23001.56</v>
      </c>
      <c r="I277">
        <v>20</v>
      </c>
      <c r="J277" t="s">
        <v>71</v>
      </c>
      <c r="K277">
        <v>32202.18</v>
      </c>
      <c r="L277">
        <v>161010.92000000001</v>
      </c>
      <c r="M277">
        <v>128808.74</v>
      </c>
      <c r="N277" t="s">
        <v>116</v>
      </c>
      <c r="O277">
        <v>2025</v>
      </c>
    </row>
    <row r="278" spans="1:15" x14ac:dyDescent="0.3">
      <c r="A278" t="s">
        <v>363</v>
      </c>
      <c r="B278" t="s">
        <v>47</v>
      </c>
      <c r="C278" t="s">
        <v>34</v>
      </c>
      <c r="D278" t="s">
        <v>48</v>
      </c>
      <c r="E278" t="s">
        <v>50</v>
      </c>
      <c r="F278" s="1">
        <v>45833</v>
      </c>
      <c r="G278">
        <v>3</v>
      </c>
      <c r="H278">
        <v>8655.7199999999993</v>
      </c>
      <c r="I278">
        <v>5</v>
      </c>
      <c r="J278" t="s">
        <v>31</v>
      </c>
      <c r="K278">
        <v>1298.3599999999999</v>
      </c>
      <c r="L278">
        <v>25967.16</v>
      </c>
      <c r="M278">
        <v>24668.799999999999</v>
      </c>
      <c r="N278" t="s">
        <v>72</v>
      </c>
      <c r="O278">
        <v>2025</v>
      </c>
    </row>
    <row r="279" spans="1:15" x14ac:dyDescent="0.3">
      <c r="A279" t="s">
        <v>364</v>
      </c>
      <c r="B279" t="s">
        <v>43</v>
      </c>
      <c r="C279" t="s">
        <v>17</v>
      </c>
      <c r="D279" t="s">
        <v>18</v>
      </c>
      <c r="E279" t="s">
        <v>56</v>
      </c>
      <c r="F279" s="1">
        <v>45836</v>
      </c>
      <c r="G279">
        <v>7</v>
      </c>
      <c r="H279">
        <v>71879.61</v>
      </c>
      <c r="I279">
        <v>5</v>
      </c>
      <c r="J279" t="s">
        <v>31</v>
      </c>
      <c r="K279">
        <v>25157.86</v>
      </c>
      <c r="L279">
        <v>503157.27</v>
      </c>
      <c r="M279">
        <v>477999.41</v>
      </c>
      <c r="N279" t="s">
        <v>72</v>
      </c>
      <c r="O279">
        <v>2025</v>
      </c>
    </row>
    <row r="280" spans="1:15" x14ac:dyDescent="0.3">
      <c r="A280" t="s">
        <v>365</v>
      </c>
      <c r="B280" t="s">
        <v>53</v>
      </c>
      <c r="C280" t="s">
        <v>90</v>
      </c>
      <c r="D280" t="s">
        <v>115</v>
      </c>
      <c r="E280" t="s">
        <v>19</v>
      </c>
      <c r="F280" s="1">
        <v>45407</v>
      </c>
      <c r="G280">
        <v>1</v>
      </c>
      <c r="H280">
        <v>8818.9599999999991</v>
      </c>
      <c r="I280">
        <v>15</v>
      </c>
      <c r="J280" t="s">
        <v>20</v>
      </c>
      <c r="K280">
        <v>1322.84</v>
      </c>
      <c r="L280">
        <v>8818.9599999999991</v>
      </c>
      <c r="M280">
        <v>7496.12</v>
      </c>
      <c r="N280" t="s">
        <v>27</v>
      </c>
      <c r="O280">
        <v>2024</v>
      </c>
    </row>
    <row r="281" spans="1:15" x14ac:dyDescent="0.3">
      <c r="A281" t="s">
        <v>366</v>
      </c>
      <c r="B281" t="s">
        <v>29</v>
      </c>
      <c r="C281" t="s">
        <v>54</v>
      </c>
      <c r="D281" t="s">
        <v>70</v>
      </c>
      <c r="E281" t="s">
        <v>50</v>
      </c>
      <c r="F281" s="1">
        <v>45395</v>
      </c>
      <c r="G281">
        <v>10</v>
      </c>
      <c r="H281">
        <v>2270.9899999999998</v>
      </c>
      <c r="I281">
        <v>20</v>
      </c>
      <c r="J281" t="s">
        <v>82</v>
      </c>
      <c r="K281">
        <v>4541.9799999999996</v>
      </c>
      <c r="L281">
        <v>22709.9</v>
      </c>
      <c r="M281">
        <v>18167.919999999998</v>
      </c>
      <c r="N281" t="s">
        <v>27</v>
      </c>
      <c r="O281">
        <v>2024</v>
      </c>
    </row>
    <row r="282" spans="1:15" x14ac:dyDescent="0.3">
      <c r="A282" t="s">
        <v>367</v>
      </c>
      <c r="B282" t="s">
        <v>16</v>
      </c>
      <c r="C282" t="s">
        <v>17</v>
      </c>
      <c r="D282" t="s">
        <v>59</v>
      </c>
      <c r="E282" t="s">
        <v>25</v>
      </c>
      <c r="F282" s="1">
        <v>45741</v>
      </c>
      <c r="G282">
        <v>4</v>
      </c>
      <c r="H282">
        <v>25873.5</v>
      </c>
      <c r="I282">
        <v>0</v>
      </c>
      <c r="J282" t="s">
        <v>31</v>
      </c>
      <c r="K282">
        <v>0</v>
      </c>
      <c r="L282">
        <v>103494</v>
      </c>
      <c r="M282">
        <v>103494</v>
      </c>
      <c r="N282" t="s">
        <v>83</v>
      </c>
      <c r="O282">
        <v>2025</v>
      </c>
    </row>
    <row r="283" spans="1:15" x14ac:dyDescent="0.3">
      <c r="A283" t="s">
        <v>368</v>
      </c>
      <c r="B283" t="s">
        <v>43</v>
      </c>
      <c r="C283" t="s">
        <v>34</v>
      </c>
      <c r="D283" t="s">
        <v>66</v>
      </c>
      <c r="E283" t="s">
        <v>50</v>
      </c>
      <c r="F283" s="1">
        <v>45883</v>
      </c>
      <c r="G283">
        <v>10</v>
      </c>
      <c r="H283">
        <v>43725.38</v>
      </c>
      <c r="I283">
        <v>10</v>
      </c>
      <c r="J283" t="s">
        <v>45</v>
      </c>
      <c r="K283">
        <v>43725.38</v>
      </c>
      <c r="L283">
        <v>437253.8</v>
      </c>
      <c r="M283">
        <v>393528.42</v>
      </c>
      <c r="N283" t="s">
        <v>21</v>
      </c>
      <c r="O283">
        <v>2025</v>
      </c>
    </row>
    <row r="284" spans="1:15" x14ac:dyDescent="0.3">
      <c r="A284" t="s">
        <v>369</v>
      </c>
      <c r="B284" t="s">
        <v>114</v>
      </c>
      <c r="C284" t="s">
        <v>34</v>
      </c>
      <c r="D284" t="s">
        <v>48</v>
      </c>
      <c r="E284" t="s">
        <v>50</v>
      </c>
      <c r="F284" s="1">
        <v>45715</v>
      </c>
      <c r="G284">
        <v>5</v>
      </c>
      <c r="H284">
        <v>7750.31</v>
      </c>
      <c r="I284">
        <v>20</v>
      </c>
      <c r="J284" t="s">
        <v>20</v>
      </c>
      <c r="K284">
        <v>7750.31</v>
      </c>
      <c r="L284">
        <v>38751.550000000003</v>
      </c>
      <c r="M284">
        <v>31001.24</v>
      </c>
      <c r="N284" t="s">
        <v>41</v>
      </c>
      <c r="O284">
        <v>2025</v>
      </c>
    </row>
    <row r="285" spans="1:15" x14ac:dyDescent="0.3">
      <c r="A285" t="s">
        <v>370</v>
      </c>
      <c r="B285" t="s">
        <v>61</v>
      </c>
      <c r="C285" t="s">
        <v>54</v>
      </c>
      <c r="D285" t="s">
        <v>55</v>
      </c>
      <c r="E285" t="s">
        <v>30</v>
      </c>
      <c r="F285" s="1">
        <v>45861</v>
      </c>
      <c r="G285">
        <v>8</v>
      </c>
      <c r="H285">
        <v>1094.07</v>
      </c>
      <c r="I285">
        <v>10</v>
      </c>
      <c r="J285" t="s">
        <v>31</v>
      </c>
      <c r="K285">
        <v>875.26</v>
      </c>
      <c r="L285">
        <v>8752.56</v>
      </c>
      <c r="M285">
        <v>7877.3</v>
      </c>
      <c r="N285" t="s">
        <v>122</v>
      </c>
      <c r="O285">
        <v>2025</v>
      </c>
    </row>
    <row r="286" spans="1:15" x14ac:dyDescent="0.3">
      <c r="A286" t="s">
        <v>371</v>
      </c>
      <c r="B286" t="s">
        <v>33</v>
      </c>
      <c r="C286" t="s">
        <v>90</v>
      </c>
      <c r="D286" t="s">
        <v>91</v>
      </c>
      <c r="E286" t="s">
        <v>30</v>
      </c>
      <c r="F286" s="1">
        <v>45710</v>
      </c>
      <c r="G286">
        <v>3</v>
      </c>
      <c r="H286">
        <v>1462.46</v>
      </c>
      <c r="I286">
        <v>5</v>
      </c>
      <c r="J286" t="s">
        <v>31</v>
      </c>
      <c r="K286">
        <v>219.37</v>
      </c>
      <c r="L286">
        <v>4387.38</v>
      </c>
      <c r="M286">
        <v>4168.01</v>
      </c>
      <c r="N286" t="s">
        <v>41</v>
      </c>
      <c r="O286">
        <v>2025</v>
      </c>
    </row>
    <row r="287" spans="1:15" x14ac:dyDescent="0.3">
      <c r="A287" t="s">
        <v>372</v>
      </c>
      <c r="B287" t="s">
        <v>29</v>
      </c>
      <c r="C287" t="s">
        <v>54</v>
      </c>
      <c r="D287" t="s">
        <v>68</v>
      </c>
      <c r="E287" t="s">
        <v>44</v>
      </c>
      <c r="F287" s="1">
        <v>45599</v>
      </c>
      <c r="G287">
        <v>3</v>
      </c>
      <c r="H287">
        <v>5452.15</v>
      </c>
      <c r="I287">
        <v>0</v>
      </c>
      <c r="J287" t="s">
        <v>20</v>
      </c>
      <c r="K287">
        <v>0</v>
      </c>
      <c r="L287">
        <v>16356.45</v>
      </c>
      <c r="M287">
        <v>16356.45</v>
      </c>
      <c r="N287" t="s">
        <v>96</v>
      </c>
      <c r="O287">
        <v>2024</v>
      </c>
    </row>
    <row r="288" spans="1:15" x14ac:dyDescent="0.3">
      <c r="A288" t="s">
        <v>373</v>
      </c>
      <c r="B288" t="s">
        <v>23</v>
      </c>
      <c r="C288" t="s">
        <v>54</v>
      </c>
      <c r="D288" t="s">
        <v>68</v>
      </c>
      <c r="E288" t="s">
        <v>81</v>
      </c>
      <c r="F288" s="1">
        <v>45689</v>
      </c>
      <c r="G288">
        <v>4</v>
      </c>
      <c r="H288">
        <v>4336.87</v>
      </c>
      <c r="I288">
        <v>10</v>
      </c>
      <c r="J288" t="s">
        <v>36</v>
      </c>
      <c r="K288">
        <v>1734.75</v>
      </c>
      <c r="L288">
        <v>17347.48</v>
      </c>
      <c r="M288">
        <v>15612.73</v>
      </c>
      <c r="N288" t="s">
        <v>41</v>
      </c>
      <c r="O288">
        <v>2025</v>
      </c>
    </row>
    <row r="289" spans="1:15" x14ac:dyDescent="0.3">
      <c r="A289" t="s">
        <v>374</v>
      </c>
      <c r="B289" t="s">
        <v>38</v>
      </c>
      <c r="C289" t="s">
        <v>17</v>
      </c>
      <c r="D289" t="s">
        <v>157</v>
      </c>
      <c r="E289" t="s">
        <v>19</v>
      </c>
      <c r="F289" s="1">
        <v>45840</v>
      </c>
      <c r="G289">
        <v>4</v>
      </c>
      <c r="H289">
        <v>6390.19</v>
      </c>
      <c r="I289">
        <v>15</v>
      </c>
      <c r="J289" t="s">
        <v>82</v>
      </c>
      <c r="K289">
        <v>3834.11</v>
      </c>
      <c r="L289">
        <v>25560.76</v>
      </c>
      <c r="M289">
        <v>21726.65</v>
      </c>
      <c r="N289" t="s">
        <v>122</v>
      </c>
      <c r="O289">
        <v>2025</v>
      </c>
    </row>
    <row r="290" spans="1:15" x14ac:dyDescent="0.3">
      <c r="A290" t="s">
        <v>375</v>
      </c>
      <c r="B290" t="s">
        <v>109</v>
      </c>
      <c r="C290" t="s">
        <v>54</v>
      </c>
      <c r="D290" t="s">
        <v>77</v>
      </c>
      <c r="E290" t="s">
        <v>44</v>
      </c>
      <c r="F290" s="1">
        <v>45484</v>
      </c>
      <c r="G290">
        <v>10</v>
      </c>
      <c r="H290">
        <v>5405.38</v>
      </c>
      <c r="I290">
        <v>20</v>
      </c>
      <c r="J290" t="s">
        <v>82</v>
      </c>
      <c r="K290">
        <v>10810.76</v>
      </c>
      <c r="L290">
        <v>54053.8</v>
      </c>
      <c r="M290">
        <v>43243.040000000001</v>
      </c>
      <c r="N290" t="s">
        <v>122</v>
      </c>
      <c r="O290">
        <v>2024</v>
      </c>
    </row>
    <row r="291" spans="1:15" x14ac:dyDescent="0.3">
      <c r="A291" t="s">
        <v>376</v>
      </c>
      <c r="B291" t="s">
        <v>29</v>
      </c>
      <c r="C291" t="s">
        <v>34</v>
      </c>
      <c r="D291" t="s">
        <v>35</v>
      </c>
      <c r="E291" t="s">
        <v>44</v>
      </c>
      <c r="F291" s="1">
        <v>45602</v>
      </c>
      <c r="G291">
        <v>1</v>
      </c>
      <c r="H291">
        <v>26206.18</v>
      </c>
      <c r="I291">
        <v>5</v>
      </c>
      <c r="J291" t="s">
        <v>45</v>
      </c>
      <c r="K291">
        <v>1310.31</v>
      </c>
      <c r="L291">
        <v>26206.18</v>
      </c>
      <c r="M291">
        <v>24895.87</v>
      </c>
      <c r="N291" t="s">
        <v>96</v>
      </c>
      <c r="O291">
        <v>2024</v>
      </c>
    </row>
    <row r="292" spans="1:15" x14ac:dyDescent="0.3">
      <c r="A292" t="s">
        <v>377</v>
      </c>
      <c r="B292" t="s">
        <v>114</v>
      </c>
      <c r="C292" t="s">
        <v>17</v>
      </c>
      <c r="D292" t="s">
        <v>157</v>
      </c>
      <c r="E292" t="s">
        <v>50</v>
      </c>
      <c r="F292" s="1">
        <v>45698</v>
      </c>
      <c r="G292">
        <v>4</v>
      </c>
      <c r="H292">
        <v>7266.14</v>
      </c>
      <c r="I292">
        <v>10</v>
      </c>
      <c r="J292" t="s">
        <v>20</v>
      </c>
      <c r="K292">
        <v>2906.46</v>
      </c>
      <c r="L292">
        <v>29064.560000000001</v>
      </c>
      <c r="M292">
        <v>26158.1</v>
      </c>
      <c r="N292" t="s">
        <v>41</v>
      </c>
      <c r="O292">
        <v>2025</v>
      </c>
    </row>
    <row r="293" spans="1:15" x14ac:dyDescent="0.3">
      <c r="A293" t="s">
        <v>378</v>
      </c>
      <c r="B293" t="s">
        <v>65</v>
      </c>
      <c r="C293" t="s">
        <v>90</v>
      </c>
      <c r="D293" t="s">
        <v>152</v>
      </c>
      <c r="E293" t="s">
        <v>30</v>
      </c>
      <c r="F293" s="1">
        <v>45607</v>
      </c>
      <c r="G293">
        <v>5</v>
      </c>
      <c r="H293">
        <v>10889.02</v>
      </c>
      <c r="I293">
        <v>15</v>
      </c>
      <c r="J293" t="s">
        <v>45</v>
      </c>
      <c r="K293">
        <v>8166.76</v>
      </c>
      <c r="L293">
        <v>54445.1</v>
      </c>
      <c r="M293">
        <v>46278.34</v>
      </c>
      <c r="N293" t="s">
        <v>96</v>
      </c>
      <c r="O293">
        <v>2024</v>
      </c>
    </row>
    <row r="294" spans="1:15" x14ac:dyDescent="0.3">
      <c r="A294" t="s">
        <v>379</v>
      </c>
      <c r="B294" t="s">
        <v>74</v>
      </c>
      <c r="C294" t="s">
        <v>90</v>
      </c>
      <c r="D294" t="s">
        <v>105</v>
      </c>
      <c r="E294" t="s">
        <v>30</v>
      </c>
      <c r="F294" s="1">
        <v>45619</v>
      </c>
      <c r="G294">
        <v>4</v>
      </c>
      <c r="H294">
        <v>3821.8</v>
      </c>
      <c r="I294">
        <v>15</v>
      </c>
      <c r="J294" t="s">
        <v>71</v>
      </c>
      <c r="K294">
        <v>2293.08</v>
      </c>
      <c r="L294">
        <v>15287.2</v>
      </c>
      <c r="M294">
        <v>12994.12</v>
      </c>
      <c r="N294" t="s">
        <v>96</v>
      </c>
      <c r="O294">
        <v>2024</v>
      </c>
    </row>
    <row r="295" spans="1:15" x14ac:dyDescent="0.3">
      <c r="A295" t="s">
        <v>380</v>
      </c>
      <c r="B295" t="s">
        <v>38</v>
      </c>
      <c r="C295" t="s">
        <v>17</v>
      </c>
      <c r="D295" t="s">
        <v>24</v>
      </c>
      <c r="E295" t="s">
        <v>50</v>
      </c>
      <c r="F295" s="1">
        <v>45308</v>
      </c>
      <c r="G295">
        <v>5</v>
      </c>
      <c r="H295">
        <v>3114.98</v>
      </c>
      <c r="I295">
        <v>20</v>
      </c>
      <c r="J295" t="s">
        <v>36</v>
      </c>
      <c r="K295">
        <v>3114.98</v>
      </c>
      <c r="L295">
        <v>15574.9</v>
      </c>
      <c r="M295">
        <v>12459.92</v>
      </c>
      <c r="N295" t="s">
        <v>116</v>
      </c>
      <c r="O295">
        <v>2024</v>
      </c>
    </row>
    <row r="296" spans="1:15" x14ac:dyDescent="0.3">
      <c r="A296" t="s">
        <v>381</v>
      </c>
      <c r="B296" t="s">
        <v>43</v>
      </c>
      <c r="C296" t="s">
        <v>54</v>
      </c>
      <c r="D296" t="s">
        <v>68</v>
      </c>
      <c r="E296" t="s">
        <v>50</v>
      </c>
      <c r="F296" s="1">
        <v>45629</v>
      </c>
      <c r="G296">
        <v>4</v>
      </c>
      <c r="H296">
        <v>4925.05</v>
      </c>
      <c r="I296">
        <v>5</v>
      </c>
      <c r="J296" t="s">
        <v>20</v>
      </c>
      <c r="K296">
        <v>985.01</v>
      </c>
      <c r="L296">
        <v>19700.2</v>
      </c>
      <c r="M296">
        <v>18715.189999999999</v>
      </c>
      <c r="N296" t="s">
        <v>51</v>
      </c>
      <c r="O296">
        <v>2024</v>
      </c>
    </row>
    <row r="297" spans="1:15" x14ac:dyDescent="0.3">
      <c r="A297" t="s">
        <v>382</v>
      </c>
      <c r="B297" t="s">
        <v>61</v>
      </c>
      <c r="C297" t="s">
        <v>90</v>
      </c>
      <c r="D297" t="s">
        <v>91</v>
      </c>
      <c r="E297" t="s">
        <v>30</v>
      </c>
      <c r="F297" s="1">
        <v>45555</v>
      </c>
      <c r="G297">
        <v>8</v>
      </c>
      <c r="H297">
        <v>1712.44</v>
      </c>
      <c r="I297">
        <v>15</v>
      </c>
      <c r="J297" t="s">
        <v>45</v>
      </c>
      <c r="K297">
        <v>2054.9299999999998</v>
      </c>
      <c r="L297">
        <v>13699.52</v>
      </c>
      <c r="M297">
        <v>11644.59</v>
      </c>
      <c r="N297" t="s">
        <v>86</v>
      </c>
      <c r="O297">
        <v>2024</v>
      </c>
    </row>
    <row r="298" spans="1:15" x14ac:dyDescent="0.3">
      <c r="A298" t="s">
        <v>383</v>
      </c>
      <c r="B298" t="s">
        <v>16</v>
      </c>
      <c r="C298" t="s">
        <v>90</v>
      </c>
      <c r="D298" t="s">
        <v>107</v>
      </c>
      <c r="E298" t="s">
        <v>44</v>
      </c>
      <c r="F298" s="1">
        <v>45465</v>
      </c>
      <c r="G298">
        <v>3</v>
      </c>
      <c r="H298">
        <v>12960.94</v>
      </c>
      <c r="I298">
        <v>15</v>
      </c>
      <c r="J298" t="s">
        <v>45</v>
      </c>
      <c r="K298">
        <v>5832.42</v>
      </c>
      <c r="L298">
        <v>38882.82</v>
      </c>
      <c r="M298">
        <v>33050.400000000001</v>
      </c>
      <c r="N298" t="s">
        <v>72</v>
      </c>
      <c r="O298">
        <v>2024</v>
      </c>
    </row>
    <row r="299" spans="1:15" x14ac:dyDescent="0.3">
      <c r="A299" t="s">
        <v>384</v>
      </c>
      <c r="B299" t="s">
        <v>61</v>
      </c>
      <c r="C299" t="s">
        <v>34</v>
      </c>
      <c r="D299" t="s">
        <v>66</v>
      </c>
      <c r="E299" t="s">
        <v>25</v>
      </c>
      <c r="F299" s="1">
        <v>45368</v>
      </c>
      <c r="G299">
        <v>1</v>
      </c>
      <c r="H299">
        <v>43643.39</v>
      </c>
      <c r="I299">
        <v>15</v>
      </c>
      <c r="J299" t="s">
        <v>26</v>
      </c>
      <c r="K299">
        <v>6546.51</v>
      </c>
      <c r="L299">
        <v>43643.39</v>
      </c>
      <c r="M299">
        <v>37096.879999999997</v>
      </c>
      <c r="N299" t="s">
        <v>83</v>
      </c>
      <c r="O299">
        <v>2024</v>
      </c>
    </row>
    <row r="300" spans="1:15" x14ac:dyDescent="0.3">
      <c r="A300" t="s">
        <v>385</v>
      </c>
      <c r="B300" t="s">
        <v>47</v>
      </c>
      <c r="C300" t="s">
        <v>34</v>
      </c>
      <c r="D300" t="s">
        <v>85</v>
      </c>
      <c r="E300" t="s">
        <v>30</v>
      </c>
      <c r="F300" s="1">
        <v>45301</v>
      </c>
      <c r="G300">
        <v>4</v>
      </c>
      <c r="H300">
        <v>12317.2</v>
      </c>
      <c r="I300">
        <v>10</v>
      </c>
      <c r="J300" t="s">
        <v>36</v>
      </c>
      <c r="K300">
        <v>4926.88</v>
      </c>
      <c r="L300">
        <v>49268.800000000003</v>
      </c>
      <c r="M300">
        <v>44341.919999999998</v>
      </c>
      <c r="N300" t="s">
        <v>116</v>
      </c>
      <c r="O300">
        <v>2024</v>
      </c>
    </row>
    <row r="301" spans="1:15" x14ac:dyDescent="0.3">
      <c r="A301" t="s">
        <v>386</v>
      </c>
      <c r="B301" t="s">
        <v>61</v>
      </c>
      <c r="C301" t="s">
        <v>17</v>
      </c>
      <c r="D301" t="s">
        <v>24</v>
      </c>
      <c r="E301" t="s">
        <v>30</v>
      </c>
      <c r="F301" s="1">
        <v>45967</v>
      </c>
      <c r="G301">
        <v>8</v>
      </c>
      <c r="H301">
        <v>2982.98</v>
      </c>
      <c r="I301">
        <v>20</v>
      </c>
      <c r="J301" t="s">
        <v>71</v>
      </c>
      <c r="K301">
        <v>4772.7700000000004</v>
      </c>
      <c r="L301">
        <v>23863.84</v>
      </c>
      <c r="M301">
        <v>19091.07</v>
      </c>
      <c r="N301" t="s">
        <v>96</v>
      </c>
      <c r="O301">
        <v>2025</v>
      </c>
    </row>
    <row r="302" spans="1:15" x14ac:dyDescent="0.3">
      <c r="A302" t="s">
        <v>387</v>
      </c>
      <c r="B302" t="s">
        <v>109</v>
      </c>
      <c r="C302" t="s">
        <v>54</v>
      </c>
      <c r="D302" t="s">
        <v>68</v>
      </c>
      <c r="E302" t="s">
        <v>25</v>
      </c>
      <c r="F302" s="1">
        <v>45840</v>
      </c>
      <c r="G302">
        <v>5</v>
      </c>
      <c r="H302">
        <v>4069.29</v>
      </c>
      <c r="I302">
        <v>15</v>
      </c>
      <c r="J302" t="s">
        <v>40</v>
      </c>
      <c r="K302">
        <v>3051.97</v>
      </c>
      <c r="L302">
        <v>20346.45</v>
      </c>
      <c r="M302">
        <v>17294.48</v>
      </c>
      <c r="N302" t="s">
        <v>122</v>
      </c>
      <c r="O302">
        <v>2025</v>
      </c>
    </row>
    <row r="303" spans="1:15" x14ac:dyDescent="0.3">
      <c r="A303" t="s">
        <v>388</v>
      </c>
      <c r="B303" t="s">
        <v>114</v>
      </c>
      <c r="C303" t="s">
        <v>34</v>
      </c>
      <c r="D303" t="s">
        <v>80</v>
      </c>
      <c r="E303" t="s">
        <v>25</v>
      </c>
      <c r="F303" s="1">
        <v>45538</v>
      </c>
      <c r="G303">
        <v>4</v>
      </c>
      <c r="H303">
        <v>6329.67</v>
      </c>
      <c r="I303">
        <v>10</v>
      </c>
      <c r="J303" t="s">
        <v>36</v>
      </c>
      <c r="K303">
        <v>2531.87</v>
      </c>
      <c r="L303">
        <v>25318.68</v>
      </c>
      <c r="M303">
        <v>22786.81</v>
      </c>
      <c r="N303" t="s">
        <v>86</v>
      </c>
      <c r="O303">
        <v>2024</v>
      </c>
    </row>
    <row r="304" spans="1:15" x14ac:dyDescent="0.3">
      <c r="A304" t="s">
        <v>389</v>
      </c>
      <c r="B304" t="s">
        <v>74</v>
      </c>
      <c r="C304" t="s">
        <v>62</v>
      </c>
      <c r="D304" t="s">
        <v>119</v>
      </c>
      <c r="E304" t="s">
        <v>56</v>
      </c>
      <c r="F304" s="1">
        <v>45674</v>
      </c>
      <c r="G304">
        <v>7</v>
      </c>
      <c r="H304">
        <v>3551.62</v>
      </c>
      <c r="I304">
        <v>5</v>
      </c>
      <c r="J304" t="s">
        <v>82</v>
      </c>
      <c r="K304">
        <v>1243.07</v>
      </c>
      <c r="L304">
        <v>24861.34</v>
      </c>
      <c r="M304">
        <v>23618.27</v>
      </c>
      <c r="N304" t="s">
        <v>116</v>
      </c>
      <c r="O304">
        <v>2025</v>
      </c>
    </row>
    <row r="305" spans="1:15" x14ac:dyDescent="0.3">
      <c r="A305" t="s">
        <v>390</v>
      </c>
      <c r="B305" t="s">
        <v>61</v>
      </c>
      <c r="C305" t="s">
        <v>34</v>
      </c>
      <c r="D305" t="s">
        <v>48</v>
      </c>
      <c r="E305" t="s">
        <v>44</v>
      </c>
      <c r="F305" s="1">
        <v>45961</v>
      </c>
      <c r="G305">
        <v>1</v>
      </c>
      <c r="H305">
        <v>8125.7</v>
      </c>
      <c r="I305">
        <v>15</v>
      </c>
      <c r="J305" t="s">
        <v>82</v>
      </c>
      <c r="K305">
        <v>1218.8599999999999</v>
      </c>
      <c r="L305">
        <v>8125.7</v>
      </c>
      <c r="M305">
        <v>6906.84</v>
      </c>
      <c r="N305" t="s">
        <v>57</v>
      </c>
      <c r="O305">
        <v>2025</v>
      </c>
    </row>
    <row r="306" spans="1:15" x14ac:dyDescent="0.3">
      <c r="A306" t="s">
        <v>391</v>
      </c>
      <c r="B306" t="s">
        <v>89</v>
      </c>
      <c r="C306" t="s">
        <v>90</v>
      </c>
      <c r="D306" t="s">
        <v>91</v>
      </c>
      <c r="E306" t="s">
        <v>25</v>
      </c>
      <c r="F306" s="1">
        <v>46011</v>
      </c>
      <c r="G306">
        <v>3</v>
      </c>
      <c r="H306">
        <v>1519.11</v>
      </c>
      <c r="I306">
        <v>15</v>
      </c>
      <c r="J306" t="s">
        <v>26</v>
      </c>
      <c r="K306">
        <v>683.6</v>
      </c>
      <c r="L306">
        <v>4557.33</v>
      </c>
      <c r="M306">
        <v>3873.73</v>
      </c>
      <c r="N306" t="s">
        <v>51</v>
      </c>
      <c r="O306">
        <v>2025</v>
      </c>
    </row>
    <row r="307" spans="1:15" x14ac:dyDescent="0.3">
      <c r="A307" t="s">
        <v>392</v>
      </c>
      <c r="B307" t="s">
        <v>38</v>
      </c>
      <c r="C307" t="s">
        <v>62</v>
      </c>
      <c r="D307" t="s">
        <v>132</v>
      </c>
      <c r="E307" t="s">
        <v>25</v>
      </c>
      <c r="F307" s="1">
        <v>45527</v>
      </c>
      <c r="G307">
        <v>4</v>
      </c>
      <c r="H307">
        <v>2813.3</v>
      </c>
      <c r="I307">
        <v>20</v>
      </c>
      <c r="J307" t="s">
        <v>26</v>
      </c>
      <c r="K307">
        <v>2250.64</v>
      </c>
      <c r="L307">
        <v>11253.2</v>
      </c>
      <c r="M307">
        <v>9002.56</v>
      </c>
      <c r="N307" t="s">
        <v>21</v>
      </c>
      <c r="O307">
        <v>2024</v>
      </c>
    </row>
    <row r="308" spans="1:15" x14ac:dyDescent="0.3">
      <c r="A308" t="s">
        <v>393</v>
      </c>
      <c r="B308" t="s">
        <v>109</v>
      </c>
      <c r="C308" t="s">
        <v>90</v>
      </c>
      <c r="D308" t="s">
        <v>115</v>
      </c>
      <c r="E308" t="s">
        <v>25</v>
      </c>
      <c r="F308" s="1">
        <v>45848</v>
      </c>
      <c r="G308">
        <v>10</v>
      </c>
      <c r="H308">
        <v>8516.2199999999993</v>
      </c>
      <c r="I308">
        <v>5</v>
      </c>
      <c r="J308" t="s">
        <v>40</v>
      </c>
      <c r="K308">
        <v>4258.1099999999997</v>
      </c>
      <c r="L308">
        <v>85162.2</v>
      </c>
      <c r="M308">
        <v>80904.09</v>
      </c>
      <c r="N308" t="s">
        <v>122</v>
      </c>
      <c r="O308">
        <v>2025</v>
      </c>
    </row>
    <row r="309" spans="1:15" x14ac:dyDescent="0.3">
      <c r="A309" t="s">
        <v>394</v>
      </c>
      <c r="B309" t="s">
        <v>29</v>
      </c>
      <c r="C309" t="s">
        <v>62</v>
      </c>
      <c r="D309" t="s">
        <v>95</v>
      </c>
      <c r="E309" t="s">
        <v>81</v>
      </c>
      <c r="F309" s="1">
        <v>46021</v>
      </c>
      <c r="G309">
        <v>7</v>
      </c>
      <c r="H309">
        <v>996.35</v>
      </c>
      <c r="I309">
        <v>10</v>
      </c>
      <c r="J309" t="s">
        <v>36</v>
      </c>
      <c r="K309">
        <v>697.45</v>
      </c>
      <c r="L309">
        <v>6974.45</v>
      </c>
      <c r="M309">
        <v>6277</v>
      </c>
      <c r="N309" t="s">
        <v>51</v>
      </c>
      <c r="O309">
        <v>2025</v>
      </c>
    </row>
    <row r="310" spans="1:15" x14ac:dyDescent="0.3">
      <c r="A310" t="s">
        <v>395</v>
      </c>
      <c r="B310" t="s">
        <v>29</v>
      </c>
      <c r="C310" t="s">
        <v>34</v>
      </c>
      <c r="D310" t="s">
        <v>66</v>
      </c>
      <c r="E310" t="s">
        <v>81</v>
      </c>
      <c r="F310" s="1">
        <v>45985</v>
      </c>
      <c r="G310">
        <v>9</v>
      </c>
      <c r="H310">
        <v>43249.03</v>
      </c>
      <c r="I310">
        <v>5</v>
      </c>
      <c r="J310" t="s">
        <v>31</v>
      </c>
      <c r="K310">
        <v>19462.060000000001</v>
      </c>
      <c r="L310">
        <v>389241.27</v>
      </c>
      <c r="M310">
        <v>369779.21</v>
      </c>
      <c r="N310" t="s">
        <v>96</v>
      </c>
      <c r="O310">
        <v>2025</v>
      </c>
    </row>
    <row r="311" spans="1:15" x14ac:dyDescent="0.3">
      <c r="A311" t="s">
        <v>396</v>
      </c>
      <c r="B311" t="s">
        <v>16</v>
      </c>
      <c r="C311" t="s">
        <v>17</v>
      </c>
      <c r="D311" t="s">
        <v>24</v>
      </c>
      <c r="E311" t="s">
        <v>19</v>
      </c>
      <c r="F311" s="1">
        <v>45392</v>
      </c>
      <c r="G311">
        <v>7</v>
      </c>
      <c r="H311">
        <v>2874.11</v>
      </c>
      <c r="I311">
        <v>0</v>
      </c>
      <c r="J311" t="s">
        <v>26</v>
      </c>
      <c r="K311">
        <v>0</v>
      </c>
      <c r="L311">
        <v>20118.77</v>
      </c>
      <c r="M311">
        <v>20118.77</v>
      </c>
      <c r="N311" t="s">
        <v>27</v>
      </c>
      <c r="O311">
        <v>2024</v>
      </c>
    </row>
    <row r="312" spans="1:15" x14ac:dyDescent="0.3">
      <c r="A312" t="s">
        <v>397</v>
      </c>
      <c r="B312" t="s">
        <v>74</v>
      </c>
      <c r="C312" t="s">
        <v>62</v>
      </c>
      <c r="D312" t="s">
        <v>132</v>
      </c>
      <c r="E312" t="s">
        <v>81</v>
      </c>
      <c r="F312" s="1">
        <v>45626</v>
      </c>
      <c r="G312">
        <v>1</v>
      </c>
      <c r="H312">
        <v>2910.96</v>
      </c>
      <c r="I312">
        <v>15</v>
      </c>
      <c r="J312" t="s">
        <v>31</v>
      </c>
      <c r="K312">
        <v>436.64</v>
      </c>
      <c r="L312">
        <v>2910.96</v>
      </c>
      <c r="M312">
        <v>2474.3200000000002</v>
      </c>
      <c r="N312" t="s">
        <v>96</v>
      </c>
      <c r="O312">
        <v>2024</v>
      </c>
    </row>
    <row r="313" spans="1:15" x14ac:dyDescent="0.3">
      <c r="A313" t="s">
        <v>398</v>
      </c>
      <c r="B313" t="s">
        <v>33</v>
      </c>
      <c r="C313" t="s">
        <v>90</v>
      </c>
      <c r="D313" t="s">
        <v>107</v>
      </c>
      <c r="E313" t="s">
        <v>81</v>
      </c>
      <c r="F313" s="1">
        <v>45734</v>
      </c>
      <c r="G313">
        <v>3</v>
      </c>
      <c r="H313">
        <v>12839.08</v>
      </c>
      <c r="I313">
        <v>15</v>
      </c>
      <c r="J313" t="s">
        <v>31</v>
      </c>
      <c r="K313">
        <v>5777.59</v>
      </c>
      <c r="L313">
        <v>38517.24</v>
      </c>
      <c r="M313">
        <v>32739.65</v>
      </c>
      <c r="N313" t="s">
        <v>83</v>
      </c>
      <c r="O313">
        <v>2025</v>
      </c>
    </row>
    <row r="314" spans="1:15" x14ac:dyDescent="0.3">
      <c r="A314" t="s">
        <v>399</v>
      </c>
      <c r="B314" t="s">
        <v>43</v>
      </c>
      <c r="C314" t="s">
        <v>17</v>
      </c>
      <c r="D314" t="s">
        <v>24</v>
      </c>
      <c r="E314" t="s">
        <v>44</v>
      </c>
      <c r="F314" s="1">
        <v>46022</v>
      </c>
      <c r="G314">
        <v>2</v>
      </c>
      <c r="H314">
        <v>3037.68</v>
      </c>
      <c r="I314">
        <v>5</v>
      </c>
      <c r="J314" t="s">
        <v>20</v>
      </c>
      <c r="K314">
        <v>303.77</v>
      </c>
      <c r="L314">
        <v>6075.36</v>
      </c>
      <c r="M314">
        <v>5771.59</v>
      </c>
      <c r="N314" t="s">
        <v>51</v>
      </c>
      <c r="O314">
        <v>2025</v>
      </c>
    </row>
    <row r="315" spans="1:15" x14ac:dyDescent="0.3">
      <c r="A315" t="s">
        <v>400</v>
      </c>
      <c r="B315" t="s">
        <v>16</v>
      </c>
      <c r="C315" t="s">
        <v>90</v>
      </c>
      <c r="D315" t="s">
        <v>107</v>
      </c>
      <c r="E315" t="s">
        <v>56</v>
      </c>
      <c r="F315" s="1">
        <v>45661</v>
      </c>
      <c r="G315">
        <v>2</v>
      </c>
      <c r="H315">
        <v>11074.56</v>
      </c>
      <c r="I315">
        <v>10</v>
      </c>
      <c r="J315" t="s">
        <v>45</v>
      </c>
      <c r="K315">
        <v>2214.91</v>
      </c>
      <c r="L315">
        <v>22149.119999999999</v>
      </c>
      <c r="M315">
        <v>19934.21</v>
      </c>
      <c r="N315" t="s">
        <v>116</v>
      </c>
      <c r="O315">
        <v>2025</v>
      </c>
    </row>
    <row r="316" spans="1:15" x14ac:dyDescent="0.3">
      <c r="A316" t="s">
        <v>401</v>
      </c>
      <c r="B316" t="s">
        <v>74</v>
      </c>
      <c r="C316" t="s">
        <v>90</v>
      </c>
      <c r="D316" t="s">
        <v>115</v>
      </c>
      <c r="E316" t="s">
        <v>19</v>
      </c>
      <c r="F316" s="1">
        <v>45427</v>
      </c>
      <c r="G316">
        <v>2</v>
      </c>
      <c r="H316">
        <v>7574.78</v>
      </c>
      <c r="I316">
        <v>15</v>
      </c>
      <c r="J316" t="s">
        <v>82</v>
      </c>
      <c r="K316">
        <v>2272.4299999999998</v>
      </c>
      <c r="L316">
        <v>15149.56</v>
      </c>
      <c r="M316">
        <v>12877.13</v>
      </c>
      <c r="N316" t="s">
        <v>101</v>
      </c>
      <c r="O316">
        <v>2024</v>
      </c>
    </row>
    <row r="317" spans="1:15" x14ac:dyDescent="0.3">
      <c r="A317" t="s">
        <v>402</v>
      </c>
      <c r="B317" t="s">
        <v>65</v>
      </c>
      <c r="C317" t="s">
        <v>54</v>
      </c>
      <c r="D317" t="s">
        <v>77</v>
      </c>
      <c r="E317" t="s">
        <v>56</v>
      </c>
      <c r="F317" s="1">
        <v>45318</v>
      </c>
      <c r="G317">
        <v>2</v>
      </c>
      <c r="H317">
        <v>4942.3900000000003</v>
      </c>
      <c r="I317">
        <v>0</v>
      </c>
      <c r="J317" t="s">
        <v>82</v>
      </c>
      <c r="K317">
        <v>0</v>
      </c>
      <c r="L317">
        <v>9884.7800000000007</v>
      </c>
      <c r="M317">
        <v>9884.7800000000007</v>
      </c>
      <c r="N317" t="s">
        <v>116</v>
      </c>
      <c r="O317">
        <v>2024</v>
      </c>
    </row>
    <row r="318" spans="1:15" x14ac:dyDescent="0.3">
      <c r="A318" t="s">
        <v>403</v>
      </c>
      <c r="B318" t="s">
        <v>74</v>
      </c>
      <c r="C318" t="s">
        <v>54</v>
      </c>
      <c r="D318" t="s">
        <v>77</v>
      </c>
      <c r="E318" t="s">
        <v>19</v>
      </c>
      <c r="F318" s="1">
        <v>45304</v>
      </c>
      <c r="G318">
        <v>5</v>
      </c>
      <c r="H318">
        <v>5017.26</v>
      </c>
      <c r="I318">
        <v>0</v>
      </c>
      <c r="J318" t="s">
        <v>31</v>
      </c>
      <c r="K318">
        <v>0</v>
      </c>
      <c r="L318">
        <v>25086.3</v>
      </c>
      <c r="M318">
        <v>25086.3</v>
      </c>
      <c r="N318" t="s">
        <v>116</v>
      </c>
      <c r="O318">
        <v>2024</v>
      </c>
    </row>
    <row r="319" spans="1:15" x14ac:dyDescent="0.3">
      <c r="A319" t="s">
        <v>404</v>
      </c>
      <c r="B319" t="s">
        <v>93</v>
      </c>
      <c r="C319" t="s">
        <v>54</v>
      </c>
      <c r="D319" t="s">
        <v>55</v>
      </c>
      <c r="E319" t="s">
        <v>81</v>
      </c>
      <c r="F319" s="1">
        <v>45993</v>
      </c>
      <c r="G319">
        <v>7</v>
      </c>
      <c r="H319">
        <v>1243.94</v>
      </c>
      <c r="I319">
        <v>10</v>
      </c>
      <c r="J319" t="s">
        <v>36</v>
      </c>
      <c r="K319">
        <v>870.76</v>
      </c>
      <c r="L319">
        <v>8707.58</v>
      </c>
      <c r="M319">
        <v>7836.82</v>
      </c>
      <c r="N319" t="s">
        <v>51</v>
      </c>
      <c r="O319">
        <v>2025</v>
      </c>
    </row>
    <row r="320" spans="1:15" x14ac:dyDescent="0.3">
      <c r="A320" t="s">
        <v>405</v>
      </c>
      <c r="B320" t="s">
        <v>89</v>
      </c>
      <c r="C320" t="s">
        <v>62</v>
      </c>
      <c r="D320" t="s">
        <v>119</v>
      </c>
      <c r="E320" t="s">
        <v>50</v>
      </c>
      <c r="F320" s="1">
        <v>45463</v>
      </c>
      <c r="G320">
        <v>7</v>
      </c>
      <c r="H320">
        <v>3391.47</v>
      </c>
      <c r="I320">
        <v>10</v>
      </c>
      <c r="J320" t="s">
        <v>82</v>
      </c>
      <c r="K320">
        <v>2374.0300000000002</v>
      </c>
      <c r="L320">
        <v>23740.29</v>
      </c>
      <c r="M320">
        <v>21366.26</v>
      </c>
      <c r="N320" t="s">
        <v>72</v>
      </c>
      <c r="O320">
        <v>2024</v>
      </c>
    </row>
    <row r="321" spans="1:15" x14ac:dyDescent="0.3">
      <c r="A321" t="s">
        <v>406</v>
      </c>
      <c r="B321" t="s">
        <v>33</v>
      </c>
      <c r="C321" t="s">
        <v>90</v>
      </c>
      <c r="D321" t="s">
        <v>105</v>
      </c>
      <c r="E321" t="s">
        <v>19</v>
      </c>
      <c r="F321" s="1">
        <v>45932</v>
      </c>
      <c r="G321">
        <v>8</v>
      </c>
      <c r="H321">
        <v>4036.54</v>
      </c>
      <c r="I321">
        <v>5</v>
      </c>
      <c r="J321" t="s">
        <v>20</v>
      </c>
      <c r="K321">
        <v>1614.62</v>
      </c>
      <c r="L321">
        <v>32292.32</v>
      </c>
      <c r="M321">
        <v>30677.7</v>
      </c>
      <c r="N321" t="s">
        <v>57</v>
      </c>
      <c r="O321">
        <v>2025</v>
      </c>
    </row>
    <row r="322" spans="1:15" x14ac:dyDescent="0.3">
      <c r="A322" t="s">
        <v>407</v>
      </c>
      <c r="B322" t="s">
        <v>53</v>
      </c>
      <c r="C322" t="s">
        <v>90</v>
      </c>
      <c r="D322" t="s">
        <v>105</v>
      </c>
      <c r="E322" t="s">
        <v>19</v>
      </c>
      <c r="F322" s="1">
        <v>45697</v>
      </c>
      <c r="G322">
        <v>6</v>
      </c>
      <c r="H322">
        <v>3886.41</v>
      </c>
      <c r="I322">
        <v>15</v>
      </c>
      <c r="J322" t="s">
        <v>26</v>
      </c>
      <c r="K322">
        <v>3497.77</v>
      </c>
      <c r="L322">
        <v>23318.46</v>
      </c>
      <c r="M322">
        <v>19820.689999999999</v>
      </c>
      <c r="N322" t="s">
        <v>41</v>
      </c>
      <c r="O322">
        <v>2025</v>
      </c>
    </row>
    <row r="323" spans="1:15" x14ac:dyDescent="0.3">
      <c r="A323" t="s">
        <v>408</v>
      </c>
      <c r="B323" t="s">
        <v>33</v>
      </c>
      <c r="C323" t="s">
        <v>62</v>
      </c>
      <c r="D323" t="s">
        <v>99</v>
      </c>
      <c r="E323" t="s">
        <v>56</v>
      </c>
      <c r="F323" s="1">
        <v>45599</v>
      </c>
      <c r="G323">
        <v>6</v>
      </c>
      <c r="H323">
        <v>1733.82</v>
      </c>
      <c r="I323">
        <v>5</v>
      </c>
      <c r="J323" t="s">
        <v>36</v>
      </c>
      <c r="K323">
        <v>520.15</v>
      </c>
      <c r="L323">
        <v>10402.92</v>
      </c>
      <c r="M323">
        <v>9882.77</v>
      </c>
      <c r="N323" t="s">
        <v>96</v>
      </c>
      <c r="O323">
        <v>2024</v>
      </c>
    </row>
    <row r="324" spans="1:15" x14ac:dyDescent="0.3">
      <c r="A324" t="s">
        <v>409</v>
      </c>
      <c r="B324" t="s">
        <v>53</v>
      </c>
      <c r="C324" t="s">
        <v>90</v>
      </c>
      <c r="D324" t="s">
        <v>115</v>
      </c>
      <c r="E324" t="s">
        <v>56</v>
      </c>
      <c r="F324" s="1">
        <v>45590</v>
      </c>
      <c r="G324">
        <v>8</v>
      </c>
      <c r="H324">
        <v>10049.08</v>
      </c>
      <c r="I324">
        <v>5</v>
      </c>
      <c r="J324" t="s">
        <v>45</v>
      </c>
      <c r="K324">
        <v>4019.63</v>
      </c>
      <c r="L324">
        <v>80392.639999999999</v>
      </c>
      <c r="M324">
        <v>76373.009999999995</v>
      </c>
      <c r="N324" t="s">
        <v>57</v>
      </c>
      <c r="O324">
        <v>2024</v>
      </c>
    </row>
    <row r="325" spans="1:15" x14ac:dyDescent="0.3">
      <c r="A325" t="s">
        <v>410</v>
      </c>
      <c r="B325" t="s">
        <v>43</v>
      </c>
      <c r="C325" t="s">
        <v>62</v>
      </c>
      <c r="D325" t="s">
        <v>99</v>
      </c>
      <c r="E325" t="s">
        <v>44</v>
      </c>
      <c r="F325" s="1">
        <v>45665</v>
      </c>
      <c r="G325">
        <v>2</v>
      </c>
      <c r="H325">
        <v>1699.53</v>
      </c>
      <c r="I325">
        <v>5</v>
      </c>
      <c r="J325" t="s">
        <v>31</v>
      </c>
      <c r="K325">
        <v>169.95</v>
      </c>
      <c r="L325">
        <v>3399.06</v>
      </c>
      <c r="M325">
        <v>3229.11</v>
      </c>
      <c r="N325" t="s">
        <v>116</v>
      </c>
      <c r="O325">
        <v>2025</v>
      </c>
    </row>
    <row r="326" spans="1:15" x14ac:dyDescent="0.3">
      <c r="A326" t="s">
        <v>411</v>
      </c>
      <c r="B326" t="s">
        <v>53</v>
      </c>
      <c r="C326" t="s">
        <v>54</v>
      </c>
      <c r="D326" t="s">
        <v>77</v>
      </c>
      <c r="E326" t="s">
        <v>30</v>
      </c>
      <c r="F326" s="1">
        <v>45764</v>
      </c>
      <c r="G326">
        <v>4</v>
      </c>
      <c r="H326">
        <v>5048.07</v>
      </c>
      <c r="I326">
        <v>10</v>
      </c>
      <c r="J326" t="s">
        <v>26</v>
      </c>
      <c r="K326">
        <v>2019.23</v>
      </c>
      <c r="L326">
        <v>20192.28</v>
      </c>
      <c r="M326">
        <v>18173.05</v>
      </c>
      <c r="N326" t="s">
        <v>27</v>
      </c>
      <c r="O326">
        <v>2025</v>
      </c>
    </row>
    <row r="327" spans="1:15" x14ac:dyDescent="0.3">
      <c r="A327" t="s">
        <v>412</v>
      </c>
      <c r="B327" t="s">
        <v>61</v>
      </c>
      <c r="C327" t="s">
        <v>17</v>
      </c>
      <c r="D327" t="s">
        <v>157</v>
      </c>
      <c r="E327" t="s">
        <v>56</v>
      </c>
      <c r="F327" s="1">
        <v>45940</v>
      </c>
      <c r="G327">
        <v>5</v>
      </c>
      <c r="H327">
        <v>7395.89</v>
      </c>
      <c r="I327">
        <v>5</v>
      </c>
      <c r="J327" t="s">
        <v>36</v>
      </c>
      <c r="K327">
        <v>1848.97</v>
      </c>
      <c r="L327">
        <v>36979.449999999997</v>
      </c>
      <c r="M327">
        <v>35130.480000000003</v>
      </c>
      <c r="N327" t="s">
        <v>57</v>
      </c>
      <c r="O327">
        <v>2025</v>
      </c>
    </row>
    <row r="328" spans="1:15" x14ac:dyDescent="0.3">
      <c r="A328" t="s">
        <v>413</v>
      </c>
      <c r="B328" t="s">
        <v>47</v>
      </c>
      <c r="C328" t="s">
        <v>90</v>
      </c>
      <c r="D328" t="s">
        <v>152</v>
      </c>
      <c r="E328" t="s">
        <v>56</v>
      </c>
      <c r="F328" s="1">
        <v>45888</v>
      </c>
      <c r="G328">
        <v>7</v>
      </c>
      <c r="H328">
        <v>10335.92</v>
      </c>
      <c r="I328">
        <v>15</v>
      </c>
      <c r="J328" t="s">
        <v>71</v>
      </c>
      <c r="K328">
        <v>10852.72</v>
      </c>
      <c r="L328">
        <v>72351.44</v>
      </c>
      <c r="M328">
        <v>61498.720000000001</v>
      </c>
      <c r="N328" t="s">
        <v>21</v>
      </c>
      <c r="O328">
        <v>2025</v>
      </c>
    </row>
    <row r="329" spans="1:15" x14ac:dyDescent="0.3">
      <c r="A329" t="s">
        <v>414</v>
      </c>
      <c r="B329" t="s">
        <v>74</v>
      </c>
      <c r="C329" t="s">
        <v>54</v>
      </c>
      <c r="D329" t="s">
        <v>70</v>
      </c>
      <c r="E329" t="s">
        <v>19</v>
      </c>
      <c r="F329" s="1">
        <v>45403</v>
      </c>
      <c r="G329">
        <v>4</v>
      </c>
      <c r="H329">
        <v>2661</v>
      </c>
      <c r="I329">
        <v>10</v>
      </c>
      <c r="J329" t="s">
        <v>82</v>
      </c>
      <c r="K329">
        <v>1064.4000000000001</v>
      </c>
      <c r="L329">
        <v>10644</v>
      </c>
      <c r="M329">
        <v>9579.6</v>
      </c>
      <c r="N329" t="s">
        <v>27</v>
      </c>
      <c r="O329">
        <v>2024</v>
      </c>
    </row>
    <row r="330" spans="1:15" x14ac:dyDescent="0.3">
      <c r="A330" t="s">
        <v>415</v>
      </c>
      <c r="B330" t="s">
        <v>109</v>
      </c>
      <c r="C330" t="s">
        <v>34</v>
      </c>
      <c r="D330" t="s">
        <v>66</v>
      </c>
      <c r="E330" t="s">
        <v>81</v>
      </c>
      <c r="F330" s="1">
        <v>45631</v>
      </c>
      <c r="G330">
        <v>7</v>
      </c>
      <c r="H330">
        <v>40765.39</v>
      </c>
      <c r="I330">
        <v>0</v>
      </c>
      <c r="J330" t="s">
        <v>31</v>
      </c>
      <c r="K330">
        <v>0</v>
      </c>
      <c r="L330">
        <v>285357.73</v>
      </c>
      <c r="M330">
        <v>285357.73</v>
      </c>
      <c r="N330" t="s">
        <v>51</v>
      </c>
      <c r="O330">
        <v>2024</v>
      </c>
    </row>
    <row r="331" spans="1:15" x14ac:dyDescent="0.3">
      <c r="A331" t="s">
        <v>416</v>
      </c>
      <c r="B331" t="s">
        <v>65</v>
      </c>
      <c r="C331" t="s">
        <v>62</v>
      </c>
      <c r="D331" t="s">
        <v>63</v>
      </c>
      <c r="E331" t="s">
        <v>30</v>
      </c>
      <c r="F331" s="1">
        <v>45748</v>
      </c>
      <c r="G331">
        <v>6</v>
      </c>
      <c r="H331">
        <v>1796.01</v>
      </c>
      <c r="I331">
        <v>20</v>
      </c>
      <c r="J331" t="s">
        <v>20</v>
      </c>
      <c r="K331">
        <v>2155.21</v>
      </c>
      <c r="L331">
        <v>10776.06</v>
      </c>
      <c r="M331">
        <v>8620.85</v>
      </c>
      <c r="N331" t="s">
        <v>27</v>
      </c>
      <c r="O331">
        <v>2025</v>
      </c>
    </row>
    <row r="332" spans="1:15" x14ac:dyDescent="0.3">
      <c r="A332" t="s">
        <v>417</v>
      </c>
      <c r="B332" t="s">
        <v>33</v>
      </c>
      <c r="C332" t="s">
        <v>54</v>
      </c>
      <c r="D332" t="s">
        <v>55</v>
      </c>
      <c r="E332" t="s">
        <v>25</v>
      </c>
      <c r="F332" s="1">
        <v>45399</v>
      </c>
      <c r="G332">
        <v>5</v>
      </c>
      <c r="H332">
        <v>1204.79</v>
      </c>
      <c r="I332">
        <v>0</v>
      </c>
      <c r="J332" t="s">
        <v>71</v>
      </c>
      <c r="K332">
        <v>0</v>
      </c>
      <c r="L332">
        <v>6023.95</v>
      </c>
      <c r="M332">
        <v>6023.95</v>
      </c>
      <c r="N332" t="s">
        <v>27</v>
      </c>
      <c r="O332">
        <v>2024</v>
      </c>
    </row>
    <row r="333" spans="1:15" x14ac:dyDescent="0.3">
      <c r="A333" t="s">
        <v>418</v>
      </c>
      <c r="B333" t="s">
        <v>33</v>
      </c>
      <c r="C333" t="s">
        <v>17</v>
      </c>
      <c r="D333" t="s">
        <v>59</v>
      </c>
      <c r="E333" t="s">
        <v>19</v>
      </c>
      <c r="F333" s="1">
        <v>45758</v>
      </c>
      <c r="G333">
        <v>4</v>
      </c>
      <c r="H333">
        <v>25756.97</v>
      </c>
      <c r="I333">
        <v>10</v>
      </c>
      <c r="J333" t="s">
        <v>45</v>
      </c>
      <c r="K333">
        <v>10302.790000000001</v>
      </c>
      <c r="L333">
        <v>103027.88</v>
      </c>
      <c r="M333">
        <v>92725.09</v>
      </c>
      <c r="N333" t="s">
        <v>27</v>
      </c>
      <c r="O333">
        <v>2025</v>
      </c>
    </row>
    <row r="334" spans="1:15" x14ac:dyDescent="0.3">
      <c r="A334" t="s">
        <v>419</v>
      </c>
      <c r="B334" t="s">
        <v>89</v>
      </c>
      <c r="C334" t="s">
        <v>90</v>
      </c>
      <c r="D334" t="s">
        <v>105</v>
      </c>
      <c r="E334" t="s">
        <v>30</v>
      </c>
      <c r="F334" s="1">
        <v>45618</v>
      </c>
      <c r="G334">
        <v>2</v>
      </c>
      <c r="H334">
        <v>3754</v>
      </c>
      <c r="I334">
        <v>0</v>
      </c>
      <c r="J334" t="s">
        <v>71</v>
      </c>
      <c r="K334">
        <v>0</v>
      </c>
      <c r="L334">
        <v>7508</v>
      </c>
      <c r="M334">
        <v>7508</v>
      </c>
      <c r="N334" t="s">
        <v>96</v>
      </c>
      <c r="O334">
        <v>2024</v>
      </c>
    </row>
    <row r="335" spans="1:15" x14ac:dyDescent="0.3">
      <c r="A335" t="s">
        <v>420</v>
      </c>
      <c r="B335" t="s">
        <v>61</v>
      </c>
      <c r="C335" t="s">
        <v>17</v>
      </c>
      <c r="D335" t="s">
        <v>39</v>
      </c>
      <c r="E335" t="s">
        <v>25</v>
      </c>
      <c r="F335" s="1">
        <v>45541</v>
      </c>
      <c r="G335">
        <v>9</v>
      </c>
      <c r="H335">
        <v>16985.04</v>
      </c>
      <c r="I335">
        <v>5</v>
      </c>
      <c r="J335" t="s">
        <v>36</v>
      </c>
      <c r="K335">
        <v>7643.27</v>
      </c>
      <c r="L335">
        <v>152865.35999999999</v>
      </c>
      <c r="M335">
        <v>145222.09</v>
      </c>
      <c r="N335" t="s">
        <v>86</v>
      </c>
      <c r="O335">
        <v>2024</v>
      </c>
    </row>
    <row r="336" spans="1:15" x14ac:dyDescent="0.3">
      <c r="A336" t="s">
        <v>421</v>
      </c>
      <c r="B336" t="s">
        <v>23</v>
      </c>
      <c r="C336" t="s">
        <v>62</v>
      </c>
      <c r="D336" t="s">
        <v>132</v>
      </c>
      <c r="E336" t="s">
        <v>56</v>
      </c>
      <c r="F336" s="1">
        <v>45706</v>
      </c>
      <c r="G336">
        <v>3</v>
      </c>
      <c r="H336">
        <v>2366.4899999999998</v>
      </c>
      <c r="I336">
        <v>15</v>
      </c>
      <c r="J336" t="s">
        <v>20</v>
      </c>
      <c r="K336">
        <v>1064.92</v>
      </c>
      <c r="L336">
        <v>7099.47</v>
      </c>
      <c r="M336">
        <v>6034.55</v>
      </c>
      <c r="N336" t="s">
        <v>41</v>
      </c>
      <c r="O336">
        <v>2025</v>
      </c>
    </row>
    <row r="337" spans="1:15" x14ac:dyDescent="0.3">
      <c r="A337" t="s">
        <v>422</v>
      </c>
      <c r="B337" t="s">
        <v>16</v>
      </c>
      <c r="C337" t="s">
        <v>90</v>
      </c>
      <c r="D337" t="s">
        <v>105</v>
      </c>
      <c r="E337" t="s">
        <v>81</v>
      </c>
      <c r="F337" s="1">
        <v>45752</v>
      </c>
      <c r="G337">
        <v>10</v>
      </c>
      <c r="H337">
        <v>3525.86</v>
      </c>
      <c r="I337">
        <v>0</v>
      </c>
      <c r="J337" t="s">
        <v>20</v>
      </c>
      <c r="K337">
        <v>0</v>
      </c>
      <c r="L337">
        <v>35258.6</v>
      </c>
      <c r="M337">
        <v>35258.6</v>
      </c>
      <c r="N337" t="s">
        <v>27</v>
      </c>
      <c r="O337">
        <v>2025</v>
      </c>
    </row>
    <row r="338" spans="1:15" x14ac:dyDescent="0.3">
      <c r="A338" t="s">
        <v>423</v>
      </c>
      <c r="B338" t="s">
        <v>43</v>
      </c>
      <c r="C338" t="s">
        <v>34</v>
      </c>
      <c r="D338" t="s">
        <v>85</v>
      </c>
      <c r="E338" t="s">
        <v>44</v>
      </c>
      <c r="F338" s="1">
        <v>45883</v>
      </c>
      <c r="G338">
        <v>2</v>
      </c>
      <c r="H338">
        <v>13198.51</v>
      </c>
      <c r="I338">
        <v>20</v>
      </c>
      <c r="J338" t="s">
        <v>82</v>
      </c>
      <c r="K338">
        <v>5279.4</v>
      </c>
      <c r="L338">
        <v>26397.02</v>
      </c>
      <c r="M338">
        <v>21117.62</v>
      </c>
      <c r="N338" t="s">
        <v>21</v>
      </c>
      <c r="O338">
        <v>2025</v>
      </c>
    </row>
    <row r="339" spans="1:15" x14ac:dyDescent="0.3">
      <c r="A339" t="s">
        <v>424</v>
      </c>
      <c r="B339" t="s">
        <v>33</v>
      </c>
      <c r="C339" t="s">
        <v>34</v>
      </c>
      <c r="D339" t="s">
        <v>48</v>
      </c>
      <c r="E339" t="s">
        <v>50</v>
      </c>
      <c r="F339" s="1">
        <v>45408</v>
      </c>
      <c r="G339">
        <v>5</v>
      </c>
      <c r="H339">
        <v>8541.4</v>
      </c>
      <c r="I339">
        <v>15</v>
      </c>
      <c r="J339" t="s">
        <v>71</v>
      </c>
      <c r="K339">
        <v>6406.05</v>
      </c>
      <c r="L339">
        <v>42707</v>
      </c>
      <c r="M339">
        <v>36300.949999999997</v>
      </c>
      <c r="N339" t="s">
        <v>27</v>
      </c>
      <c r="O339">
        <v>2024</v>
      </c>
    </row>
    <row r="340" spans="1:15" x14ac:dyDescent="0.3">
      <c r="A340" t="s">
        <v>425</v>
      </c>
      <c r="B340" t="s">
        <v>93</v>
      </c>
      <c r="C340" t="s">
        <v>54</v>
      </c>
      <c r="D340" t="s">
        <v>137</v>
      </c>
      <c r="E340" t="s">
        <v>56</v>
      </c>
      <c r="F340" s="1">
        <v>45893</v>
      </c>
      <c r="G340">
        <v>2</v>
      </c>
      <c r="H340">
        <v>888.28</v>
      </c>
      <c r="I340">
        <v>15</v>
      </c>
      <c r="J340" t="s">
        <v>31</v>
      </c>
      <c r="K340">
        <v>266.48</v>
      </c>
      <c r="L340">
        <v>1776.56</v>
      </c>
      <c r="M340">
        <v>1510.08</v>
      </c>
      <c r="N340" t="s">
        <v>21</v>
      </c>
      <c r="O340">
        <v>2025</v>
      </c>
    </row>
    <row r="341" spans="1:15" x14ac:dyDescent="0.3">
      <c r="A341" t="s">
        <v>426</v>
      </c>
      <c r="B341" t="s">
        <v>38</v>
      </c>
      <c r="C341" t="s">
        <v>54</v>
      </c>
      <c r="D341" t="s">
        <v>55</v>
      </c>
      <c r="E341" t="s">
        <v>30</v>
      </c>
      <c r="F341" s="1">
        <v>45921</v>
      </c>
      <c r="G341">
        <v>10</v>
      </c>
      <c r="H341">
        <v>1105.43</v>
      </c>
      <c r="I341">
        <v>5</v>
      </c>
      <c r="J341" t="s">
        <v>40</v>
      </c>
      <c r="K341">
        <v>552.72</v>
      </c>
      <c r="L341">
        <v>11054.3</v>
      </c>
      <c r="M341">
        <v>10501.58</v>
      </c>
      <c r="N341" t="s">
        <v>86</v>
      </c>
      <c r="O341">
        <v>2025</v>
      </c>
    </row>
    <row r="342" spans="1:15" x14ac:dyDescent="0.3">
      <c r="A342" t="s">
        <v>427</v>
      </c>
      <c r="B342" t="s">
        <v>29</v>
      </c>
      <c r="C342" t="s">
        <v>62</v>
      </c>
      <c r="D342" t="s">
        <v>95</v>
      </c>
      <c r="E342" t="s">
        <v>19</v>
      </c>
      <c r="F342" s="1">
        <v>45479</v>
      </c>
      <c r="G342">
        <v>6</v>
      </c>
      <c r="H342">
        <v>858.69</v>
      </c>
      <c r="I342">
        <v>20</v>
      </c>
      <c r="J342" t="s">
        <v>82</v>
      </c>
      <c r="K342">
        <v>1030.43</v>
      </c>
      <c r="L342">
        <v>5152.1400000000003</v>
      </c>
      <c r="M342">
        <v>4121.71</v>
      </c>
      <c r="N342" t="s">
        <v>122</v>
      </c>
      <c r="O342">
        <v>2024</v>
      </c>
    </row>
    <row r="343" spans="1:15" x14ac:dyDescent="0.3">
      <c r="A343" t="s">
        <v>428</v>
      </c>
      <c r="B343" t="s">
        <v>93</v>
      </c>
      <c r="C343" t="s">
        <v>90</v>
      </c>
      <c r="D343" t="s">
        <v>152</v>
      </c>
      <c r="E343" t="s">
        <v>50</v>
      </c>
      <c r="F343" s="1">
        <v>45725</v>
      </c>
      <c r="G343">
        <v>3</v>
      </c>
      <c r="H343">
        <v>10216.68</v>
      </c>
      <c r="I343">
        <v>20</v>
      </c>
      <c r="J343" t="s">
        <v>31</v>
      </c>
      <c r="K343">
        <v>6130.01</v>
      </c>
      <c r="L343">
        <v>30650.04</v>
      </c>
      <c r="M343">
        <v>24520.03</v>
      </c>
      <c r="N343" t="s">
        <v>83</v>
      </c>
      <c r="O343">
        <v>2025</v>
      </c>
    </row>
    <row r="344" spans="1:15" x14ac:dyDescent="0.3">
      <c r="A344" t="s">
        <v>429</v>
      </c>
      <c r="B344" t="s">
        <v>53</v>
      </c>
      <c r="C344" t="s">
        <v>34</v>
      </c>
      <c r="D344" t="s">
        <v>66</v>
      </c>
      <c r="E344" t="s">
        <v>56</v>
      </c>
      <c r="F344" s="1">
        <v>45435</v>
      </c>
      <c r="G344">
        <v>3</v>
      </c>
      <c r="H344">
        <v>39145.800000000003</v>
      </c>
      <c r="I344">
        <v>15</v>
      </c>
      <c r="J344" t="s">
        <v>40</v>
      </c>
      <c r="K344">
        <v>17615.61</v>
      </c>
      <c r="L344">
        <v>117437.4</v>
      </c>
      <c r="M344">
        <v>99821.79</v>
      </c>
      <c r="N344" t="s">
        <v>101</v>
      </c>
      <c r="O344">
        <v>2024</v>
      </c>
    </row>
    <row r="345" spans="1:15" x14ac:dyDescent="0.3">
      <c r="A345" t="s">
        <v>430</v>
      </c>
      <c r="B345" t="s">
        <v>38</v>
      </c>
      <c r="C345" t="s">
        <v>54</v>
      </c>
      <c r="D345" t="s">
        <v>70</v>
      </c>
      <c r="E345" t="s">
        <v>19</v>
      </c>
      <c r="F345" s="1">
        <v>45788</v>
      </c>
      <c r="G345">
        <v>3</v>
      </c>
      <c r="H345">
        <v>2371.96</v>
      </c>
      <c r="I345">
        <v>15</v>
      </c>
      <c r="J345" t="s">
        <v>26</v>
      </c>
      <c r="K345">
        <v>1067.3800000000001</v>
      </c>
      <c r="L345">
        <v>7115.88</v>
      </c>
      <c r="M345">
        <v>6048.5</v>
      </c>
      <c r="N345" t="s">
        <v>101</v>
      </c>
      <c r="O345">
        <v>2025</v>
      </c>
    </row>
    <row r="346" spans="1:15" x14ac:dyDescent="0.3">
      <c r="A346" t="s">
        <v>431</v>
      </c>
      <c r="B346" t="s">
        <v>61</v>
      </c>
      <c r="C346" t="s">
        <v>54</v>
      </c>
      <c r="D346" t="s">
        <v>77</v>
      </c>
      <c r="E346" t="s">
        <v>56</v>
      </c>
      <c r="F346" s="1">
        <v>45993</v>
      </c>
      <c r="G346">
        <v>8</v>
      </c>
      <c r="H346">
        <v>5521.49</v>
      </c>
      <c r="I346">
        <v>15</v>
      </c>
      <c r="J346" t="s">
        <v>31</v>
      </c>
      <c r="K346">
        <v>6625.79</v>
      </c>
      <c r="L346">
        <v>44171.92</v>
      </c>
      <c r="M346">
        <v>37546.129999999997</v>
      </c>
      <c r="N346" t="s">
        <v>51</v>
      </c>
      <c r="O346">
        <v>2025</v>
      </c>
    </row>
    <row r="347" spans="1:15" x14ac:dyDescent="0.3">
      <c r="A347" t="s">
        <v>432</v>
      </c>
      <c r="B347" t="s">
        <v>47</v>
      </c>
      <c r="C347" t="s">
        <v>90</v>
      </c>
      <c r="D347" t="s">
        <v>107</v>
      </c>
      <c r="E347" t="s">
        <v>81</v>
      </c>
      <c r="F347" s="1">
        <v>45517</v>
      </c>
      <c r="G347">
        <v>5</v>
      </c>
      <c r="H347">
        <v>10898.09</v>
      </c>
      <c r="I347">
        <v>5</v>
      </c>
      <c r="J347" t="s">
        <v>26</v>
      </c>
      <c r="K347">
        <v>2724.52</v>
      </c>
      <c r="L347">
        <v>54490.45</v>
      </c>
      <c r="M347">
        <v>51765.93</v>
      </c>
      <c r="N347" t="s">
        <v>21</v>
      </c>
      <c r="O347">
        <v>2024</v>
      </c>
    </row>
    <row r="348" spans="1:15" x14ac:dyDescent="0.3">
      <c r="A348" t="s">
        <v>433</v>
      </c>
      <c r="B348" t="s">
        <v>53</v>
      </c>
      <c r="C348" t="s">
        <v>54</v>
      </c>
      <c r="D348" t="s">
        <v>137</v>
      </c>
      <c r="E348" t="s">
        <v>44</v>
      </c>
      <c r="F348" s="1">
        <v>45871</v>
      </c>
      <c r="G348">
        <v>8</v>
      </c>
      <c r="H348">
        <v>933.69</v>
      </c>
      <c r="I348">
        <v>0</v>
      </c>
      <c r="J348" t="s">
        <v>71</v>
      </c>
      <c r="K348">
        <v>0</v>
      </c>
      <c r="L348">
        <v>7469.52</v>
      </c>
      <c r="M348">
        <v>7469.52</v>
      </c>
      <c r="N348" t="s">
        <v>21</v>
      </c>
      <c r="O348">
        <v>2025</v>
      </c>
    </row>
    <row r="349" spans="1:15" x14ac:dyDescent="0.3">
      <c r="A349" t="s">
        <v>434</v>
      </c>
      <c r="B349" t="s">
        <v>43</v>
      </c>
      <c r="C349" t="s">
        <v>54</v>
      </c>
      <c r="D349" t="s">
        <v>70</v>
      </c>
      <c r="E349" t="s">
        <v>44</v>
      </c>
      <c r="F349" s="1">
        <v>45847</v>
      </c>
      <c r="G349">
        <v>1</v>
      </c>
      <c r="H349">
        <v>2725</v>
      </c>
      <c r="I349">
        <v>15</v>
      </c>
      <c r="J349" t="s">
        <v>45</v>
      </c>
      <c r="K349">
        <v>408.75</v>
      </c>
      <c r="L349">
        <v>2725</v>
      </c>
      <c r="M349">
        <v>2316.25</v>
      </c>
      <c r="N349" t="s">
        <v>122</v>
      </c>
      <c r="O349">
        <v>2025</v>
      </c>
    </row>
    <row r="350" spans="1:15" x14ac:dyDescent="0.3">
      <c r="A350" t="s">
        <v>435</v>
      </c>
      <c r="B350" t="s">
        <v>23</v>
      </c>
      <c r="C350" t="s">
        <v>54</v>
      </c>
      <c r="D350" t="s">
        <v>55</v>
      </c>
      <c r="E350" t="s">
        <v>25</v>
      </c>
      <c r="F350" s="1">
        <v>45596</v>
      </c>
      <c r="G350">
        <v>1</v>
      </c>
      <c r="H350">
        <v>1336.41</v>
      </c>
      <c r="I350">
        <v>10</v>
      </c>
      <c r="J350" t="s">
        <v>20</v>
      </c>
      <c r="K350">
        <v>133.63999999999999</v>
      </c>
      <c r="L350">
        <v>1336.41</v>
      </c>
      <c r="M350">
        <v>1202.77</v>
      </c>
      <c r="N350" t="s">
        <v>57</v>
      </c>
      <c r="O350">
        <v>2024</v>
      </c>
    </row>
    <row r="351" spans="1:15" x14ac:dyDescent="0.3">
      <c r="A351" t="s">
        <v>436</v>
      </c>
      <c r="B351" t="s">
        <v>38</v>
      </c>
      <c r="C351" t="s">
        <v>17</v>
      </c>
      <c r="D351" t="s">
        <v>157</v>
      </c>
      <c r="E351" t="s">
        <v>25</v>
      </c>
      <c r="F351" s="1">
        <v>45506</v>
      </c>
      <c r="G351">
        <v>10</v>
      </c>
      <c r="H351">
        <v>7505.98</v>
      </c>
      <c r="I351">
        <v>20</v>
      </c>
      <c r="J351" t="s">
        <v>20</v>
      </c>
      <c r="K351">
        <v>15011.96</v>
      </c>
      <c r="L351">
        <v>75059.8</v>
      </c>
      <c r="M351">
        <v>60047.839999999997</v>
      </c>
      <c r="N351" t="s">
        <v>21</v>
      </c>
      <c r="O351">
        <v>2024</v>
      </c>
    </row>
    <row r="352" spans="1:15" x14ac:dyDescent="0.3">
      <c r="A352" t="s">
        <v>437</v>
      </c>
      <c r="B352" t="s">
        <v>93</v>
      </c>
      <c r="C352" t="s">
        <v>90</v>
      </c>
      <c r="D352" t="s">
        <v>107</v>
      </c>
      <c r="E352" t="s">
        <v>50</v>
      </c>
      <c r="F352" s="1">
        <v>45503</v>
      </c>
      <c r="G352">
        <v>1</v>
      </c>
      <c r="H352">
        <v>12510.22</v>
      </c>
      <c r="I352">
        <v>20</v>
      </c>
      <c r="J352" t="s">
        <v>20</v>
      </c>
      <c r="K352">
        <v>2502.04</v>
      </c>
      <c r="L352">
        <v>12510.22</v>
      </c>
      <c r="M352">
        <v>10008.18</v>
      </c>
      <c r="N352" t="s">
        <v>122</v>
      </c>
      <c r="O352">
        <v>2024</v>
      </c>
    </row>
    <row r="353" spans="1:15" x14ac:dyDescent="0.3">
      <c r="A353" t="s">
        <v>438</v>
      </c>
      <c r="B353" t="s">
        <v>65</v>
      </c>
      <c r="C353" t="s">
        <v>62</v>
      </c>
      <c r="D353" t="s">
        <v>132</v>
      </c>
      <c r="E353" t="s">
        <v>50</v>
      </c>
      <c r="F353" s="1">
        <v>46012</v>
      </c>
      <c r="G353">
        <v>5</v>
      </c>
      <c r="H353">
        <v>2673.92</v>
      </c>
      <c r="I353">
        <v>10</v>
      </c>
      <c r="J353" t="s">
        <v>45</v>
      </c>
      <c r="K353">
        <v>1336.96</v>
      </c>
      <c r="L353">
        <v>13369.6</v>
      </c>
      <c r="M353">
        <v>12032.64</v>
      </c>
      <c r="N353" t="s">
        <v>51</v>
      </c>
      <c r="O353">
        <v>2025</v>
      </c>
    </row>
    <row r="354" spans="1:15" x14ac:dyDescent="0.3">
      <c r="A354" t="s">
        <v>439</v>
      </c>
      <c r="B354" t="s">
        <v>53</v>
      </c>
      <c r="C354" t="s">
        <v>54</v>
      </c>
      <c r="D354" t="s">
        <v>70</v>
      </c>
      <c r="E354" t="s">
        <v>44</v>
      </c>
      <c r="F354" s="1">
        <v>45352</v>
      </c>
      <c r="G354">
        <v>5</v>
      </c>
      <c r="H354">
        <v>2791.9</v>
      </c>
      <c r="I354">
        <v>5</v>
      </c>
      <c r="J354" t="s">
        <v>31</v>
      </c>
      <c r="K354">
        <v>697.98</v>
      </c>
      <c r="L354">
        <v>13959.5</v>
      </c>
      <c r="M354">
        <v>13261.52</v>
      </c>
      <c r="N354" t="s">
        <v>83</v>
      </c>
      <c r="O354">
        <v>2024</v>
      </c>
    </row>
    <row r="355" spans="1:15" x14ac:dyDescent="0.3">
      <c r="A355" t="s">
        <v>440</v>
      </c>
      <c r="B355" t="s">
        <v>53</v>
      </c>
      <c r="C355" t="s">
        <v>34</v>
      </c>
      <c r="D355" t="s">
        <v>85</v>
      </c>
      <c r="E355" t="s">
        <v>30</v>
      </c>
      <c r="F355" s="1">
        <v>45545</v>
      </c>
      <c r="G355">
        <v>7</v>
      </c>
      <c r="H355">
        <v>12268.38</v>
      </c>
      <c r="I355">
        <v>20</v>
      </c>
      <c r="J355" t="s">
        <v>45</v>
      </c>
      <c r="K355">
        <v>17175.73</v>
      </c>
      <c r="L355">
        <v>85878.66</v>
      </c>
      <c r="M355">
        <v>68702.929999999993</v>
      </c>
      <c r="N355" t="s">
        <v>86</v>
      </c>
      <c r="O355">
        <v>2024</v>
      </c>
    </row>
    <row r="356" spans="1:15" x14ac:dyDescent="0.3">
      <c r="A356" t="s">
        <v>441</v>
      </c>
      <c r="B356" t="s">
        <v>23</v>
      </c>
      <c r="C356" t="s">
        <v>62</v>
      </c>
      <c r="D356" t="s">
        <v>99</v>
      </c>
      <c r="E356" t="s">
        <v>56</v>
      </c>
      <c r="F356" s="1">
        <v>45940</v>
      </c>
      <c r="G356">
        <v>2</v>
      </c>
      <c r="H356">
        <v>1651.18</v>
      </c>
      <c r="I356">
        <v>10</v>
      </c>
      <c r="J356" t="s">
        <v>82</v>
      </c>
      <c r="K356">
        <v>330.24</v>
      </c>
      <c r="L356">
        <v>3302.36</v>
      </c>
      <c r="M356">
        <v>2972.12</v>
      </c>
      <c r="N356" t="s">
        <v>57</v>
      </c>
      <c r="O356">
        <v>2025</v>
      </c>
    </row>
    <row r="357" spans="1:15" x14ac:dyDescent="0.3">
      <c r="A357" t="s">
        <v>442</v>
      </c>
      <c r="B357" t="s">
        <v>89</v>
      </c>
      <c r="C357" t="s">
        <v>62</v>
      </c>
      <c r="D357" t="s">
        <v>99</v>
      </c>
      <c r="E357" t="s">
        <v>19</v>
      </c>
      <c r="F357" s="1">
        <v>45387</v>
      </c>
      <c r="G357">
        <v>8</v>
      </c>
      <c r="H357">
        <v>1588.07</v>
      </c>
      <c r="I357">
        <v>10</v>
      </c>
      <c r="J357" t="s">
        <v>26</v>
      </c>
      <c r="K357">
        <v>1270.46</v>
      </c>
      <c r="L357">
        <v>12704.56</v>
      </c>
      <c r="M357">
        <v>11434.1</v>
      </c>
      <c r="N357" t="s">
        <v>27</v>
      </c>
      <c r="O357">
        <v>2024</v>
      </c>
    </row>
    <row r="358" spans="1:15" x14ac:dyDescent="0.3">
      <c r="A358" t="s">
        <v>443</v>
      </c>
      <c r="B358" t="s">
        <v>23</v>
      </c>
      <c r="C358" t="s">
        <v>17</v>
      </c>
      <c r="D358" t="s">
        <v>24</v>
      </c>
      <c r="E358" t="s">
        <v>50</v>
      </c>
      <c r="F358" s="1">
        <v>45508</v>
      </c>
      <c r="G358">
        <v>8</v>
      </c>
      <c r="H358">
        <v>2901.4</v>
      </c>
      <c r="I358">
        <v>10</v>
      </c>
      <c r="J358" t="s">
        <v>31</v>
      </c>
      <c r="K358">
        <v>2321.12</v>
      </c>
      <c r="L358">
        <v>23211.200000000001</v>
      </c>
      <c r="M358">
        <v>20890.080000000002</v>
      </c>
      <c r="N358" t="s">
        <v>21</v>
      </c>
      <c r="O358">
        <v>2024</v>
      </c>
    </row>
    <row r="359" spans="1:15" x14ac:dyDescent="0.3">
      <c r="A359" t="s">
        <v>444</v>
      </c>
      <c r="B359" t="s">
        <v>93</v>
      </c>
      <c r="C359" t="s">
        <v>62</v>
      </c>
      <c r="D359" t="s">
        <v>132</v>
      </c>
      <c r="E359" t="s">
        <v>50</v>
      </c>
      <c r="F359" s="1">
        <v>45643</v>
      </c>
      <c r="G359">
        <v>1</v>
      </c>
      <c r="H359">
        <v>2506.59</v>
      </c>
      <c r="I359">
        <v>15</v>
      </c>
      <c r="J359" t="s">
        <v>71</v>
      </c>
      <c r="K359">
        <v>375.99</v>
      </c>
      <c r="L359">
        <v>2506.59</v>
      </c>
      <c r="M359">
        <v>2130.6</v>
      </c>
      <c r="N359" t="s">
        <v>51</v>
      </c>
      <c r="O359">
        <v>2024</v>
      </c>
    </row>
    <row r="360" spans="1:15" x14ac:dyDescent="0.3">
      <c r="A360" t="s">
        <v>445</v>
      </c>
      <c r="B360" t="s">
        <v>114</v>
      </c>
      <c r="C360" t="s">
        <v>17</v>
      </c>
      <c r="D360" t="s">
        <v>18</v>
      </c>
      <c r="E360" t="s">
        <v>44</v>
      </c>
      <c r="F360" s="1">
        <v>45743</v>
      </c>
      <c r="G360">
        <v>8</v>
      </c>
      <c r="H360">
        <v>58510.98</v>
      </c>
      <c r="I360">
        <v>15</v>
      </c>
      <c r="J360" t="s">
        <v>36</v>
      </c>
      <c r="K360">
        <v>70213.179999999993</v>
      </c>
      <c r="L360">
        <v>468087.84</v>
      </c>
      <c r="M360">
        <v>397874.66</v>
      </c>
      <c r="N360" t="s">
        <v>83</v>
      </c>
      <c r="O360">
        <v>2025</v>
      </c>
    </row>
    <row r="361" spans="1:15" x14ac:dyDescent="0.3">
      <c r="A361" t="s">
        <v>446</v>
      </c>
      <c r="B361" t="s">
        <v>114</v>
      </c>
      <c r="C361" t="s">
        <v>34</v>
      </c>
      <c r="D361" t="s">
        <v>85</v>
      </c>
      <c r="E361" t="s">
        <v>30</v>
      </c>
      <c r="F361" s="1">
        <v>45454</v>
      </c>
      <c r="G361">
        <v>5</v>
      </c>
      <c r="H361">
        <v>11080.02</v>
      </c>
      <c r="I361">
        <v>10</v>
      </c>
      <c r="J361" t="s">
        <v>40</v>
      </c>
      <c r="K361">
        <v>5540.01</v>
      </c>
      <c r="L361">
        <v>55400.1</v>
      </c>
      <c r="M361">
        <v>49860.09</v>
      </c>
      <c r="N361" t="s">
        <v>72</v>
      </c>
      <c r="O361">
        <v>2024</v>
      </c>
    </row>
    <row r="362" spans="1:15" x14ac:dyDescent="0.3">
      <c r="A362" t="s">
        <v>447</v>
      </c>
      <c r="B362" t="s">
        <v>33</v>
      </c>
      <c r="C362" t="s">
        <v>62</v>
      </c>
      <c r="D362" t="s">
        <v>95</v>
      </c>
      <c r="E362" t="s">
        <v>30</v>
      </c>
      <c r="F362" s="1">
        <v>45345</v>
      </c>
      <c r="G362">
        <v>7</v>
      </c>
      <c r="H362">
        <v>845.12</v>
      </c>
      <c r="I362">
        <v>5</v>
      </c>
      <c r="J362" t="s">
        <v>36</v>
      </c>
      <c r="K362">
        <v>295.79000000000002</v>
      </c>
      <c r="L362">
        <v>5915.84</v>
      </c>
      <c r="M362">
        <v>5620.05</v>
      </c>
      <c r="N362" t="s">
        <v>41</v>
      </c>
      <c r="O362">
        <v>2024</v>
      </c>
    </row>
    <row r="363" spans="1:15" x14ac:dyDescent="0.3">
      <c r="A363" t="s">
        <v>448</v>
      </c>
      <c r="B363" t="s">
        <v>16</v>
      </c>
      <c r="C363" t="s">
        <v>90</v>
      </c>
      <c r="D363" t="s">
        <v>105</v>
      </c>
      <c r="E363" t="s">
        <v>25</v>
      </c>
      <c r="F363" s="1">
        <v>45510</v>
      </c>
      <c r="G363">
        <v>8</v>
      </c>
      <c r="H363">
        <v>3218.2</v>
      </c>
      <c r="I363">
        <v>20</v>
      </c>
      <c r="J363" t="s">
        <v>26</v>
      </c>
      <c r="K363">
        <v>5149.12</v>
      </c>
      <c r="L363">
        <v>25745.599999999999</v>
      </c>
      <c r="M363">
        <v>20596.48</v>
      </c>
      <c r="N363" t="s">
        <v>21</v>
      </c>
      <c r="O363">
        <v>2024</v>
      </c>
    </row>
    <row r="364" spans="1:15" x14ac:dyDescent="0.3">
      <c r="A364" t="s">
        <v>449</v>
      </c>
      <c r="B364" t="s">
        <v>61</v>
      </c>
      <c r="C364" t="s">
        <v>34</v>
      </c>
      <c r="D364" t="s">
        <v>66</v>
      </c>
      <c r="E364" t="s">
        <v>56</v>
      </c>
      <c r="F364" s="1">
        <v>45300</v>
      </c>
      <c r="G364">
        <v>6</v>
      </c>
      <c r="H364">
        <v>44171.09</v>
      </c>
      <c r="I364">
        <v>15</v>
      </c>
      <c r="J364" t="s">
        <v>26</v>
      </c>
      <c r="K364">
        <v>39753.980000000003</v>
      </c>
      <c r="L364">
        <v>265026.53999999998</v>
      </c>
      <c r="M364">
        <v>225272.56</v>
      </c>
      <c r="N364" t="s">
        <v>116</v>
      </c>
      <c r="O364">
        <v>2024</v>
      </c>
    </row>
    <row r="365" spans="1:15" x14ac:dyDescent="0.3">
      <c r="A365" t="s">
        <v>450</v>
      </c>
      <c r="B365" t="s">
        <v>47</v>
      </c>
      <c r="C365" t="s">
        <v>34</v>
      </c>
      <c r="D365" t="s">
        <v>35</v>
      </c>
      <c r="E365" t="s">
        <v>50</v>
      </c>
      <c r="F365" s="1">
        <v>45383</v>
      </c>
      <c r="G365">
        <v>2</v>
      </c>
      <c r="H365">
        <v>23145.01</v>
      </c>
      <c r="I365">
        <v>10</v>
      </c>
      <c r="J365" t="s">
        <v>31</v>
      </c>
      <c r="K365">
        <v>4629</v>
      </c>
      <c r="L365">
        <v>46290.02</v>
      </c>
      <c r="M365">
        <v>41661.019999999997</v>
      </c>
      <c r="N365" t="s">
        <v>27</v>
      </c>
      <c r="O365">
        <v>2024</v>
      </c>
    </row>
    <row r="366" spans="1:15" x14ac:dyDescent="0.3">
      <c r="A366" t="s">
        <v>451</v>
      </c>
      <c r="B366" t="s">
        <v>23</v>
      </c>
      <c r="C366" t="s">
        <v>62</v>
      </c>
      <c r="D366" t="s">
        <v>63</v>
      </c>
      <c r="E366" t="s">
        <v>44</v>
      </c>
      <c r="F366" s="1">
        <v>45948</v>
      </c>
      <c r="G366">
        <v>3</v>
      </c>
      <c r="H366">
        <v>1815.86</v>
      </c>
      <c r="I366">
        <v>20</v>
      </c>
      <c r="J366" t="s">
        <v>36</v>
      </c>
      <c r="K366">
        <v>1089.52</v>
      </c>
      <c r="L366">
        <v>5447.58</v>
      </c>
      <c r="M366">
        <v>4358.0600000000004</v>
      </c>
      <c r="N366" t="s">
        <v>57</v>
      </c>
      <c r="O366">
        <v>2025</v>
      </c>
    </row>
    <row r="367" spans="1:15" x14ac:dyDescent="0.3">
      <c r="A367" t="s">
        <v>452</v>
      </c>
      <c r="B367" t="s">
        <v>61</v>
      </c>
      <c r="C367" t="s">
        <v>17</v>
      </c>
      <c r="D367" t="s">
        <v>24</v>
      </c>
      <c r="E367" t="s">
        <v>50</v>
      </c>
      <c r="F367" s="1">
        <v>45651</v>
      </c>
      <c r="G367">
        <v>4</v>
      </c>
      <c r="H367">
        <v>3488.17</v>
      </c>
      <c r="I367">
        <v>5</v>
      </c>
      <c r="J367" t="s">
        <v>71</v>
      </c>
      <c r="K367">
        <v>697.63</v>
      </c>
      <c r="L367">
        <v>13952.68</v>
      </c>
      <c r="M367">
        <v>13255.05</v>
      </c>
      <c r="N367" t="s">
        <v>51</v>
      </c>
      <c r="O367">
        <v>2024</v>
      </c>
    </row>
    <row r="368" spans="1:15" x14ac:dyDescent="0.3">
      <c r="A368" t="s">
        <v>453</v>
      </c>
      <c r="B368" t="s">
        <v>61</v>
      </c>
      <c r="C368" t="s">
        <v>90</v>
      </c>
      <c r="D368" t="s">
        <v>91</v>
      </c>
      <c r="E368" t="s">
        <v>56</v>
      </c>
      <c r="F368" s="1">
        <v>45380</v>
      </c>
      <c r="G368">
        <v>2</v>
      </c>
      <c r="H368">
        <v>1402.5</v>
      </c>
      <c r="I368">
        <v>0</v>
      </c>
      <c r="J368" t="s">
        <v>20</v>
      </c>
      <c r="K368">
        <v>0</v>
      </c>
      <c r="L368">
        <v>2805</v>
      </c>
      <c r="M368">
        <v>2805</v>
      </c>
      <c r="N368" t="s">
        <v>83</v>
      </c>
      <c r="O368">
        <v>2024</v>
      </c>
    </row>
    <row r="369" spans="1:15" x14ac:dyDescent="0.3">
      <c r="A369" t="s">
        <v>454</v>
      </c>
      <c r="B369" t="s">
        <v>33</v>
      </c>
      <c r="C369" t="s">
        <v>54</v>
      </c>
      <c r="D369" t="s">
        <v>68</v>
      </c>
      <c r="E369" t="s">
        <v>56</v>
      </c>
      <c r="F369" s="1">
        <v>45435</v>
      </c>
      <c r="G369">
        <v>4</v>
      </c>
      <c r="H369">
        <v>4361.59</v>
      </c>
      <c r="I369">
        <v>0</v>
      </c>
      <c r="J369" t="s">
        <v>45</v>
      </c>
      <c r="K369">
        <v>0</v>
      </c>
      <c r="L369">
        <v>17446.36</v>
      </c>
      <c r="M369">
        <v>17446.36</v>
      </c>
      <c r="N369" t="s">
        <v>101</v>
      </c>
      <c r="O369">
        <v>2024</v>
      </c>
    </row>
    <row r="370" spans="1:15" x14ac:dyDescent="0.3">
      <c r="A370" t="s">
        <v>455</v>
      </c>
      <c r="B370" t="s">
        <v>93</v>
      </c>
      <c r="C370" t="s">
        <v>34</v>
      </c>
      <c r="D370" t="s">
        <v>66</v>
      </c>
      <c r="E370" t="s">
        <v>81</v>
      </c>
      <c r="F370" s="1">
        <v>45999</v>
      </c>
      <c r="G370">
        <v>1</v>
      </c>
      <c r="H370">
        <v>48926.81</v>
      </c>
      <c r="I370">
        <v>10</v>
      </c>
      <c r="J370" t="s">
        <v>40</v>
      </c>
      <c r="K370">
        <v>4892.68</v>
      </c>
      <c r="L370">
        <v>48926.81</v>
      </c>
      <c r="M370">
        <v>44034.13</v>
      </c>
      <c r="N370" t="s">
        <v>51</v>
      </c>
      <c r="O370">
        <v>2025</v>
      </c>
    </row>
    <row r="371" spans="1:15" x14ac:dyDescent="0.3">
      <c r="A371" t="s">
        <v>456</v>
      </c>
      <c r="B371" t="s">
        <v>93</v>
      </c>
      <c r="C371" t="s">
        <v>34</v>
      </c>
      <c r="D371" t="s">
        <v>66</v>
      </c>
      <c r="E371" t="s">
        <v>81</v>
      </c>
      <c r="F371" s="1">
        <v>45693</v>
      </c>
      <c r="G371">
        <v>5</v>
      </c>
      <c r="H371">
        <v>42461.7</v>
      </c>
      <c r="I371">
        <v>5</v>
      </c>
      <c r="J371" t="s">
        <v>20</v>
      </c>
      <c r="K371">
        <v>10615.43</v>
      </c>
      <c r="L371">
        <v>212308.5</v>
      </c>
      <c r="M371">
        <v>201693.07</v>
      </c>
      <c r="N371" t="s">
        <v>41</v>
      </c>
      <c r="O371">
        <v>2025</v>
      </c>
    </row>
    <row r="372" spans="1:15" x14ac:dyDescent="0.3">
      <c r="A372" t="s">
        <v>457</v>
      </c>
      <c r="B372" t="s">
        <v>47</v>
      </c>
      <c r="C372" t="s">
        <v>90</v>
      </c>
      <c r="D372" t="s">
        <v>152</v>
      </c>
      <c r="E372" t="s">
        <v>50</v>
      </c>
      <c r="F372" s="1">
        <v>45945</v>
      </c>
      <c r="G372">
        <v>10</v>
      </c>
      <c r="H372">
        <v>10095.280000000001</v>
      </c>
      <c r="I372">
        <v>0</v>
      </c>
      <c r="J372" t="s">
        <v>71</v>
      </c>
      <c r="K372">
        <v>0</v>
      </c>
      <c r="L372">
        <v>100952.8</v>
      </c>
      <c r="M372">
        <v>100952.8</v>
      </c>
      <c r="N372" t="s">
        <v>57</v>
      </c>
      <c r="O372">
        <v>2025</v>
      </c>
    </row>
    <row r="373" spans="1:15" x14ac:dyDescent="0.3">
      <c r="A373" t="s">
        <v>458</v>
      </c>
      <c r="B373" t="s">
        <v>53</v>
      </c>
      <c r="C373" t="s">
        <v>62</v>
      </c>
      <c r="D373" t="s">
        <v>119</v>
      </c>
      <c r="E373" t="s">
        <v>56</v>
      </c>
      <c r="F373" s="1">
        <v>45666</v>
      </c>
      <c r="G373">
        <v>9</v>
      </c>
      <c r="H373">
        <v>3747.57</v>
      </c>
      <c r="I373">
        <v>15</v>
      </c>
      <c r="J373" t="s">
        <v>31</v>
      </c>
      <c r="K373">
        <v>5059.22</v>
      </c>
      <c r="L373">
        <v>33728.129999999997</v>
      </c>
      <c r="M373">
        <v>28668.91</v>
      </c>
      <c r="N373" t="s">
        <v>116</v>
      </c>
      <c r="O373">
        <v>2025</v>
      </c>
    </row>
    <row r="374" spans="1:15" x14ac:dyDescent="0.3">
      <c r="A374" t="s">
        <v>459</v>
      </c>
      <c r="B374" t="s">
        <v>93</v>
      </c>
      <c r="C374" t="s">
        <v>17</v>
      </c>
      <c r="D374" t="s">
        <v>18</v>
      </c>
      <c r="E374" t="s">
        <v>25</v>
      </c>
      <c r="F374" s="1">
        <v>45560</v>
      </c>
      <c r="G374">
        <v>4</v>
      </c>
      <c r="H374">
        <v>59147.19</v>
      </c>
      <c r="I374">
        <v>0</v>
      </c>
      <c r="J374" t="s">
        <v>26</v>
      </c>
      <c r="K374">
        <v>0</v>
      </c>
      <c r="L374">
        <v>236588.76</v>
      </c>
      <c r="M374">
        <v>236588.76</v>
      </c>
      <c r="N374" t="s">
        <v>86</v>
      </c>
      <c r="O374">
        <v>2024</v>
      </c>
    </row>
    <row r="375" spans="1:15" x14ac:dyDescent="0.3">
      <c r="A375" t="s">
        <v>460</v>
      </c>
      <c r="B375" t="s">
        <v>43</v>
      </c>
      <c r="C375" t="s">
        <v>90</v>
      </c>
      <c r="D375" t="s">
        <v>91</v>
      </c>
      <c r="E375" t="s">
        <v>30</v>
      </c>
      <c r="F375" s="1">
        <v>45725</v>
      </c>
      <c r="G375">
        <v>7</v>
      </c>
      <c r="H375">
        <v>1380.91</v>
      </c>
      <c r="I375">
        <v>20</v>
      </c>
      <c r="J375" t="s">
        <v>31</v>
      </c>
      <c r="K375">
        <v>1933.27</v>
      </c>
      <c r="L375">
        <v>9666.3700000000008</v>
      </c>
      <c r="M375">
        <v>7733.1</v>
      </c>
      <c r="N375" t="s">
        <v>83</v>
      </c>
      <c r="O375">
        <v>2025</v>
      </c>
    </row>
    <row r="376" spans="1:15" x14ac:dyDescent="0.3">
      <c r="A376" t="s">
        <v>461</v>
      </c>
      <c r="B376" t="s">
        <v>53</v>
      </c>
      <c r="C376" t="s">
        <v>54</v>
      </c>
      <c r="D376" t="s">
        <v>77</v>
      </c>
      <c r="E376" t="s">
        <v>19</v>
      </c>
      <c r="F376" s="1">
        <v>45609</v>
      </c>
      <c r="G376">
        <v>2</v>
      </c>
      <c r="H376">
        <v>5653.04</v>
      </c>
      <c r="I376">
        <v>5</v>
      </c>
      <c r="J376" t="s">
        <v>82</v>
      </c>
      <c r="K376">
        <v>565.29999999999995</v>
      </c>
      <c r="L376">
        <v>11306.08</v>
      </c>
      <c r="M376">
        <v>10740.78</v>
      </c>
      <c r="N376" t="s">
        <v>96</v>
      </c>
      <c r="O376">
        <v>2024</v>
      </c>
    </row>
    <row r="377" spans="1:15" x14ac:dyDescent="0.3">
      <c r="A377" t="s">
        <v>462</v>
      </c>
      <c r="B377" t="s">
        <v>33</v>
      </c>
      <c r="C377" t="s">
        <v>34</v>
      </c>
      <c r="D377" t="s">
        <v>66</v>
      </c>
      <c r="E377" t="s">
        <v>56</v>
      </c>
      <c r="F377" s="1">
        <v>45609</v>
      </c>
      <c r="G377">
        <v>7</v>
      </c>
      <c r="H377">
        <v>47629.54</v>
      </c>
      <c r="I377">
        <v>5</v>
      </c>
      <c r="J377" t="s">
        <v>82</v>
      </c>
      <c r="K377">
        <v>16670.34</v>
      </c>
      <c r="L377">
        <v>333406.78000000003</v>
      </c>
      <c r="M377">
        <v>316736.44</v>
      </c>
      <c r="N377" t="s">
        <v>96</v>
      </c>
      <c r="O377">
        <v>2024</v>
      </c>
    </row>
    <row r="378" spans="1:15" x14ac:dyDescent="0.3">
      <c r="A378" t="s">
        <v>463</v>
      </c>
      <c r="B378" t="s">
        <v>47</v>
      </c>
      <c r="C378" t="s">
        <v>17</v>
      </c>
      <c r="D378" t="s">
        <v>59</v>
      </c>
      <c r="E378" t="s">
        <v>56</v>
      </c>
      <c r="F378" s="1">
        <v>45756</v>
      </c>
      <c r="G378">
        <v>10</v>
      </c>
      <c r="H378">
        <v>26305.200000000001</v>
      </c>
      <c r="I378">
        <v>10</v>
      </c>
      <c r="J378" t="s">
        <v>82</v>
      </c>
      <c r="K378">
        <v>26305.200000000001</v>
      </c>
      <c r="L378">
        <v>263052</v>
      </c>
      <c r="M378">
        <v>236746.8</v>
      </c>
      <c r="N378" t="s">
        <v>27</v>
      </c>
      <c r="O378">
        <v>2025</v>
      </c>
    </row>
    <row r="379" spans="1:15" x14ac:dyDescent="0.3">
      <c r="A379" t="s">
        <v>464</v>
      </c>
      <c r="B379" t="s">
        <v>109</v>
      </c>
      <c r="C379" t="s">
        <v>34</v>
      </c>
      <c r="D379" t="s">
        <v>80</v>
      </c>
      <c r="E379" t="s">
        <v>30</v>
      </c>
      <c r="F379" s="1">
        <v>46010</v>
      </c>
      <c r="G379">
        <v>1</v>
      </c>
      <c r="H379">
        <v>6210.32</v>
      </c>
      <c r="I379">
        <v>10</v>
      </c>
      <c r="J379" t="s">
        <v>36</v>
      </c>
      <c r="K379">
        <v>621.03</v>
      </c>
      <c r="L379">
        <v>6210.32</v>
      </c>
      <c r="M379">
        <v>5589.29</v>
      </c>
      <c r="N379" t="s">
        <v>51</v>
      </c>
      <c r="O379">
        <v>2025</v>
      </c>
    </row>
    <row r="380" spans="1:15" x14ac:dyDescent="0.3">
      <c r="A380" t="s">
        <v>465</v>
      </c>
      <c r="B380" t="s">
        <v>74</v>
      </c>
      <c r="C380" t="s">
        <v>54</v>
      </c>
      <c r="D380" t="s">
        <v>77</v>
      </c>
      <c r="E380" t="s">
        <v>44</v>
      </c>
      <c r="F380" s="1">
        <v>45462</v>
      </c>
      <c r="G380">
        <v>6</v>
      </c>
      <c r="H380">
        <v>4658.66</v>
      </c>
      <c r="I380">
        <v>10</v>
      </c>
      <c r="J380" t="s">
        <v>40</v>
      </c>
      <c r="K380">
        <v>2795.2</v>
      </c>
      <c r="L380">
        <v>27951.96</v>
      </c>
      <c r="M380">
        <v>25156.76</v>
      </c>
      <c r="N380" t="s">
        <v>72</v>
      </c>
      <c r="O380">
        <v>2024</v>
      </c>
    </row>
    <row r="381" spans="1:15" x14ac:dyDescent="0.3">
      <c r="A381" t="s">
        <v>466</v>
      </c>
      <c r="B381" t="s">
        <v>33</v>
      </c>
      <c r="C381" t="s">
        <v>17</v>
      </c>
      <c r="D381" t="s">
        <v>18</v>
      </c>
      <c r="E381" t="s">
        <v>44</v>
      </c>
      <c r="F381" s="1">
        <v>45570</v>
      </c>
      <c r="G381">
        <v>9</v>
      </c>
      <c r="H381">
        <v>65491.71</v>
      </c>
      <c r="I381">
        <v>20</v>
      </c>
      <c r="J381" t="s">
        <v>31</v>
      </c>
      <c r="K381">
        <v>117885.08</v>
      </c>
      <c r="L381">
        <v>589425.39</v>
      </c>
      <c r="M381">
        <v>471540.31</v>
      </c>
      <c r="N381" t="s">
        <v>57</v>
      </c>
      <c r="O381">
        <v>2024</v>
      </c>
    </row>
    <row r="382" spans="1:15" x14ac:dyDescent="0.3">
      <c r="A382" t="s">
        <v>467</v>
      </c>
      <c r="B382" t="s">
        <v>89</v>
      </c>
      <c r="C382" t="s">
        <v>17</v>
      </c>
      <c r="D382" t="s">
        <v>157</v>
      </c>
      <c r="E382" t="s">
        <v>81</v>
      </c>
      <c r="F382" s="1">
        <v>45348</v>
      </c>
      <c r="G382">
        <v>8</v>
      </c>
      <c r="H382">
        <v>7803.88</v>
      </c>
      <c r="I382">
        <v>5</v>
      </c>
      <c r="J382" t="s">
        <v>45</v>
      </c>
      <c r="K382">
        <v>3121.55</v>
      </c>
      <c r="L382">
        <v>62431.040000000001</v>
      </c>
      <c r="M382">
        <v>59309.49</v>
      </c>
      <c r="N382" t="s">
        <v>41</v>
      </c>
      <c r="O382">
        <v>2024</v>
      </c>
    </row>
    <row r="383" spans="1:15" x14ac:dyDescent="0.3">
      <c r="A383" t="s">
        <v>468</v>
      </c>
      <c r="B383" t="s">
        <v>43</v>
      </c>
      <c r="C383" t="s">
        <v>62</v>
      </c>
      <c r="D383" t="s">
        <v>63</v>
      </c>
      <c r="E383" t="s">
        <v>44</v>
      </c>
      <c r="F383" s="1">
        <v>45879</v>
      </c>
      <c r="G383">
        <v>2</v>
      </c>
      <c r="H383">
        <v>1722.78</v>
      </c>
      <c r="I383">
        <v>20</v>
      </c>
      <c r="J383" t="s">
        <v>82</v>
      </c>
      <c r="K383">
        <v>689.11</v>
      </c>
      <c r="L383">
        <v>3445.56</v>
      </c>
      <c r="M383">
        <v>2756.45</v>
      </c>
      <c r="N383" t="s">
        <v>21</v>
      </c>
      <c r="O383">
        <v>2025</v>
      </c>
    </row>
    <row r="384" spans="1:15" x14ac:dyDescent="0.3">
      <c r="A384" t="s">
        <v>469</v>
      </c>
      <c r="B384" t="s">
        <v>38</v>
      </c>
      <c r="C384" t="s">
        <v>17</v>
      </c>
      <c r="D384" t="s">
        <v>18</v>
      </c>
      <c r="E384" t="s">
        <v>44</v>
      </c>
      <c r="F384" s="1">
        <v>45542</v>
      </c>
      <c r="G384">
        <v>1</v>
      </c>
      <c r="H384">
        <v>66166.17</v>
      </c>
      <c r="I384">
        <v>15</v>
      </c>
      <c r="J384" t="s">
        <v>26</v>
      </c>
      <c r="K384">
        <v>9924.93</v>
      </c>
      <c r="L384">
        <v>66166.17</v>
      </c>
      <c r="M384">
        <v>56241.24</v>
      </c>
      <c r="N384" t="s">
        <v>86</v>
      </c>
      <c r="O384">
        <v>2024</v>
      </c>
    </row>
    <row r="385" spans="1:15" x14ac:dyDescent="0.3">
      <c r="A385" t="s">
        <v>470</v>
      </c>
      <c r="B385" t="s">
        <v>114</v>
      </c>
      <c r="C385" t="s">
        <v>34</v>
      </c>
      <c r="D385" t="s">
        <v>85</v>
      </c>
      <c r="E385" t="s">
        <v>44</v>
      </c>
      <c r="F385" s="1">
        <v>45858</v>
      </c>
      <c r="G385">
        <v>7</v>
      </c>
      <c r="H385">
        <v>11473.55</v>
      </c>
      <c r="I385">
        <v>5</v>
      </c>
      <c r="J385" t="s">
        <v>26</v>
      </c>
      <c r="K385">
        <v>4015.74</v>
      </c>
      <c r="L385">
        <v>80314.850000000006</v>
      </c>
      <c r="M385">
        <v>76299.11</v>
      </c>
      <c r="N385" t="s">
        <v>122</v>
      </c>
      <c r="O385">
        <v>2025</v>
      </c>
    </row>
    <row r="386" spans="1:15" x14ac:dyDescent="0.3">
      <c r="A386" t="s">
        <v>471</v>
      </c>
      <c r="B386" t="s">
        <v>43</v>
      </c>
      <c r="C386" t="s">
        <v>90</v>
      </c>
      <c r="D386" t="s">
        <v>115</v>
      </c>
      <c r="E386" t="s">
        <v>44</v>
      </c>
      <c r="F386" s="1">
        <v>45877</v>
      </c>
      <c r="G386">
        <v>6</v>
      </c>
      <c r="H386">
        <v>7438.8</v>
      </c>
      <c r="I386">
        <v>0</v>
      </c>
      <c r="J386" t="s">
        <v>82</v>
      </c>
      <c r="K386">
        <v>0</v>
      </c>
      <c r="L386">
        <v>44632.800000000003</v>
      </c>
      <c r="M386">
        <v>44632.800000000003</v>
      </c>
      <c r="N386" t="s">
        <v>21</v>
      </c>
      <c r="O386">
        <v>2025</v>
      </c>
    </row>
    <row r="387" spans="1:15" x14ac:dyDescent="0.3">
      <c r="A387" t="s">
        <v>472</v>
      </c>
      <c r="B387" t="s">
        <v>74</v>
      </c>
      <c r="C387" t="s">
        <v>34</v>
      </c>
      <c r="D387" t="s">
        <v>85</v>
      </c>
      <c r="E387" t="s">
        <v>81</v>
      </c>
      <c r="F387" s="1">
        <v>45702</v>
      </c>
      <c r="G387">
        <v>2</v>
      </c>
      <c r="H387">
        <v>13430.97</v>
      </c>
      <c r="I387">
        <v>10</v>
      </c>
      <c r="J387" t="s">
        <v>26</v>
      </c>
      <c r="K387">
        <v>2686.19</v>
      </c>
      <c r="L387">
        <v>26861.94</v>
      </c>
      <c r="M387">
        <v>24175.75</v>
      </c>
      <c r="N387" t="s">
        <v>41</v>
      </c>
      <c r="O387">
        <v>2025</v>
      </c>
    </row>
    <row r="388" spans="1:15" x14ac:dyDescent="0.3">
      <c r="A388" t="s">
        <v>473</v>
      </c>
      <c r="B388" t="s">
        <v>47</v>
      </c>
      <c r="C388" t="s">
        <v>62</v>
      </c>
      <c r="D388" t="s">
        <v>119</v>
      </c>
      <c r="E388" t="s">
        <v>81</v>
      </c>
      <c r="F388" s="1">
        <v>45300</v>
      </c>
      <c r="G388">
        <v>6</v>
      </c>
      <c r="H388">
        <v>3325.59</v>
      </c>
      <c r="I388">
        <v>20</v>
      </c>
      <c r="J388" t="s">
        <v>71</v>
      </c>
      <c r="K388">
        <v>3990.71</v>
      </c>
      <c r="L388">
        <v>19953.54</v>
      </c>
      <c r="M388">
        <v>15962.83</v>
      </c>
      <c r="N388" t="s">
        <v>116</v>
      </c>
      <c r="O388">
        <v>2024</v>
      </c>
    </row>
    <row r="389" spans="1:15" x14ac:dyDescent="0.3">
      <c r="A389" t="s">
        <v>474</v>
      </c>
      <c r="B389" t="s">
        <v>29</v>
      </c>
      <c r="C389" t="s">
        <v>62</v>
      </c>
      <c r="D389" t="s">
        <v>132</v>
      </c>
      <c r="E389" t="s">
        <v>56</v>
      </c>
      <c r="F389" s="1">
        <v>45897</v>
      </c>
      <c r="G389">
        <v>8</v>
      </c>
      <c r="H389">
        <v>2873.62</v>
      </c>
      <c r="I389">
        <v>5</v>
      </c>
      <c r="J389" t="s">
        <v>45</v>
      </c>
      <c r="K389">
        <v>1149.45</v>
      </c>
      <c r="L389">
        <v>22988.959999999999</v>
      </c>
      <c r="M389">
        <v>21839.51</v>
      </c>
      <c r="N389" t="s">
        <v>21</v>
      </c>
      <c r="O389">
        <v>2025</v>
      </c>
    </row>
    <row r="390" spans="1:15" x14ac:dyDescent="0.3">
      <c r="A390" t="s">
        <v>475</v>
      </c>
      <c r="B390" t="s">
        <v>53</v>
      </c>
      <c r="C390" t="s">
        <v>54</v>
      </c>
      <c r="D390" t="s">
        <v>55</v>
      </c>
      <c r="E390" t="s">
        <v>25</v>
      </c>
      <c r="F390" s="1">
        <v>45316</v>
      </c>
      <c r="G390">
        <v>4</v>
      </c>
      <c r="H390">
        <v>1242.46</v>
      </c>
      <c r="I390">
        <v>0</v>
      </c>
      <c r="J390" t="s">
        <v>31</v>
      </c>
      <c r="K390">
        <v>0</v>
      </c>
      <c r="L390">
        <v>4969.84</v>
      </c>
      <c r="M390">
        <v>4969.84</v>
      </c>
      <c r="N390" t="s">
        <v>116</v>
      </c>
      <c r="O390">
        <v>2024</v>
      </c>
    </row>
    <row r="391" spans="1:15" x14ac:dyDescent="0.3">
      <c r="A391" t="s">
        <v>476</v>
      </c>
      <c r="B391" t="s">
        <v>74</v>
      </c>
      <c r="C391" t="s">
        <v>62</v>
      </c>
      <c r="D391" t="s">
        <v>95</v>
      </c>
      <c r="E391" t="s">
        <v>30</v>
      </c>
      <c r="F391" s="1">
        <v>45606</v>
      </c>
      <c r="G391">
        <v>2</v>
      </c>
      <c r="H391">
        <v>837.14</v>
      </c>
      <c r="I391">
        <v>5</v>
      </c>
      <c r="J391" t="s">
        <v>31</v>
      </c>
      <c r="K391">
        <v>83.71</v>
      </c>
      <c r="L391">
        <v>1674.28</v>
      </c>
      <c r="M391">
        <v>1590.57</v>
      </c>
      <c r="N391" t="s">
        <v>96</v>
      </c>
      <c r="O391">
        <v>2024</v>
      </c>
    </row>
    <row r="392" spans="1:15" x14ac:dyDescent="0.3">
      <c r="A392" t="s">
        <v>477</v>
      </c>
      <c r="B392" t="s">
        <v>109</v>
      </c>
      <c r="C392" t="s">
        <v>90</v>
      </c>
      <c r="D392" t="s">
        <v>152</v>
      </c>
      <c r="E392" t="s">
        <v>50</v>
      </c>
      <c r="F392" s="1">
        <v>45387</v>
      </c>
      <c r="G392">
        <v>1</v>
      </c>
      <c r="H392">
        <v>11303.19</v>
      </c>
      <c r="I392">
        <v>20</v>
      </c>
      <c r="J392" t="s">
        <v>40</v>
      </c>
      <c r="K392">
        <v>2260.64</v>
      </c>
      <c r="L392">
        <v>11303.19</v>
      </c>
      <c r="M392">
        <v>9042.5499999999993</v>
      </c>
      <c r="N392" t="s">
        <v>27</v>
      </c>
      <c r="O392">
        <v>2024</v>
      </c>
    </row>
    <row r="393" spans="1:15" x14ac:dyDescent="0.3">
      <c r="A393" t="s">
        <v>478</v>
      </c>
      <c r="B393" t="s">
        <v>89</v>
      </c>
      <c r="C393" t="s">
        <v>90</v>
      </c>
      <c r="D393" t="s">
        <v>115</v>
      </c>
      <c r="E393" t="s">
        <v>30</v>
      </c>
      <c r="F393" s="1">
        <v>45886</v>
      </c>
      <c r="G393">
        <v>2</v>
      </c>
      <c r="H393">
        <v>8210.86</v>
      </c>
      <c r="I393">
        <v>15</v>
      </c>
      <c r="J393" t="s">
        <v>82</v>
      </c>
      <c r="K393">
        <v>2463.2600000000002</v>
      </c>
      <c r="L393">
        <v>16421.72</v>
      </c>
      <c r="M393">
        <v>13958.46</v>
      </c>
      <c r="N393" t="s">
        <v>21</v>
      </c>
      <c r="O393">
        <v>2025</v>
      </c>
    </row>
    <row r="394" spans="1:15" x14ac:dyDescent="0.3">
      <c r="A394" t="s">
        <v>479</v>
      </c>
      <c r="B394" t="s">
        <v>93</v>
      </c>
      <c r="C394" t="s">
        <v>17</v>
      </c>
      <c r="D394" t="s">
        <v>24</v>
      </c>
      <c r="E394" t="s">
        <v>25</v>
      </c>
      <c r="F394" s="1">
        <v>45970</v>
      </c>
      <c r="G394">
        <v>3</v>
      </c>
      <c r="H394">
        <v>3165.34</v>
      </c>
      <c r="I394">
        <v>10</v>
      </c>
      <c r="J394" t="s">
        <v>31</v>
      </c>
      <c r="K394">
        <v>949.6</v>
      </c>
      <c r="L394">
        <v>9496.02</v>
      </c>
      <c r="M394">
        <v>8546.42</v>
      </c>
      <c r="N394" t="s">
        <v>96</v>
      </c>
      <c r="O394">
        <v>2025</v>
      </c>
    </row>
    <row r="395" spans="1:15" x14ac:dyDescent="0.3">
      <c r="A395" t="s">
        <v>480</v>
      </c>
      <c r="B395" t="s">
        <v>16</v>
      </c>
      <c r="C395" t="s">
        <v>62</v>
      </c>
      <c r="D395" t="s">
        <v>99</v>
      </c>
      <c r="E395" t="s">
        <v>44</v>
      </c>
      <c r="F395" s="1">
        <v>45617</v>
      </c>
      <c r="G395">
        <v>8</v>
      </c>
      <c r="H395">
        <v>1597.18</v>
      </c>
      <c r="I395">
        <v>0</v>
      </c>
      <c r="J395" t="s">
        <v>45</v>
      </c>
      <c r="K395">
        <v>0</v>
      </c>
      <c r="L395">
        <v>12777.44</v>
      </c>
      <c r="M395">
        <v>12777.44</v>
      </c>
      <c r="N395" t="s">
        <v>96</v>
      </c>
      <c r="O395">
        <v>2024</v>
      </c>
    </row>
    <row r="396" spans="1:15" x14ac:dyDescent="0.3">
      <c r="A396" t="s">
        <v>481</v>
      </c>
      <c r="B396" t="s">
        <v>74</v>
      </c>
      <c r="C396" t="s">
        <v>34</v>
      </c>
      <c r="D396" t="s">
        <v>85</v>
      </c>
      <c r="E396" t="s">
        <v>44</v>
      </c>
      <c r="F396" s="1">
        <v>45451</v>
      </c>
      <c r="G396">
        <v>2</v>
      </c>
      <c r="H396">
        <v>11293.12</v>
      </c>
      <c r="I396">
        <v>15</v>
      </c>
      <c r="J396" t="s">
        <v>82</v>
      </c>
      <c r="K396">
        <v>3387.94</v>
      </c>
      <c r="L396">
        <v>22586.240000000002</v>
      </c>
      <c r="M396">
        <v>19198.3</v>
      </c>
      <c r="N396" t="s">
        <v>72</v>
      </c>
      <c r="O396">
        <v>2024</v>
      </c>
    </row>
    <row r="397" spans="1:15" x14ac:dyDescent="0.3">
      <c r="A397" t="s">
        <v>482</v>
      </c>
      <c r="B397" t="s">
        <v>47</v>
      </c>
      <c r="C397" t="s">
        <v>62</v>
      </c>
      <c r="D397" t="s">
        <v>99</v>
      </c>
      <c r="E397" t="s">
        <v>81</v>
      </c>
      <c r="F397" s="1">
        <v>45504</v>
      </c>
      <c r="G397">
        <v>8</v>
      </c>
      <c r="H397">
        <v>1465.62</v>
      </c>
      <c r="I397">
        <v>10</v>
      </c>
      <c r="J397" t="s">
        <v>45</v>
      </c>
      <c r="K397">
        <v>1172.5</v>
      </c>
      <c r="L397">
        <v>11724.96</v>
      </c>
      <c r="M397">
        <v>10552.46</v>
      </c>
      <c r="N397" t="s">
        <v>122</v>
      </c>
      <c r="O397">
        <v>2024</v>
      </c>
    </row>
    <row r="398" spans="1:15" x14ac:dyDescent="0.3">
      <c r="A398" t="s">
        <v>483</v>
      </c>
      <c r="B398" t="s">
        <v>53</v>
      </c>
      <c r="C398" t="s">
        <v>17</v>
      </c>
      <c r="D398" t="s">
        <v>18</v>
      </c>
      <c r="E398" t="s">
        <v>44</v>
      </c>
      <c r="F398" s="1">
        <v>46013</v>
      </c>
      <c r="G398">
        <v>10</v>
      </c>
      <c r="H398">
        <v>65070.9</v>
      </c>
      <c r="I398">
        <v>10</v>
      </c>
      <c r="J398" t="s">
        <v>40</v>
      </c>
      <c r="K398">
        <v>65070.9</v>
      </c>
      <c r="L398">
        <v>650709</v>
      </c>
      <c r="M398">
        <v>585638.1</v>
      </c>
      <c r="N398" t="s">
        <v>51</v>
      </c>
      <c r="O398">
        <v>2025</v>
      </c>
    </row>
    <row r="399" spans="1:15" x14ac:dyDescent="0.3">
      <c r="A399" t="s">
        <v>484</v>
      </c>
      <c r="B399" t="s">
        <v>16</v>
      </c>
      <c r="C399" t="s">
        <v>34</v>
      </c>
      <c r="D399" t="s">
        <v>80</v>
      </c>
      <c r="E399" t="s">
        <v>50</v>
      </c>
      <c r="F399" s="1">
        <v>45697</v>
      </c>
      <c r="G399">
        <v>9</v>
      </c>
      <c r="H399">
        <v>5473.43</v>
      </c>
      <c r="I399">
        <v>10</v>
      </c>
      <c r="J399" t="s">
        <v>45</v>
      </c>
      <c r="K399">
        <v>4926.09</v>
      </c>
      <c r="L399">
        <v>49260.87</v>
      </c>
      <c r="M399">
        <v>44334.78</v>
      </c>
      <c r="N399" t="s">
        <v>41</v>
      </c>
      <c r="O399">
        <v>2025</v>
      </c>
    </row>
    <row r="400" spans="1:15" x14ac:dyDescent="0.3">
      <c r="A400" t="s">
        <v>485</v>
      </c>
      <c r="B400" t="s">
        <v>109</v>
      </c>
      <c r="C400" t="s">
        <v>62</v>
      </c>
      <c r="D400" t="s">
        <v>63</v>
      </c>
      <c r="E400" t="s">
        <v>56</v>
      </c>
      <c r="F400" s="1">
        <v>45861</v>
      </c>
      <c r="G400">
        <v>9</v>
      </c>
      <c r="H400">
        <v>1732.43</v>
      </c>
      <c r="I400">
        <v>15</v>
      </c>
      <c r="J400" t="s">
        <v>71</v>
      </c>
      <c r="K400">
        <v>2338.7800000000002</v>
      </c>
      <c r="L400">
        <v>15591.87</v>
      </c>
      <c r="M400">
        <v>13253.09</v>
      </c>
      <c r="N400" t="s">
        <v>122</v>
      </c>
      <c r="O400">
        <v>2025</v>
      </c>
    </row>
    <row r="401" spans="1:15" x14ac:dyDescent="0.3">
      <c r="A401" t="s">
        <v>486</v>
      </c>
      <c r="B401" t="s">
        <v>47</v>
      </c>
      <c r="C401" t="s">
        <v>17</v>
      </c>
      <c r="D401" t="s">
        <v>59</v>
      </c>
      <c r="E401" t="s">
        <v>25</v>
      </c>
      <c r="F401" s="1">
        <v>45519</v>
      </c>
      <c r="G401">
        <v>3</v>
      </c>
      <c r="H401">
        <v>23738.33</v>
      </c>
      <c r="I401">
        <v>15</v>
      </c>
      <c r="J401" t="s">
        <v>26</v>
      </c>
      <c r="K401">
        <v>10682.25</v>
      </c>
      <c r="L401">
        <v>71214.990000000005</v>
      </c>
      <c r="M401">
        <v>60532.74</v>
      </c>
      <c r="N401" t="s">
        <v>21</v>
      </c>
      <c r="O401">
        <v>2024</v>
      </c>
    </row>
    <row r="402" spans="1:15" x14ac:dyDescent="0.3">
      <c r="A402" t="s">
        <v>487</v>
      </c>
      <c r="B402" t="s">
        <v>93</v>
      </c>
      <c r="C402" t="s">
        <v>62</v>
      </c>
      <c r="D402" t="s">
        <v>95</v>
      </c>
      <c r="E402" t="s">
        <v>81</v>
      </c>
      <c r="F402" s="1">
        <v>45368</v>
      </c>
      <c r="G402">
        <v>1</v>
      </c>
      <c r="H402">
        <v>919.43</v>
      </c>
      <c r="I402">
        <v>5</v>
      </c>
      <c r="J402" t="s">
        <v>40</v>
      </c>
      <c r="K402">
        <v>45.97</v>
      </c>
      <c r="L402">
        <v>919.43</v>
      </c>
      <c r="M402">
        <v>873.46</v>
      </c>
      <c r="N402" t="s">
        <v>83</v>
      </c>
      <c r="O402">
        <v>2024</v>
      </c>
    </row>
    <row r="403" spans="1:15" x14ac:dyDescent="0.3">
      <c r="A403" t="s">
        <v>488</v>
      </c>
      <c r="B403" t="s">
        <v>47</v>
      </c>
      <c r="C403" t="s">
        <v>90</v>
      </c>
      <c r="D403" t="s">
        <v>107</v>
      </c>
      <c r="E403" t="s">
        <v>44</v>
      </c>
      <c r="F403" s="1">
        <v>45417</v>
      </c>
      <c r="G403">
        <v>1</v>
      </c>
      <c r="H403">
        <v>13626.84</v>
      </c>
      <c r="I403">
        <v>0</v>
      </c>
      <c r="J403" t="s">
        <v>45</v>
      </c>
      <c r="K403">
        <v>0</v>
      </c>
      <c r="L403">
        <v>13626.84</v>
      </c>
      <c r="M403">
        <v>13626.84</v>
      </c>
      <c r="N403" t="s">
        <v>101</v>
      </c>
      <c r="O403">
        <v>2024</v>
      </c>
    </row>
    <row r="404" spans="1:15" x14ac:dyDescent="0.3">
      <c r="A404" t="s">
        <v>489</v>
      </c>
      <c r="B404" t="s">
        <v>23</v>
      </c>
      <c r="C404" t="s">
        <v>34</v>
      </c>
      <c r="D404" t="s">
        <v>66</v>
      </c>
      <c r="E404" t="s">
        <v>44</v>
      </c>
      <c r="F404" s="1">
        <v>45800</v>
      </c>
      <c r="G404">
        <v>1</v>
      </c>
      <c r="H404">
        <v>39827.29</v>
      </c>
      <c r="I404">
        <v>15</v>
      </c>
      <c r="J404" t="s">
        <v>31</v>
      </c>
      <c r="K404">
        <v>5974.09</v>
      </c>
      <c r="L404">
        <v>39827.29</v>
      </c>
      <c r="M404">
        <v>33853.199999999997</v>
      </c>
      <c r="N404" t="s">
        <v>101</v>
      </c>
      <c r="O404">
        <v>2025</v>
      </c>
    </row>
    <row r="405" spans="1:15" x14ac:dyDescent="0.3">
      <c r="A405" t="s">
        <v>490</v>
      </c>
      <c r="B405" t="s">
        <v>29</v>
      </c>
      <c r="C405" t="s">
        <v>34</v>
      </c>
      <c r="D405" t="s">
        <v>48</v>
      </c>
      <c r="E405" t="s">
        <v>50</v>
      </c>
      <c r="F405" s="1">
        <v>45578</v>
      </c>
      <c r="G405">
        <v>8</v>
      </c>
      <c r="H405">
        <v>9863.5300000000007</v>
      </c>
      <c r="I405">
        <v>0</v>
      </c>
      <c r="J405" t="s">
        <v>40</v>
      </c>
      <c r="K405">
        <v>0</v>
      </c>
      <c r="L405">
        <v>78908.240000000005</v>
      </c>
      <c r="M405">
        <v>78908.240000000005</v>
      </c>
      <c r="N405" t="s">
        <v>57</v>
      </c>
      <c r="O405">
        <v>2024</v>
      </c>
    </row>
    <row r="406" spans="1:15" x14ac:dyDescent="0.3">
      <c r="A406" t="s">
        <v>491</v>
      </c>
      <c r="B406" t="s">
        <v>93</v>
      </c>
      <c r="C406" t="s">
        <v>54</v>
      </c>
      <c r="D406" t="s">
        <v>77</v>
      </c>
      <c r="E406" t="s">
        <v>50</v>
      </c>
      <c r="F406" s="1">
        <v>45802</v>
      </c>
      <c r="G406">
        <v>7</v>
      </c>
      <c r="H406">
        <v>5603.47</v>
      </c>
      <c r="I406">
        <v>15</v>
      </c>
      <c r="J406" t="s">
        <v>40</v>
      </c>
      <c r="K406">
        <v>5883.64</v>
      </c>
      <c r="L406">
        <v>39224.29</v>
      </c>
      <c r="M406">
        <v>33340.65</v>
      </c>
      <c r="N406" t="s">
        <v>101</v>
      </c>
      <c r="O406">
        <v>2025</v>
      </c>
    </row>
    <row r="407" spans="1:15" x14ac:dyDescent="0.3">
      <c r="A407" t="s">
        <v>492</v>
      </c>
      <c r="B407" t="s">
        <v>43</v>
      </c>
      <c r="C407" t="s">
        <v>17</v>
      </c>
      <c r="D407" t="s">
        <v>18</v>
      </c>
      <c r="E407" t="s">
        <v>56</v>
      </c>
      <c r="F407" s="1">
        <v>45721</v>
      </c>
      <c r="G407">
        <v>4</v>
      </c>
      <c r="H407">
        <v>68943.100000000006</v>
      </c>
      <c r="I407">
        <v>20</v>
      </c>
      <c r="J407" t="s">
        <v>36</v>
      </c>
      <c r="K407">
        <v>55154.48</v>
      </c>
      <c r="L407">
        <v>275772.40000000002</v>
      </c>
      <c r="M407">
        <v>220617.92</v>
      </c>
      <c r="N407" t="s">
        <v>83</v>
      </c>
      <c r="O407">
        <v>2025</v>
      </c>
    </row>
    <row r="408" spans="1:15" x14ac:dyDescent="0.3">
      <c r="A408" t="s">
        <v>493</v>
      </c>
      <c r="B408" t="s">
        <v>74</v>
      </c>
      <c r="C408" t="s">
        <v>34</v>
      </c>
      <c r="D408" t="s">
        <v>66</v>
      </c>
      <c r="E408" t="s">
        <v>25</v>
      </c>
      <c r="F408" s="1">
        <v>46022</v>
      </c>
      <c r="G408">
        <v>6</v>
      </c>
      <c r="H408">
        <v>44876.53</v>
      </c>
      <c r="I408">
        <v>15</v>
      </c>
      <c r="J408" t="s">
        <v>31</v>
      </c>
      <c r="K408">
        <v>40388.879999999997</v>
      </c>
      <c r="L408">
        <v>269259.18</v>
      </c>
      <c r="M408">
        <v>228870.3</v>
      </c>
      <c r="N408" t="s">
        <v>51</v>
      </c>
      <c r="O408">
        <v>2025</v>
      </c>
    </row>
    <row r="409" spans="1:15" x14ac:dyDescent="0.3">
      <c r="A409" t="s">
        <v>494</v>
      </c>
      <c r="B409" t="s">
        <v>65</v>
      </c>
      <c r="C409" t="s">
        <v>62</v>
      </c>
      <c r="D409" t="s">
        <v>132</v>
      </c>
      <c r="E409" t="s">
        <v>19</v>
      </c>
      <c r="F409" s="1">
        <v>45568</v>
      </c>
      <c r="G409">
        <v>3</v>
      </c>
      <c r="H409">
        <v>2492.92</v>
      </c>
      <c r="I409">
        <v>20</v>
      </c>
      <c r="J409" t="s">
        <v>31</v>
      </c>
      <c r="K409">
        <v>1495.75</v>
      </c>
      <c r="L409">
        <v>7478.76</v>
      </c>
      <c r="M409">
        <v>5983.01</v>
      </c>
      <c r="N409" t="s">
        <v>57</v>
      </c>
      <c r="O409">
        <v>2024</v>
      </c>
    </row>
    <row r="410" spans="1:15" x14ac:dyDescent="0.3">
      <c r="A410" t="s">
        <v>495</v>
      </c>
      <c r="B410" t="s">
        <v>114</v>
      </c>
      <c r="C410" t="s">
        <v>34</v>
      </c>
      <c r="D410" t="s">
        <v>80</v>
      </c>
      <c r="E410" t="s">
        <v>44</v>
      </c>
      <c r="F410" s="1">
        <v>45351</v>
      </c>
      <c r="G410">
        <v>8</v>
      </c>
      <c r="H410">
        <v>6194.15</v>
      </c>
      <c r="I410">
        <v>20</v>
      </c>
      <c r="J410" t="s">
        <v>40</v>
      </c>
      <c r="K410">
        <v>9910.64</v>
      </c>
      <c r="L410">
        <v>49553.2</v>
      </c>
      <c r="M410">
        <v>39642.559999999998</v>
      </c>
      <c r="N410" t="s">
        <v>41</v>
      </c>
      <c r="O410">
        <v>2024</v>
      </c>
    </row>
    <row r="411" spans="1:15" x14ac:dyDescent="0.3">
      <c r="A411" t="s">
        <v>496</v>
      </c>
      <c r="B411" t="s">
        <v>47</v>
      </c>
      <c r="C411" t="s">
        <v>34</v>
      </c>
      <c r="D411" t="s">
        <v>85</v>
      </c>
      <c r="E411" t="s">
        <v>50</v>
      </c>
      <c r="F411" s="1">
        <v>45564</v>
      </c>
      <c r="G411">
        <v>9</v>
      </c>
      <c r="H411">
        <v>13248.86</v>
      </c>
      <c r="I411">
        <v>0</v>
      </c>
      <c r="J411" t="s">
        <v>20</v>
      </c>
      <c r="K411">
        <v>0</v>
      </c>
      <c r="L411">
        <v>119239.74</v>
      </c>
      <c r="M411">
        <v>119239.74</v>
      </c>
      <c r="N411" t="s">
        <v>86</v>
      </c>
      <c r="O411">
        <v>2024</v>
      </c>
    </row>
    <row r="412" spans="1:15" x14ac:dyDescent="0.3">
      <c r="A412" t="s">
        <v>497</v>
      </c>
      <c r="B412" t="s">
        <v>38</v>
      </c>
      <c r="C412" t="s">
        <v>34</v>
      </c>
      <c r="D412" t="s">
        <v>66</v>
      </c>
      <c r="E412" t="s">
        <v>44</v>
      </c>
      <c r="F412" s="1">
        <v>45655</v>
      </c>
      <c r="G412">
        <v>3</v>
      </c>
      <c r="H412">
        <v>41537.1</v>
      </c>
      <c r="I412">
        <v>20</v>
      </c>
      <c r="J412" t="s">
        <v>31</v>
      </c>
      <c r="K412">
        <v>24922.26</v>
      </c>
      <c r="L412">
        <v>124611.3</v>
      </c>
      <c r="M412">
        <v>99689.04</v>
      </c>
      <c r="N412" t="s">
        <v>51</v>
      </c>
      <c r="O412">
        <v>2024</v>
      </c>
    </row>
    <row r="413" spans="1:15" x14ac:dyDescent="0.3">
      <c r="A413" t="s">
        <v>498</v>
      </c>
      <c r="B413" t="s">
        <v>114</v>
      </c>
      <c r="C413" t="s">
        <v>62</v>
      </c>
      <c r="D413" t="s">
        <v>119</v>
      </c>
      <c r="E413" t="s">
        <v>81</v>
      </c>
      <c r="F413" s="1">
        <v>46012</v>
      </c>
      <c r="G413">
        <v>6</v>
      </c>
      <c r="H413">
        <v>4377.03</v>
      </c>
      <c r="I413">
        <v>20</v>
      </c>
      <c r="J413" t="s">
        <v>26</v>
      </c>
      <c r="K413">
        <v>5252.44</v>
      </c>
      <c r="L413">
        <v>26262.18</v>
      </c>
      <c r="M413">
        <v>21009.74</v>
      </c>
      <c r="N413" t="s">
        <v>51</v>
      </c>
      <c r="O413">
        <v>2025</v>
      </c>
    </row>
    <row r="414" spans="1:15" x14ac:dyDescent="0.3">
      <c r="A414" t="s">
        <v>499</v>
      </c>
      <c r="B414" t="s">
        <v>29</v>
      </c>
      <c r="C414" t="s">
        <v>34</v>
      </c>
      <c r="D414" t="s">
        <v>66</v>
      </c>
      <c r="E414" t="s">
        <v>44</v>
      </c>
      <c r="F414" s="1">
        <v>45847</v>
      </c>
      <c r="G414">
        <v>5</v>
      </c>
      <c r="H414">
        <v>37755.57</v>
      </c>
      <c r="I414">
        <v>0</v>
      </c>
      <c r="J414" t="s">
        <v>71</v>
      </c>
      <c r="K414">
        <v>0</v>
      </c>
      <c r="L414">
        <v>188777.85</v>
      </c>
      <c r="M414">
        <v>188777.85</v>
      </c>
      <c r="N414" t="s">
        <v>122</v>
      </c>
      <c r="O414">
        <v>2025</v>
      </c>
    </row>
    <row r="415" spans="1:15" x14ac:dyDescent="0.3">
      <c r="A415" t="s">
        <v>500</v>
      </c>
      <c r="B415" t="s">
        <v>29</v>
      </c>
      <c r="C415" t="s">
        <v>17</v>
      </c>
      <c r="D415" t="s">
        <v>18</v>
      </c>
      <c r="E415" t="s">
        <v>81</v>
      </c>
      <c r="F415" s="1">
        <v>45312</v>
      </c>
      <c r="G415">
        <v>9</v>
      </c>
      <c r="H415">
        <v>66267.320000000007</v>
      </c>
      <c r="I415">
        <v>10</v>
      </c>
      <c r="J415" t="s">
        <v>20</v>
      </c>
      <c r="K415">
        <v>59640.59</v>
      </c>
      <c r="L415">
        <v>596405.88</v>
      </c>
      <c r="M415">
        <v>536765.29</v>
      </c>
      <c r="N415" t="s">
        <v>116</v>
      </c>
      <c r="O415">
        <v>2024</v>
      </c>
    </row>
    <row r="416" spans="1:15" x14ac:dyDescent="0.3">
      <c r="A416" t="s">
        <v>501</v>
      </c>
      <c r="B416" t="s">
        <v>74</v>
      </c>
      <c r="C416" t="s">
        <v>54</v>
      </c>
      <c r="D416" t="s">
        <v>55</v>
      </c>
      <c r="E416" t="s">
        <v>50</v>
      </c>
      <c r="F416" s="1">
        <v>45473</v>
      </c>
      <c r="G416">
        <v>6</v>
      </c>
      <c r="H416">
        <v>1097.8699999999999</v>
      </c>
      <c r="I416">
        <v>5</v>
      </c>
      <c r="J416" t="s">
        <v>45</v>
      </c>
      <c r="K416">
        <v>329.36</v>
      </c>
      <c r="L416">
        <v>6587.22</v>
      </c>
      <c r="M416">
        <v>6257.86</v>
      </c>
      <c r="N416" t="s">
        <v>72</v>
      </c>
      <c r="O416">
        <v>2024</v>
      </c>
    </row>
    <row r="417" spans="1:15" x14ac:dyDescent="0.3">
      <c r="A417" t="s">
        <v>502</v>
      </c>
      <c r="B417" t="s">
        <v>74</v>
      </c>
      <c r="C417" t="s">
        <v>54</v>
      </c>
      <c r="D417" t="s">
        <v>55</v>
      </c>
      <c r="E417" t="s">
        <v>25</v>
      </c>
      <c r="F417" s="1">
        <v>45366</v>
      </c>
      <c r="G417">
        <v>6</v>
      </c>
      <c r="H417">
        <v>1291.3599999999999</v>
      </c>
      <c r="I417">
        <v>15</v>
      </c>
      <c r="J417" t="s">
        <v>45</v>
      </c>
      <c r="K417">
        <v>1162.22</v>
      </c>
      <c r="L417">
        <v>7748.16</v>
      </c>
      <c r="M417">
        <v>6585.94</v>
      </c>
      <c r="N417" t="s">
        <v>83</v>
      </c>
      <c r="O417">
        <v>2024</v>
      </c>
    </row>
    <row r="418" spans="1:15" x14ac:dyDescent="0.3">
      <c r="A418" t="s">
        <v>503</v>
      </c>
      <c r="B418" t="s">
        <v>33</v>
      </c>
      <c r="C418" t="s">
        <v>54</v>
      </c>
      <c r="D418" t="s">
        <v>70</v>
      </c>
      <c r="E418" t="s">
        <v>19</v>
      </c>
      <c r="F418" s="1">
        <v>45431</v>
      </c>
      <c r="G418">
        <v>3</v>
      </c>
      <c r="H418">
        <v>2707.72</v>
      </c>
      <c r="I418">
        <v>15</v>
      </c>
      <c r="J418" t="s">
        <v>45</v>
      </c>
      <c r="K418">
        <v>1218.47</v>
      </c>
      <c r="L418">
        <v>8123.16</v>
      </c>
      <c r="M418">
        <v>6904.69</v>
      </c>
      <c r="N418" t="s">
        <v>101</v>
      </c>
      <c r="O418">
        <v>2024</v>
      </c>
    </row>
    <row r="419" spans="1:15" x14ac:dyDescent="0.3">
      <c r="A419" t="s">
        <v>504</v>
      </c>
      <c r="B419" t="s">
        <v>53</v>
      </c>
      <c r="C419" t="s">
        <v>90</v>
      </c>
      <c r="D419" t="s">
        <v>115</v>
      </c>
      <c r="E419" t="s">
        <v>30</v>
      </c>
      <c r="F419" s="1">
        <v>45520</v>
      </c>
      <c r="G419">
        <v>10</v>
      </c>
      <c r="H419">
        <v>8828.91</v>
      </c>
      <c r="I419">
        <v>15</v>
      </c>
      <c r="J419" t="s">
        <v>45</v>
      </c>
      <c r="K419">
        <v>13243.36</v>
      </c>
      <c r="L419">
        <v>88289.1</v>
      </c>
      <c r="M419">
        <v>75045.740000000005</v>
      </c>
      <c r="N419" t="s">
        <v>21</v>
      </c>
      <c r="O419">
        <v>2024</v>
      </c>
    </row>
    <row r="420" spans="1:15" x14ac:dyDescent="0.3">
      <c r="A420" t="s">
        <v>505</v>
      </c>
      <c r="B420" t="s">
        <v>53</v>
      </c>
      <c r="C420" t="s">
        <v>62</v>
      </c>
      <c r="D420" t="s">
        <v>119</v>
      </c>
      <c r="E420" t="s">
        <v>50</v>
      </c>
      <c r="F420" s="1">
        <v>46010</v>
      </c>
      <c r="G420">
        <v>10</v>
      </c>
      <c r="H420">
        <v>3841.92</v>
      </c>
      <c r="I420">
        <v>20</v>
      </c>
      <c r="J420" t="s">
        <v>26</v>
      </c>
      <c r="K420">
        <v>7683.84</v>
      </c>
      <c r="L420">
        <v>38419.199999999997</v>
      </c>
      <c r="M420">
        <v>30735.360000000001</v>
      </c>
      <c r="N420" t="s">
        <v>51</v>
      </c>
      <c r="O420">
        <v>2025</v>
      </c>
    </row>
    <row r="421" spans="1:15" x14ac:dyDescent="0.3">
      <c r="A421" t="s">
        <v>506</v>
      </c>
      <c r="B421" t="s">
        <v>93</v>
      </c>
      <c r="C421" t="s">
        <v>17</v>
      </c>
      <c r="D421" t="s">
        <v>59</v>
      </c>
      <c r="E421" t="s">
        <v>19</v>
      </c>
      <c r="F421" s="1">
        <v>45946</v>
      </c>
      <c r="G421">
        <v>10</v>
      </c>
      <c r="H421">
        <v>25465.759999999998</v>
      </c>
      <c r="I421">
        <v>15</v>
      </c>
      <c r="J421" t="s">
        <v>20</v>
      </c>
      <c r="K421">
        <v>38198.639999999999</v>
      </c>
      <c r="L421">
        <v>254657.6</v>
      </c>
      <c r="M421">
        <v>216458.96</v>
      </c>
      <c r="N421" t="s">
        <v>57</v>
      </c>
      <c r="O421">
        <v>2025</v>
      </c>
    </row>
    <row r="422" spans="1:15" x14ac:dyDescent="0.3">
      <c r="A422" t="s">
        <v>507</v>
      </c>
      <c r="B422" t="s">
        <v>16</v>
      </c>
      <c r="C422" t="s">
        <v>34</v>
      </c>
      <c r="D422" t="s">
        <v>48</v>
      </c>
      <c r="E422" t="s">
        <v>25</v>
      </c>
      <c r="F422" s="1">
        <v>45647</v>
      </c>
      <c r="G422">
        <v>6</v>
      </c>
      <c r="H422">
        <v>8289.35</v>
      </c>
      <c r="I422">
        <v>0</v>
      </c>
      <c r="J422" t="s">
        <v>20</v>
      </c>
      <c r="K422">
        <v>0</v>
      </c>
      <c r="L422">
        <v>49736.1</v>
      </c>
      <c r="M422">
        <v>49736.1</v>
      </c>
      <c r="N422" t="s">
        <v>51</v>
      </c>
      <c r="O422">
        <v>2024</v>
      </c>
    </row>
    <row r="423" spans="1:15" x14ac:dyDescent="0.3">
      <c r="A423" t="s">
        <v>508</v>
      </c>
      <c r="B423" t="s">
        <v>109</v>
      </c>
      <c r="C423" t="s">
        <v>62</v>
      </c>
      <c r="D423" t="s">
        <v>99</v>
      </c>
      <c r="E423" t="s">
        <v>19</v>
      </c>
      <c r="F423" s="1">
        <v>45547</v>
      </c>
      <c r="G423">
        <v>2</v>
      </c>
      <c r="H423">
        <v>1481.43</v>
      </c>
      <c r="I423">
        <v>0</v>
      </c>
      <c r="J423" t="s">
        <v>20</v>
      </c>
      <c r="K423">
        <v>0</v>
      </c>
      <c r="L423">
        <v>2962.86</v>
      </c>
      <c r="M423">
        <v>2962.86</v>
      </c>
      <c r="N423" t="s">
        <v>86</v>
      </c>
      <c r="O423">
        <v>2024</v>
      </c>
    </row>
    <row r="424" spans="1:15" x14ac:dyDescent="0.3">
      <c r="A424" t="s">
        <v>509</v>
      </c>
      <c r="B424" t="s">
        <v>23</v>
      </c>
      <c r="C424" t="s">
        <v>17</v>
      </c>
      <c r="D424" t="s">
        <v>18</v>
      </c>
      <c r="E424" t="s">
        <v>56</v>
      </c>
      <c r="F424" s="1">
        <v>45462</v>
      </c>
      <c r="G424">
        <v>7</v>
      </c>
      <c r="H424">
        <v>66512.58</v>
      </c>
      <c r="I424">
        <v>15</v>
      </c>
      <c r="J424" t="s">
        <v>31</v>
      </c>
      <c r="K424">
        <v>69838.210000000006</v>
      </c>
      <c r="L424">
        <v>465588.06</v>
      </c>
      <c r="M424">
        <v>395749.85</v>
      </c>
      <c r="N424" t="s">
        <v>72</v>
      </c>
      <c r="O424">
        <v>2024</v>
      </c>
    </row>
    <row r="425" spans="1:15" x14ac:dyDescent="0.3">
      <c r="A425" t="s">
        <v>510</v>
      </c>
      <c r="B425" t="s">
        <v>23</v>
      </c>
      <c r="C425" t="s">
        <v>62</v>
      </c>
      <c r="D425" t="s">
        <v>132</v>
      </c>
      <c r="E425" t="s">
        <v>25</v>
      </c>
      <c r="F425" s="1">
        <v>45883</v>
      </c>
      <c r="G425">
        <v>4</v>
      </c>
      <c r="H425">
        <v>2351.66</v>
      </c>
      <c r="I425">
        <v>0</v>
      </c>
      <c r="J425" t="s">
        <v>71</v>
      </c>
      <c r="K425">
        <v>0</v>
      </c>
      <c r="L425">
        <v>9406.64</v>
      </c>
      <c r="M425">
        <v>9406.64</v>
      </c>
      <c r="N425" t="s">
        <v>21</v>
      </c>
      <c r="O425">
        <v>2025</v>
      </c>
    </row>
    <row r="426" spans="1:15" x14ac:dyDescent="0.3">
      <c r="A426" t="s">
        <v>511</v>
      </c>
      <c r="B426" t="s">
        <v>109</v>
      </c>
      <c r="C426" t="s">
        <v>17</v>
      </c>
      <c r="D426" t="s">
        <v>39</v>
      </c>
      <c r="E426" t="s">
        <v>19</v>
      </c>
      <c r="F426" s="1">
        <v>45399</v>
      </c>
      <c r="G426">
        <v>2</v>
      </c>
      <c r="H426">
        <v>17738.14</v>
      </c>
      <c r="I426">
        <v>15</v>
      </c>
      <c r="J426" t="s">
        <v>40</v>
      </c>
      <c r="K426">
        <v>5321.44</v>
      </c>
      <c r="L426">
        <v>35476.28</v>
      </c>
      <c r="M426">
        <v>30154.84</v>
      </c>
      <c r="N426" t="s">
        <v>27</v>
      </c>
      <c r="O426">
        <v>2024</v>
      </c>
    </row>
    <row r="427" spans="1:15" x14ac:dyDescent="0.3">
      <c r="A427" t="s">
        <v>512</v>
      </c>
      <c r="B427" t="s">
        <v>65</v>
      </c>
      <c r="C427" t="s">
        <v>34</v>
      </c>
      <c r="D427" t="s">
        <v>80</v>
      </c>
      <c r="E427" t="s">
        <v>25</v>
      </c>
      <c r="F427" s="1">
        <v>45900</v>
      </c>
      <c r="G427">
        <v>10</v>
      </c>
      <c r="H427">
        <v>6739.84</v>
      </c>
      <c r="I427">
        <v>0</v>
      </c>
      <c r="J427" t="s">
        <v>45</v>
      </c>
      <c r="K427">
        <v>0</v>
      </c>
      <c r="L427">
        <v>67398.399999999994</v>
      </c>
      <c r="M427">
        <v>67398.399999999994</v>
      </c>
      <c r="N427" t="s">
        <v>21</v>
      </c>
      <c r="O427">
        <v>2025</v>
      </c>
    </row>
    <row r="428" spans="1:15" x14ac:dyDescent="0.3">
      <c r="A428" t="s">
        <v>513</v>
      </c>
      <c r="B428" t="s">
        <v>93</v>
      </c>
      <c r="C428" t="s">
        <v>90</v>
      </c>
      <c r="D428" t="s">
        <v>107</v>
      </c>
      <c r="E428" t="s">
        <v>56</v>
      </c>
      <c r="F428" s="1">
        <v>45346</v>
      </c>
      <c r="G428">
        <v>2</v>
      </c>
      <c r="H428">
        <v>11793.28</v>
      </c>
      <c r="I428">
        <v>5</v>
      </c>
      <c r="J428" t="s">
        <v>36</v>
      </c>
      <c r="K428">
        <v>1179.33</v>
      </c>
      <c r="L428">
        <v>23586.560000000001</v>
      </c>
      <c r="M428">
        <v>22407.23</v>
      </c>
      <c r="N428" t="s">
        <v>41</v>
      </c>
      <c r="O428">
        <v>2024</v>
      </c>
    </row>
    <row r="429" spans="1:15" x14ac:dyDescent="0.3">
      <c r="A429" t="s">
        <v>514</v>
      </c>
      <c r="B429" t="s">
        <v>16</v>
      </c>
      <c r="C429" t="s">
        <v>90</v>
      </c>
      <c r="D429" t="s">
        <v>91</v>
      </c>
      <c r="E429" t="s">
        <v>30</v>
      </c>
      <c r="F429" s="1">
        <v>45968</v>
      </c>
      <c r="G429">
        <v>5</v>
      </c>
      <c r="H429">
        <v>1607.68</v>
      </c>
      <c r="I429">
        <v>0</v>
      </c>
      <c r="J429" t="s">
        <v>40</v>
      </c>
      <c r="K429">
        <v>0</v>
      </c>
      <c r="L429">
        <v>8038.4</v>
      </c>
      <c r="M429">
        <v>8038.4</v>
      </c>
      <c r="N429" t="s">
        <v>96</v>
      </c>
      <c r="O429">
        <v>2025</v>
      </c>
    </row>
    <row r="430" spans="1:15" x14ac:dyDescent="0.3">
      <c r="A430" t="s">
        <v>515</v>
      </c>
      <c r="B430" t="s">
        <v>93</v>
      </c>
      <c r="C430" t="s">
        <v>17</v>
      </c>
      <c r="D430" t="s">
        <v>157</v>
      </c>
      <c r="E430" t="s">
        <v>81</v>
      </c>
      <c r="F430" s="1">
        <v>45449</v>
      </c>
      <c r="G430">
        <v>1</v>
      </c>
      <c r="H430">
        <v>6931.45</v>
      </c>
      <c r="I430">
        <v>15</v>
      </c>
      <c r="J430" t="s">
        <v>71</v>
      </c>
      <c r="K430">
        <v>1039.72</v>
      </c>
      <c r="L430">
        <v>6931.45</v>
      </c>
      <c r="M430">
        <v>5891.73</v>
      </c>
      <c r="N430" t="s">
        <v>72</v>
      </c>
      <c r="O430">
        <v>2024</v>
      </c>
    </row>
    <row r="431" spans="1:15" x14ac:dyDescent="0.3">
      <c r="A431" t="s">
        <v>516</v>
      </c>
      <c r="B431" t="s">
        <v>38</v>
      </c>
      <c r="C431" t="s">
        <v>17</v>
      </c>
      <c r="D431" t="s">
        <v>39</v>
      </c>
      <c r="E431" t="s">
        <v>30</v>
      </c>
      <c r="F431" s="1">
        <v>45496</v>
      </c>
      <c r="G431">
        <v>2</v>
      </c>
      <c r="H431">
        <v>16315.81</v>
      </c>
      <c r="I431">
        <v>5</v>
      </c>
      <c r="J431" t="s">
        <v>71</v>
      </c>
      <c r="K431">
        <v>1631.58</v>
      </c>
      <c r="L431">
        <v>32631.62</v>
      </c>
      <c r="M431">
        <v>31000.04</v>
      </c>
      <c r="N431" t="s">
        <v>122</v>
      </c>
      <c r="O431">
        <v>2024</v>
      </c>
    </row>
    <row r="432" spans="1:15" x14ac:dyDescent="0.3">
      <c r="A432" t="s">
        <v>517</v>
      </c>
      <c r="B432" t="s">
        <v>89</v>
      </c>
      <c r="C432" t="s">
        <v>62</v>
      </c>
      <c r="D432" t="s">
        <v>95</v>
      </c>
      <c r="E432" t="s">
        <v>44</v>
      </c>
      <c r="F432" s="1">
        <v>45607</v>
      </c>
      <c r="G432">
        <v>7</v>
      </c>
      <c r="H432">
        <v>895.61</v>
      </c>
      <c r="I432">
        <v>10</v>
      </c>
      <c r="J432" t="s">
        <v>82</v>
      </c>
      <c r="K432">
        <v>626.92999999999995</v>
      </c>
      <c r="L432">
        <v>6269.27</v>
      </c>
      <c r="M432">
        <v>5642.34</v>
      </c>
      <c r="N432" t="s">
        <v>96</v>
      </c>
      <c r="O432">
        <v>2024</v>
      </c>
    </row>
    <row r="433" spans="1:15" x14ac:dyDescent="0.3">
      <c r="A433" t="s">
        <v>518</v>
      </c>
      <c r="B433" t="s">
        <v>23</v>
      </c>
      <c r="C433" t="s">
        <v>17</v>
      </c>
      <c r="D433" t="s">
        <v>24</v>
      </c>
      <c r="E433" t="s">
        <v>50</v>
      </c>
      <c r="F433" s="1">
        <v>45682</v>
      </c>
      <c r="G433">
        <v>6</v>
      </c>
      <c r="H433">
        <v>2839.94</v>
      </c>
      <c r="I433">
        <v>0</v>
      </c>
      <c r="J433" t="s">
        <v>45</v>
      </c>
      <c r="K433">
        <v>0</v>
      </c>
      <c r="L433">
        <v>17039.64</v>
      </c>
      <c r="M433">
        <v>17039.64</v>
      </c>
      <c r="N433" t="s">
        <v>116</v>
      </c>
      <c r="O433">
        <v>2025</v>
      </c>
    </row>
    <row r="434" spans="1:15" x14ac:dyDescent="0.3">
      <c r="A434" t="s">
        <v>519</v>
      </c>
      <c r="B434" t="s">
        <v>89</v>
      </c>
      <c r="C434" t="s">
        <v>62</v>
      </c>
      <c r="D434" t="s">
        <v>99</v>
      </c>
      <c r="E434" t="s">
        <v>19</v>
      </c>
      <c r="F434" s="1">
        <v>45567</v>
      </c>
      <c r="G434">
        <v>10</v>
      </c>
      <c r="H434">
        <v>1510.43</v>
      </c>
      <c r="I434">
        <v>0</v>
      </c>
      <c r="J434" t="s">
        <v>20</v>
      </c>
      <c r="K434">
        <v>0</v>
      </c>
      <c r="L434">
        <v>15104.3</v>
      </c>
      <c r="M434">
        <v>15104.3</v>
      </c>
      <c r="N434" t="s">
        <v>57</v>
      </c>
      <c r="O434">
        <v>2024</v>
      </c>
    </row>
    <row r="435" spans="1:15" x14ac:dyDescent="0.3">
      <c r="A435" t="s">
        <v>520</v>
      </c>
      <c r="B435" t="s">
        <v>74</v>
      </c>
      <c r="C435" t="s">
        <v>17</v>
      </c>
      <c r="D435" t="s">
        <v>39</v>
      </c>
      <c r="E435" t="s">
        <v>81</v>
      </c>
      <c r="F435" s="1">
        <v>45895</v>
      </c>
      <c r="G435">
        <v>4</v>
      </c>
      <c r="H435">
        <v>18691.21</v>
      </c>
      <c r="I435">
        <v>15</v>
      </c>
      <c r="J435" t="s">
        <v>31</v>
      </c>
      <c r="K435">
        <v>11214.73</v>
      </c>
      <c r="L435">
        <v>74764.84</v>
      </c>
      <c r="M435">
        <v>63550.11</v>
      </c>
      <c r="N435" t="s">
        <v>21</v>
      </c>
      <c r="O435">
        <v>2025</v>
      </c>
    </row>
    <row r="436" spans="1:15" x14ac:dyDescent="0.3">
      <c r="A436" t="s">
        <v>521</v>
      </c>
      <c r="B436" t="s">
        <v>65</v>
      </c>
      <c r="C436" t="s">
        <v>54</v>
      </c>
      <c r="D436" t="s">
        <v>68</v>
      </c>
      <c r="E436" t="s">
        <v>30</v>
      </c>
      <c r="F436" s="1">
        <v>45878</v>
      </c>
      <c r="G436">
        <v>4</v>
      </c>
      <c r="H436">
        <v>4585.8</v>
      </c>
      <c r="I436">
        <v>0</v>
      </c>
      <c r="J436" t="s">
        <v>71</v>
      </c>
      <c r="K436">
        <v>0</v>
      </c>
      <c r="L436">
        <v>18343.2</v>
      </c>
      <c r="M436">
        <v>18343.2</v>
      </c>
      <c r="N436" t="s">
        <v>21</v>
      </c>
      <c r="O436">
        <v>2025</v>
      </c>
    </row>
    <row r="437" spans="1:15" x14ac:dyDescent="0.3">
      <c r="A437" t="s">
        <v>522</v>
      </c>
      <c r="B437" t="s">
        <v>65</v>
      </c>
      <c r="C437" t="s">
        <v>90</v>
      </c>
      <c r="D437" t="s">
        <v>105</v>
      </c>
      <c r="E437" t="s">
        <v>81</v>
      </c>
      <c r="F437" s="1">
        <v>45415</v>
      </c>
      <c r="G437">
        <v>8</v>
      </c>
      <c r="H437">
        <v>3301.27</v>
      </c>
      <c r="I437">
        <v>5</v>
      </c>
      <c r="J437" t="s">
        <v>36</v>
      </c>
      <c r="K437">
        <v>1320.51</v>
      </c>
      <c r="L437">
        <v>26410.16</v>
      </c>
      <c r="M437">
        <v>25089.65</v>
      </c>
      <c r="N437" t="s">
        <v>101</v>
      </c>
      <c r="O437">
        <v>2024</v>
      </c>
    </row>
    <row r="438" spans="1:15" x14ac:dyDescent="0.3">
      <c r="A438" t="s">
        <v>523</v>
      </c>
      <c r="B438" t="s">
        <v>53</v>
      </c>
      <c r="C438" t="s">
        <v>34</v>
      </c>
      <c r="D438" t="s">
        <v>85</v>
      </c>
      <c r="E438" t="s">
        <v>25</v>
      </c>
      <c r="F438" s="1">
        <v>45372</v>
      </c>
      <c r="G438">
        <v>7</v>
      </c>
      <c r="H438">
        <v>11405.76</v>
      </c>
      <c r="I438">
        <v>5</v>
      </c>
      <c r="J438" t="s">
        <v>31</v>
      </c>
      <c r="K438">
        <v>3992.02</v>
      </c>
      <c r="L438">
        <v>79840.320000000007</v>
      </c>
      <c r="M438">
        <v>75848.3</v>
      </c>
      <c r="N438" t="s">
        <v>83</v>
      </c>
      <c r="O438">
        <v>2024</v>
      </c>
    </row>
    <row r="439" spans="1:15" x14ac:dyDescent="0.3">
      <c r="A439" t="s">
        <v>524</v>
      </c>
      <c r="B439" t="s">
        <v>33</v>
      </c>
      <c r="C439" t="s">
        <v>54</v>
      </c>
      <c r="D439" t="s">
        <v>137</v>
      </c>
      <c r="E439" t="s">
        <v>30</v>
      </c>
      <c r="F439" s="1">
        <v>45381</v>
      </c>
      <c r="G439">
        <v>7</v>
      </c>
      <c r="H439">
        <v>935.18</v>
      </c>
      <c r="I439">
        <v>20</v>
      </c>
      <c r="J439" t="s">
        <v>82</v>
      </c>
      <c r="K439">
        <v>1309.25</v>
      </c>
      <c r="L439">
        <v>6546.26</v>
      </c>
      <c r="M439">
        <v>5237.01</v>
      </c>
      <c r="N439" t="s">
        <v>83</v>
      </c>
      <c r="O439">
        <v>2024</v>
      </c>
    </row>
    <row r="440" spans="1:15" x14ac:dyDescent="0.3">
      <c r="A440" t="s">
        <v>525</v>
      </c>
      <c r="B440" t="s">
        <v>65</v>
      </c>
      <c r="C440" t="s">
        <v>62</v>
      </c>
      <c r="D440" t="s">
        <v>119</v>
      </c>
      <c r="E440" t="s">
        <v>56</v>
      </c>
      <c r="F440" s="1">
        <v>46009</v>
      </c>
      <c r="G440">
        <v>10</v>
      </c>
      <c r="H440">
        <v>4030.54</v>
      </c>
      <c r="I440">
        <v>15</v>
      </c>
      <c r="J440" t="s">
        <v>26</v>
      </c>
      <c r="K440">
        <v>6045.81</v>
      </c>
      <c r="L440">
        <v>40305.4</v>
      </c>
      <c r="M440">
        <v>34259.589999999997</v>
      </c>
      <c r="N440" t="s">
        <v>51</v>
      </c>
      <c r="O440">
        <v>2025</v>
      </c>
    </row>
    <row r="441" spans="1:15" x14ac:dyDescent="0.3">
      <c r="A441" t="s">
        <v>526</v>
      </c>
      <c r="B441" t="s">
        <v>53</v>
      </c>
      <c r="C441" t="s">
        <v>17</v>
      </c>
      <c r="D441" t="s">
        <v>157</v>
      </c>
      <c r="E441" t="s">
        <v>50</v>
      </c>
      <c r="F441" s="1">
        <v>45400</v>
      </c>
      <c r="G441">
        <v>10</v>
      </c>
      <c r="H441">
        <v>7664.2</v>
      </c>
      <c r="I441">
        <v>10</v>
      </c>
      <c r="J441" t="s">
        <v>82</v>
      </c>
      <c r="K441">
        <v>7664.2</v>
      </c>
      <c r="L441">
        <v>76642</v>
      </c>
      <c r="M441">
        <v>68977.8</v>
      </c>
      <c r="N441" t="s">
        <v>27</v>
      </c>
      <c r="O441">
        <v>2024</v>
      </c>
    </row>
    <row r="442" spans="1:15" x14ac:dyDescent="0.3">
      <c r="A442" t="s">
        <v>527</v>
      </c>
      <c r="B442" t="s">
        <v>114</v>
      </c>
      <c r="C442" t="s">
        <v>54</v>
      </c>
      <c r="D442" t="s">
        <v>137</v>
      </c>
      <c r="E442" t="s">
        <v>56</v>
      </c>
      <c r="F442" s="1">
        <v>45684</v>
      </c>
      <c r="G442">
        <v>8</v>
      </c>
      <c r="H442">
        <v>938.71</v>
      </c>
      <c r="I442">
        <v>15</v>
      </c>
      <c r="J442" t="s">
        <v>40</v>
      </c>
      <c r="K442">
        <v>1126.45</v>
      </c>
      <c r="L442">
        <v>7509.68</v>
      </c>
      <c r="M442">
        <v>6383.23</v>
      </c>
      <c r="N442" t="s">
        <v>116</v>
      </c>
      <c r="O442">
        <v>2025</v>
      </c>
    </row>
    <row r="443" spans="1:15" x14ac:dyDescent="0.3">
      <c r="A443" t="s">
        <v>528</v>
      </c>
      <c r="B443" t="s">
        <v>43</v>
      </c>
      <c r="C443" t="s">
        <v>17</v>
      </c>
      <c r="D443" t="s">
        <v>59</v>
      </c>
      <c r="E443" t="s">
        <v>56</v>
      </c>
      <c r="F443" s="1">
        <v>45925</v>
      </c>
      <c r="G443">
        <v>10</v>
      </c>
      <c r="H443">
        <v>26755.08</v>
      </c>
      <c r="I443">
        <v>15</v>
      </c>
      <c r="J443" t="s">
        <v>36</v>
      </c>
      <c r="K443">
        <v>40132.620000000003</v>
      </c>
      <c r="L443">
        <v>267550.8</v>
      </c>
      <c r="M443">
        <v>227418.18</v>
      </c>
      <c r="N443" t="s">
        <v>86</v>
      </c>
      <c r="O443">
        <v>2025</v>
      </c>
    </row>
    <row r="444" spans="1:15" x14ac:dyDescent="0.3">
      <c r="A444" t="s">
        <v>529</v>
      </c>
      <c r="B444" t="s">
        <v>114</v>
      </c>
      <c r="C444" t="s">
        <v>17</v>
      </c>
      <c r="D444" t="s">
        <v>157</v>
      </c>
      <c r="E444" t="s">
        <v>19</v>
      </c>
      <c r="F444" s="1">
        <v>45342</v>
      </c>
      <c r="G444">
        <v>8</v>
      </c>
      <c r="H444">
        <v>7911.46</v>
      </c>
      <c r="I444">
        <v>10</v>
      </c>
      <c r="J444" t="s">
        <v>20</v>
      </c>
      <c r="K444">
        <v>6329.17</v>
      </c>
      <c r="L444">
        <v>63291.68</v>
      </c>
      <c r="M444">
        <v>56962.51</v>
      </c>
      <c r="N444" t="s">
        <v>41</v>
      </c>
      <c r="O444">
        <v>2024</v>
      </c>
    </row>
    <row r="445" spans="1:15" x14ac:dyDescent="0.3">
      <c r="A445" t="s">
        <v>530</v>
      </c>
      <c r="B445" t="s">
        <v>38</v>
      </c>
      <c r="C445" t="s">
        <v>17</v>
      </c>
      <c r="D445" t="s">
        <v>39</v>
      </c>
      <c r="E445" t="s">
        <v>44</v>
      </c>
      <c r="F445" s="1">
        <v>45610</v>
      </c>
      <c r="G445">
        <v>5</v>
      </c>
      <c r="H445">
        <v>21992.09</v>
      </c>
      <c r="I445">
        <v>0</v>
      </c>
      <c r="J445" t="s">
        <v>40</v>
      </c>
      <c r="K445">
        <v>0</v>
      </c>
      <c r="L445">
        <v>109960.45</v>
      </c>
      <c r="M445">
        <v>109960.45</v>
      </c>
      <c r="N445" t="s">
        <v>96</v>
      </c>
      <c r="O445">
        <v>2024</v>
      </c>
    </row>
    <row r="446" spans="1:15" x14ac:dyDescent="0.3">
      <c r="A446" t="s">
        <v>531</v>
      </c>
      <c r="B446" t="s">
        <v>43</v>
      </c>
      <c r="C446" t="s">
        <v>34</v>
      </c>
      <c r="D446" t="s">
        <v>85</v>
      </c>
      <c r="E446" t="s">
        <v>30</v>
      </c>
      <c r="F446" s="1">
        <v>45620</v>
      </c>
      <c r="G446">
        <v>5</v>
      </c>
      <c r="H446">
        <v>14285.04</v>
      </c>
      <c r="I446">
        <v>20</v>
      </c>
      <c r="J446" t="s">
        <v>71</v>
      </c>
      <c r="K446">
        <v>14285.04</v>
      </c>
      <c r="L446">
        <v>71425.2</v>
      </c>
      <c r="M446">
        <v>57140.160000000003</v>
      </c>
      <c r="N446" t="s">
        <v>96</v>
      </c>
      <c r="O446">
        <v>2024</v>
      </c>
    </row>
    <row r="447" spans="1:15" x14ac:dyDescent="0.3">
      <c r="A447" t="s">
        <v>532</v>
      </c>
      <c r="B447" t="s">
        <v>89</v>
      </c>
      <c r="C447" t="s">
        <v>17</v>
      </c>
      <c r="D447" t="s">
        <v>59</v>
      </c>
      <c r="E447" t="s">
        <v>50</v>
      </c>
      <c r="F447" s="1">
        <v>45788</v>
      </c>
      <c r="G447">
        <v>9</v>
      </c>
      <c r="H447">
        <v>27919.93</v>
      </c>
      <c r="I447">
        <v>0</v>
      </c>
      <c r="J447" t="s">
        <v>31</v>
      </c>
      <c r="K447">
        <v>0</v>
      </c>
      <c r="L447">
        <v>251279.37</v>
      </c>
      <c r="M447">
        <v>251279.37</v>
      </c>
      <c r="N447" t="s">
        <v>101</v>
      </c>
      <c r="O447">
        <v>2025</v>
      </c>
    </row>
    <row r="448" spans="1:15" x14ac:dyDescent="0.3">
      <c r="A448" t="s">
        <v>533</v>
      </c>
      <c r="B448" t="s">
        <v>47</v>
      </c>
      <c r="C448" t="s">
        <v>54</v>
      </c>
      <c r="D448" t="s">
        <v>55</v>
      </c>
      <c r="E448" t="s">
        <v>19</v>
      </c>
      <c r="F448" s="1">
        <v>45430</v>
      </c>
      <c r="G448">
        <v>9</v>
      </c>
      <c r="H448">
        <v>1343.8</v>
      </c>
      <c r="I448">
        <v>0</v>
      </c>
      <c r="J448" t="s">
        <v>31</v>
      </c>
      <c r="K448">
        <v>0</v>
      </c>
      <c r="L448">
        <v>12094.2</v>
      </c>
      <c r="M448">
        <v>12094.2</v>
      </c>
      <c r="N448" t="s">
        <v>101</v>
      </c>
      <c r="O448">
        <v>2024</v>
      </c>
    </row>
    <row r="449" spans="1:15" x14ac:dyDescent="0.3">
      <c r="A449" t="s">
        <v>534</v>
      </c>
      <c r="B449" t="s">
        <v>114</v>
      </c>
      <c r="C449" t="s">
        <v>34</v>
      </c>
      <c r="D449" t="s">
        <v>85</v>
      </c>
      <c r="E449" t="s">
        <v>44</v>
      </c>
      <c r="F449" s="1">
        <v>45351</v>
      </c>
      <c r="G449">
        <v>4</v>
      </c>
      <c r="H449">
        <v>10899.21</v>
      </c>
      <c r="I449">
        <v>0</v>
      </c>
      <c r="J449" t="s">
        <v>20</v>
      </c>
      <c r="K449">
        <v>0</v>
      </c>
      <c r="L449">
        <v>43596.84</v>
      </c>
      <c r="M449">
        <v>43596.84</v>
      </c>
      <c r="N449" t="s">
        <v>41</v>
      </c>
      <c r="O449">
        <v>2024</v>
      </c>
    </row>
    <row r="450" spans="1:15" x14ac:dyDescent="0.3">
      <c r="A450" t="s">
        <v>535</v>
      </c>
      <c r="B450" t="s">
        <v>43</v>
      </c>
      <c r="C450" t="s">
        <v>62</v>
      </c>
      <c r="D450" t="s">
        <v>63</v>
      </c>
      <c r="E450" t="s">
        <v>19</v>
      </c>
      <c r="F450" s="1">
        <v>45809</v>
      </c>
      <c r="G450">
        <v>7</v>
      </c>
      <c r="H450">
        <v>1905.93</v>
      </c>
      <c r="I450">
        <v>0</v>
      </c>
      <c r="J450" t="s">
        <v>71</v>
      </c>
      <c r="K450">
        <v>0</v>
      </c>
      <c r="L450">
        <v>13341.51</v>
      </c>
      <c r="M450">
        <v>13341.51</v>
      </c>
      <c r="N450" t="s">
        <v>72</v>
      </c>
      <c r="O450">
        <v>2025</v>
      </c>
    </row>
    <row r="451" spans="1:15" x14ac:dyDescent="0.3">
      <c r="A451" t="s">
        <v>536</v>
      </c>
      <c r="B451" t="s">
        <v>33</v>
      </c>
      <c r="C451" t="s">
        <v>17</v>
      </c>
      <c r="D451" t="s">
        <v>59</v>
      </c>
      <c r="E451" t="s">
        <v>56</v>
      </c>
      <c r="F451" s="1">
        <v>45473</v>
      </c>
      <c r="G451">
        <v>8</v>
      </c>
      <c r="H451">
        <v>26168</v>
      </c>
      <c r="I451">
        <v>10</v>
      </c>
      <c r="J451" t="s">
        <v>71</v>
      </c>
      <c r="K451">
        <v>20934.400000000001</v>
      </c>
      <c r="L451">
        <v>209344</v>
      </c>
      <c r="M451">
        <v>188409.60000000001</v>
      </c>
      <c r="N451" t="s">
        <v>72</v>
      </c>
      <c r="O451">
        <v>2024</v>
      </c>
    </row>
    <row r="452" spans="1:15" x14ac:dyDescent="0.3">
      <c r="A452" t="s">
        <v>537</v>
      </c>
      <c r="B452" t="s">
        <v>38</v>
      </c>
      <c r="C452" t="s">
        <v>62</v>
      </c>
      <c r="D452" t="s">
        <v>63</v>
      </c>
      <c r="E452" t="s">
        <v>19</v>
      </c>
      <c r="F452" s="1">
        <v>45583</v>
      </c>
      <c r="G452">
        <v>1</v>
      </c>
      <c r="H452">
        <v>1973.35</v>
      </c>
      <c r="I452">
        <v>5</v>
      </c>
      <c r="J452" t="s">
        <v>82</v>
      </c>
      <c r="K452">
        <v>98.67</v>
      </c>
      <c r="L452">
        <v>1973.35</v>
      </c>
      <c r="M452">
        <v>1874.68</v>
      </c>
      <c r="N452" t="s">
        <v>57</v>
      </c>
      <c r="O452">
        <v>2024</v>
      </c>
    </row>
    <row r="453" spans="1:15" x14ac:dyDescent="0.3">
      <c r="A453" t="s">
        <v>538</v>
      </c>
      <c r="B453" t="s">
        <v>38</v>
      </c>
      <c r="C453" t="s">
        <v>54</v>
      </c>
      <c r="D453" t="s">
        <v>55</v>
      </c>
      <c r="E453" t="s">
        <v>50</v>
      </c>
      <c r="F453" s="1">
        <v>45985</v>
      </c>
      <c r="G453">
        <v>4</v>
      </c>
      <c r="H453">
        <v>1276.8</v>
      </c>
      <c r="I453">
        <v>15</v>
      </c>
      <c r="J453" t="s">
        <v>20</v>
      </c>
      <c r="K453">
        <v>766.08</v>
      </c>
      <c r="L453">
        <v>5107.2</v>
      </c>
      <c r="M453">
        <v>4341.12</v>
      </c>
      <c r="N453" t="s">
        <v>96</v>
      </c>
      <c r="O453">
        <v>2025</v>
      </c>
    </row>
    <row r="454" spans="1:15" x14ac:dyDescent="0.3">
      <c r="A454" t="s">
        <v>539</v>
      </c>
      <c r="B454" t="s">
        <v>38</v>
      </c>
      <c r="C454" t="s">
        <v>54</v>
      </c>
      <c r="D454" t="s">
        <v>70</v>
      </c>
      <c r="E454" t="s">
        <v>44</v>
      </c>
      <c r="F454" s="1">
        <v>45777</v>
      </c>
      <c r="G454">
        <v>3</v>
      </c>
      <c r="H454">
        <v>2654.61</v>
      </c>
      <c r="I454">
        <v>20</v>
      </c>
      <c r="J454" t="s">
        <v>26</v>
      </c>
      <c r="K454">
        <v>1592.77</v>
      </c>
      <c r="L454">
        <v>7963.83</v>
      </c>
      <c r="M454">
        <v>6371.06</v>
      </c>
      <c r="N454" t="s">
        <v>27</v>
      </c>
      <c r="O454">
        <v>2025</v>
      </c>
    </row>
    <row r="455" spans="1:15" x14ac:dyDescent="0.3">
      <c r="A455" t="s">
        <v>540</v>
      </c>
      <c r="B455" t="s">
        <v>43</v>
      </c>
      <c r="C455" t="s">
        <v>17</v>
      </c>
      <c r="D455" t="s">
        <v>59</v>
      </c>
      <c r="E455" t="s">
        <v>81</v>
      </c>
      <c r="F455" s="1">
        <v>46021</v>
      </c>
      <c r="G455">
        <v>5</v>
      </c>
      <c r="H455">
        <v>27663.67</v>
      </c>
      <c r="I455">
        <v>15</v>
      </c>
      <c r="J455" t="s">
        <v>40</v>
      </c>
      <c r="K455">
        <v>20747.75</v>
      </c>
      <c r="L455">
        <v>138318.35</v>
      </c>
      <c r="M455">
        <v>117570.6</v>
      </c>
      <c r="N455" t="s">
        <v>51</v>
      </c>
      <c r="O455">
        <v>2025</v>
      </c>
    </row>
    <row r="456" spans="1:15" x14ac:dyDescent="0.3">
      <c r="A456" t="s">
        <v>541</v>
      </c>
      <c r="B456" t="s">
        <v>43</v>
      </c>
      <c r="C456" t="s">
        <v>62</v>
      </c>
      <c r="D456" t="s">
        <v>99</v>
      </c>
      <c r="E456" t="s">
        <v>50</v>
      </c>
      <c r="F456" s="1">
        <v>45601</v>
      </c>
      <c r="G456">
        <v>9</v>
      </c>
      <c r="H456">
        <v>1825.03</v>
      </c>
      <c r="I456">
        <v>15</v>
      </c>
      <c r="J456" t="s">
        <v>71</v>
      </c>
      <c r="K456">
        <v>2463.79</v>
      </c>
      <c r="L456">
        <v>16425.27</v>
      </c>
      <c r="M456">
        <v>13961.48</v>
      </c>
      <c r="N456" t="s">
        <v>96</v>
      </c>
      <c r="O456">
        <v>2024</v>
      </c>
    </row>
    <row r="457" spans="1:15" x14ac:dyDescent="0.3">
      <c r="A457" t="s">
        <v>542</v>
      </c>
      <c r="B457" t="s">
        <v>109</v>
      </c>
      <c r="C457" t="s">
        <v>54</v>
      </c>
      <c r="D457" t="s">
        <v>70</v>
      </c>
      <c r="E457" t="s">
        <v>81</v>
      </c>
      <c r="F457" s="1">
        <v>45866</v>
      </c>
      <c r="G457">
        <v>10</v>
      </c>
      <c r="H457">
        <v>2630.66</v>
      </c>
      <c r="I457">
        <v>10</v>
      </c>
      <c r="J457" t="s">
        <v>45</v>
      </c>
      <c r="K457">
        <v>2630.66</v>
      </c>
      <c r="L457">
        <v>26306.6</v>
      </c>
      <c r="M457">
        <v>23675.94</v>
      </c>
      <c r="N457" t="s">
        <v>122</v>
      </c>
      <c r="O457">
        <v>2025</v>
      </c>
    </row>
    <row r="458" spans="1:15" x14ac:dyDescent="0.3">
      <c r="A458" t="s">
        <v>543</v>
      </c>
      <c r="B458" t="s">
        <v>47</v>
      </c>
      <c r="C458" t="s">
        <v>17</v>
      </c>
      <c r="D458" t="s">
        <v>157</v>
      </c>
      <c r="E458" t="s">
        <v>19</v>
      </c>
      <c r="F458" s="1">
        <v>45947</v>
      </c>
      <c r="G458">
        <v>6</v>
      </c>
      <c r="H458">
        <v>8588.3700000000008</v>
      </c>
      <c r="I458">
        <v>10</v>
      </c>
      <c r="J458" t="s">
        <v>40</v>
      </c>
      <c r="K458">
        <v>5153.0200000000004</v>
      </c>
      <c r="L458">
        <v>51530.22</v>
      </c>
      <c r="M458">
        <v>46377.2</v>
      </c>
      <c r="N458" t="s">
        <v>57</v>
      </c>
      <c r="O458">
        <v>2025</v>
      </c>
    </row>
    <row r="459" spans="1:15" x14ac:dyDescent="0.3">
      <c r="A459" t="s">
        <v>544</v>
      </c>
      <c r="B459" t="s">
        <v>53</v>
      </c>
      <c r="C459" t="s">
        <v>62</v>
      </c>
      <c r="D459" t="s">
        <v>63</v>
      </c>
      <c r="E459" t="s">
        <v>81</v>
      </c>
      <c r="F459" s="1">
        <v>45350</v>
      </c>
      <c r="G459">
        <v>10</v>
      </c>
      <c r="H459">
        <v>1801.84</v>
      </c>
      <c r="I459">
        <v>10</v>
      </c>
      <c r="J459" t="s">
        <v>20</v>
      </c>
      <c r="K459">
        <v>1801.84</v>
      </c>
      <c r="L459">
        <v>18018.400000000001</v>
      </c>
      <c r="M459">
        <v>16216.56</v>
      </c>
      <c r="N459" t="s">
        <v>41</v>
      </c>
      <c r="O459">
        <v>2024</v>
      </c>
    </row>
    <row r="460" spans="1:15" x14ac:dyDescent="0.3">
      <c r="A460" t="s">
        <v>545</v>
      </c>
      <c r="B460" t="s">
        <v>61</v>
      </c>
      <c r="C460" t="s">
        <v>34</v>
      </c>
      <c r="D460" t="s">
        <v>80</v>
      </c>
      <c r="E460" t="s">
        <v>56</v>
      </c>
      <c r="F460" s="1">
        <v>45557</v>
      </c>
      <c r="G460">
        <v>7</v>
      </c>
      <c r="H460">
        <v>6006.9</v>
      </c>
      <c r="I460">
        <v>0</v>
      </c>
      <c r="J460" t="s">
        <v>40</v>
      </c>
      <c r="K460">
        <v>0</v>
      </c>
      <c r="L460">
        <v>42048.3</v>
      </c>
      <c r="M460">
        <v>42048.3</v>
      </c>
      <c r="N460" t="s">
        <v>86</v>
      </c>
      <c r="O460">
        <v>2024</v>
      </c>
    </row>
    <row r="461" spans="1:15" x14ac:dyDescent="0.3">
      <c r="A461" t="s">
        <v>546</v>
      </c>
      <c r="B461" t="s">
        <v>38</v>
      </c>
      <c r="C461" t="s">
        <v>54</v>
      </c>
      <c r="D461" t="s">
        <v>77</v>
      </c>
      <c r="E461" t="s">
        <v>50</v>
      </c>
      <c r="F461" s="1">
        <v>46022</v>
      </c>
      <c r="G461">
        <v>4</v>
      </c>
      <c r="H461">
        <v>5893.69</v>
      </c>
      <c r="I461">
        <v>15</v>
      </c>
      <c r="J461" t="s">
        <v>45</v>
      </c>
      <c r="K461">
        <v>3536.21</v>
      </c>
      <c r="L461">
        <v>23574.76</v>
      </c>
      <c r="M461">
        <v>20038.55</v>
      </c>
      <c r="N461" t="s">
        <v>51</v>
      </c>
      <c r="O461">
        <v>2025</v>
      </c>
    </row>
    <row r="462" spans="1:15" x14ac:dyDescent="0.3">
      <c r="A462" t="s">
        <v>547</v>
      </c>
      <c r="B462" t="s">
        <v>43</v>
      </c>
      <c r="C462" t="s">
        <v>62</v>
      </c>
      <c r="D462" t="s">
        <v>132</v>
      </c>
      <c r="E462" t="s">
        <v>44</v>
      </c>
      <c r="F462" s="1">
        <v>45965</v>
      </c>
      <c r="G462">
        <v>9</v>
      </c>
      <c r="H462">
        <v>2599.5300000000002</v>
      </c>
      <c r="I462">
        <v>0</v>
      </c>
      <c r="J462" t="s">
        <v>36</v>
      </c>
      <c r="K462">
        <v>0</v>
      </c>
      <c r="L462">
        <v>23395.77</v>
      </c>
      <c r="M462">
        <v>23395.77</v>
      </c>
      <c r="N462" t="s">
        <v>96</v>
      </c>
      <c r="O462">
        <v>2025</v>
      </c>
    </row>
    <row r="463" spans="1:15" x14ac:dyDescent="0.3">
      <c r="A463" t="s">
        <v>548</v>
      </c>
      <c r="B463" t="s">
        <v>16</v>
      </c>
      <c r="C463" t="s">
        <v>90</v>
      </c>
      <c r="D463" t="s">
        <v>107</v>
      </c>
      <c r="E463" t="s">
        <v>19</v>
      </c>
      <c r="F463" s="1">
        <v>45988</v>
      </c>
      <c r="G463">
        <v>6</v>
      </c>
      <c r="H463">
        <v>14039.63</v>
      </c>
      <c r="I463">
        <v>5</v>
      </c>
      <c r="J463" t="s">
        <v>36</v>
      </c>
      <c r="K463">
        <v>4211.8900000000003</v>
      </c>
      <c r="L463">
        <v>84237.78</v>
      </c>
      <c r="M463">
        <v>80025.89</v>
      </c>
      <c r="N463" t="s">
        <v>96</v>
      </c>
      <c r="O463">
        <v>2025</v>
      </c>
    </row>
    <row r="464" spans="1:15" x14ac:dyDescent="0.3">
      <c r="A464" t="s">
        <v>549</v>
      </c>
      <c r="B464" t="s">
        <v>16</v>
      </c>
      <c r="C464" t="s">
        <v>62</v>
      </c>
      <c r="D464" t="s">
        <v>63</v>
      </c>
      <c r="E464" t="s">
        <v>44</v>
      </c>
      <c r="F464" s="1">
        <v>45722</v>
      </c>
      <c r="G464">
        <v>6</v>
      </c>
      <c r="H464">
        <v>1787.26</v>
      </c>
      <c r="I464">
        <v>20</v>
      </c>
      <c r="J464" t="s">
        <v>40</v>
      </c>
      <c r="K464">
        <v>2144.71</v>
      </c>
      <c r="L464">
        <v>10723.56</v>
      </c>
      <c r="M464">
        <v>8578.85</v>
      </c>
      <c r="N464" t="s">
        <v>83</v>
      </c>
      <c r="O464">
        <v>2025</v>
      </c>
    </row>
    <row r="465" spans="1:15" x14ac:dyDescent="0.3">
      <c r="A465" t="s">
        <v>550</v>
      </c>
      <c r="B465" t="s">
        <v>38</v>
      </c>
      <c r="C465" t="s">
        <v>62</v>
      </c>
      <c r="D465" t="s">
        <v>99</v>
      </c>
      <c r="E465" t="s">
        <v>25</v>
      </c>
      <c r="F465" s="1">
        <v>45346</v>
      </c>
      <c r="G465">
        <v>10</v>
      </c>
      <c r="H465">
        <v>1567.62</v>
      </c>
      <c r="I465">
        <v>20</v>
      </c>
      <c r="J465" t="s">
        <v>71</v>
      </c>
      <c r="K465">
        <v>3135.24</v>
      </c>
      <c r="L465">
        <v>15676.2</v>
      </c>
      <c r="M465">
        <v>12540.96</v>
      </c>
      <c r="N465" t="s">
        <v>41</v>
      </c>
      <c r="O465">
        <v>2024</v>
      </c>
    </row>
    <row r="466" spans="1:15" x14ac:dyDescent="0.3">
      <c r="A466" t="s">
        <v>551</v>
      </c>
      <c r="B466" t="s">
        <v>114</v>
      </c>
      <c r="C466" t="s">
        <v>17</v>
      </c>
      <c r="D466" t="s">
        <v>157</v>
      </c>
      <c r="E466" t="s">
        <v>50</v>
      </c>
      <c r="F466" s="1">
        <v>45989</v>
      </c>
      <c r="G466">
        <v>7</v>
      </c>
      <c r="H466">
        <v>7949.94</v>
      </c>
      <c r="I466">
        <v>15</v>
      </c>
      <c r="J466" t="s">
        <v>82</v>
      </c>
      <c r="K466">
        <v>8347.44</v>
      </c>
      <c r="L466">
        <v>55649.58</v>
      </c>
      <c r="M466">
        <v>47302.14</v>
      </c>
      <c r="N466" t="s">
        <v>96</v>
      </c>
      <c r="O466">
        <v>2025</v>
      </c>
    </row>
    <row r="467" spans="1:15" x14ac:dyDescent="0.3">
      <c r="A467" t="s">
        <v>552</v>
      </c>
      <c r="B467" t="s">
        <v>53</v>
      </c>
      <c r="C467" t="s">
        <v>17</v>
      </c>
      <c r="D467" t="s">
        <v>59</v>
      </c>
      <c r="E467" t="s">
        <v>50</v>
      </c>
      <c r="F467" s="1">
        <v>45711</v>
      </c>
      <c r="G467">
        <v>10</v>
      </c>
      <c r="H467">
        <v>28080.28</v>
      </c>
      <c r="I467">
        <v>15</v>
      </c>
      <c r="J467" t="s">
        <v>45</v>
      </c>
      <c r="K467">
        <v>42120.42</v>
      </c>
      <c r="L467">
        <v>280802.8</v>
      </c>
      <c r="M467">
        <v>238682.38</v>
      </c>
      <c r="N467" t="s">
        <v>41</v>
      </c>
      <c r="O467">
        <v>2025</v>
      </c>
    </row>
    <row r="468" spans="1:15" x14ac:dyDescent="0.3">
      <c r="A468" t="s">
        <v>553</v>
      </c>
      <c r="B468" t="s">
        <v>38</v>
      </c>
      <c r="C468" t="s">
        <v>34</v>
      </c>
      <c r="D468" t="s">
        <v>48</v>
      </c>
      <c r="E468" t="s">
        <v>30</v>
      </c>
      <c r="F468" s="1">
        <v>45374</v>
      </c>
      <c r="G468">
        <v>8</v>
      </c>
      <c r="H468">
        <v>7865.26</v>
      </c>
      <c r="I468">
        <v>5</v>
      </c>
      <c r="J468" t="s">
        <v>36</v>
      </c>
      <c r="K468">
        <v>3146.1</v>
      </c>
      <c r="L468">
        <v>62922.080000000002</v>
      </c>
      <c r="M468">
        <v>59775.98</v>
      </c>
      <c r="N468" t="s">
        <v>83</v>
      </c>
      <c r="O468">
        <v>2024</v>
      </c>
    </row>
    <row r="469" spans="1:15" x14ac:dyDescent="0.3">
      <c r="A469" t="s">
        <v>554</v>
      </c>
      <c r="B469" t="s">
        <v>109</v>
      </c>
      <c r="C469" t="s">
        <v>62</v>
      </c>
      <c r="D469" t="s">
        <v>95</v>
      </c>
      <c r="E469" t="s">
        <v>56</v>
      </c>
      <c r="F469" s="1">
        <v>45506</v>
      </c>
      <c r="G469">
        <v>3</v>
      </c>
      <c r="H469">
        <v>835.26</v>
      </c>
      <c r="I469">
        <v>5</v>
      </c>
      <c r="J469" t="s">
        <v>40</v>
      </c>
      <c r="K469">
        <v>125.29</v>
      </c>
      <c r="L469">
        <v>2505.7800000000002</v>
      </c>
      <c r="M469">
        <v>2380.4899999999998</v>
      </c>
      <c r="N469" t="s">
        <v>21</v>
      </c>
      <c r="O469">
        <v>2024</v>
      </c>
    </row>
    <row r="470" spans="1:15" x14ac:dyDescent="0.3">
      <c r="A470" t="s">
        <v>555</v>
      </c>
      <c r="B470" t="s">
        <v>53</v>
      </c>
      <c r="C470" t="s">
        <v>90</v>
      </c>
      <c r="D470" t="s">
        <v>105</v>
      </c>
      <c r="E470" t="s">
        <v>81</v>
      </c>
      <c r="F470" s="1">
        <v>45940</v>
      </c>
      <c r="G470">
        <v>7</v>
      </c>
      <c r="H470">
        <v>3853.27</v>
      </c>
      <c r="I470">
        <v>15</v>
      </c>
      <c r="J470" t="s">
        <v>31</v>
      </c>
      <c r="K470">
        <v>4045.93</v>
      </c>
      <c r="L470">
        <v>26972.89</v>
      </c>
      <c r="M470">
        <v>22926.959999999999</v>
      </c>
      <c r="N470" t="s">
        <v>57</v>
      </c>
      <c r="O470">
        <v>2025</v>
      </c>
    </row>
    <row r="471" spans="1:15" x14ac:dyDescent="0.3">
      <c r="A471" t="s">
        <v>556</v>
      </c>
      <c r="B471" t="s">
        <v>109</v>
      </c>
      <c r="C471" t="s">
        <v>90</v>
      </c>
      <c r="D471" t="s">
        <v>105</v>
      </c>
      <c r="E471" t="s">
        <v>81</v>
      </c>
      <c r="F471" s="1">
        <v>45674</v>
      </c>
      <c r="G471">
        <v>1</v>
      </c>
      <c r="H471">
        <v>3930.51</v>
      </c>
      <c r="I471">
        <v>20</v>
      </c>
      <c r="J471" t="s">
        <v>20</v>
      </c>
      <c r="K471">
        <v>786.1</v>
      </c>
      <c r="L471">
        <v>3930.51</v>
      </c>
      <c r="M471">
        <v>3144.41</v>
      </c>
      <c r="N471" t="s">
        <v>116</v>
      </c>
      <c r="O471">
        <v>2025</v>
      </c>
    </row>
    <row r="472" spans="1:15" x14ac:dyDescent="0.3">
      <c r="A472" t="s">
        <v>557</v>
      </c>
      <c r="B472" t="s">
        <v>61</v>
      </c>
      <c r="C472" t="s">
        <v>34</v>
      </c>
      <c r="D472" t="s">
        <v>80</v>
      </c>
      <c r="E472" t="s">
        <v>25</v>
      </c>
      <c r="F472" s="1">
        <v>45523</v>
      </c>
      <c r="G472">
        <v>6</v>
      </c>
      <c r="H472">
        <v>5868.14</v>
      </c>
      <c r="I472">
        <v>0</v>
      </c>
      <c r="J472" t="s">
        <v>20</v>
      </c>
      <c r="K472">
        <v>0</v>
      </c>
      <c r="L472">
        <v>35208.839999999997</v>
      </c>
      <c r="M472">
        <v>35208.839999999997</v>
      </c>
      <c r="N472" t="s">
        <v>21</v>
      </c>
      <c r="O472">
        <v>2024</v>
      </c>
    </row>
    <row r="473" spans="1:15" x14ac:dyDescent="0.3">
      <c r="A473" t="s">
        <v>558</v>
      </c>
      <c r="B473" t="s">
        <v>93</v>
      </c>
      <c r="C473" t="s">
        <v>90</v>
      </c>
      <c r="D473" t="s">
        <v>91</v>
      </c>
      <c r="E473" t="s">
        <v>19</v>
      </c>
      <c r="F473" s="1">
        <v>45358</v>
      </c>
      <c r="G473">
        <v>1</v>
      </c>
      <c r="H473">
        <v>1461.83</v>
      </c>
      <c r="I473">
        <v>10</v>
      </c>
      <c r="J473" t="s">
        <v>36</v>
      </c>
      <c r="K473">
        <v>146.18</v>
      </c>
      <c r="L473">
        <v>1461.83</v>
      </c>
      <c r="M473">
        <v>1315.65</v>
      </c>
      <c r="N473" t="s">
        <v>83</v>
      </c>
      <c r="O473">
        <v>2024</v>
      </c>
    </row>
    <row r="474" spans="1:15" x14ac:dyDescent="0.3">
      <c r="A474" t="s">
        <v>559</v>
      </c>
      <c r="B474" t="s">
        <v>93</v>
      </c>
      <c r="C474" t="s">
        <v>90</v>
      </c>
      <c r="D474" t="s">
        <v>91</v>
      </c>
      <c r="E474" t="s">
        <v>81</v>
      </c>
      <c r="F474" s="1">
        <v>45736</v>
      </c>
      <c r="G474">
        <v>3</v>
      </c>
      <c r="H474">
        <v>1478.52</v>
      </c>
      <c r="I474">
        <v>15</v>
      </c>
      <c r="J474" t="s">
        <v>45</v>
      </c>
      <c r="K474">
        <v>665.33</v>
      </c>
      <c r="L474">
        <v>4435.5600000000004</v>
      </c>
      <c r="M474">
        <v>3770.23</v>
      </c>
      <c r="N474" t="s">
        <v>83</v>
      </c>
      <c r="O474">
        <v>2025</v>
      </c>
    </row>
    <row r="475" spans="1:15" x14ac:dyDescent="0.3">
      <c r="A475" t="s">
        <v>560</v>
      </c>
      <c r="B475" t="s">
        <v>53</v>
      </c>
      <c r="C475" t="s">
        <v>62</v>
      </c>
      <c r="D475" t="s">
        <v>63</v>
      </c>
      <c r="E475" t="s">
        <v>44</v>
      </c>
      <c r="F475" s="1">
        <v>45311</v>
      </c>
      <c r="G475">
        <v>4</v>
      </c>
      <c r="H475">
        <v>1720.94</v>
      </c>
      <c r="I475">
        <v>5</v>
      </c>
      <c r="J475" t="s">
        <v>31</v>
      </c>
      <c r="K475">
        <v>344.19</v>
      </c>
      <c r="L475">
        <v>6883.76</v>
      </c>
      <c r="M475">
        <v>6539.57</v>
      </c>
      <c r="N475" t="s">
        <v>116</v>
      </c>
      <c r="O475">
        <v>2024</v>
      </c>
    </row>
    <row r="476" spans="1:15" x14ac:dyDescent="0.3">
      <c r="A476" t="s">
        <v>561</v>
      </c>
      <c r="B476" t="s">
        <v>93</v>
      </c>
      <c r="C476" t="s">
        <v>34</v>
      </c>
      <c r="D476" t="s">
        <v>80</v>
      </c>
      <c r="E476" t="s">
        <v>81</v>
      </c>
      <c r="F476" s="1">
        <v>45418</v>
      </c>
      <c r="G476">
        <v>6</v>
      </c>
      <c r="H476">
        <v>6466.67</v>
      </c>
      <c r="I476">
        <v>0</v>
      </c>
      <c r="J476" t="s">
        <v>36</v>
      </c>
      <c r="K476">
        <v>0</v>
      </c>
      <c r="L476">
        <v>38800.019999999997</v>
      </c>
      <c r="M476">
        <v>38800.019999999997</v>
      </c>
      <c r="N476" t="s">
        <v>101</v>
      </c>
      <c r="O476">
        <v>2024</v>
      </c>
    </row>
    <row r="477" spans="1:15" x14ac:dyDescent="0.3">
      <c r="A477" t="s">
        <v>562</v>
      </c>
      <c r="B477" t="s">
        <v>74</v>
      </c>
      <c r="C477" t="s">
        <v>90</v>
      </c>
      <c r="D477" t="s">
        <v>115</v>
      </c>
      <c r="E477" t="s">
        <v>81</v>
      </c>
      <c r="F477" s="1">
        <v>45900</v>
      </c>
      <c r="G477">
        <v>1</v>
      </c>
      <c r="H477">
        <v>8523.94</v>
      </c>
      <c r="I477">
        <v>0</v>
      </c>
      <c r="J477" t="s">
        <v>26</v>
      </c>
      <c r="K477">
        <v>0</v>
      </c>
      <c r="L477">
        <v>8523.94</v>
      </c>
      <c r="M477">
        <v>8523.94</v>
      </c>
      <c r="N477" t="s">
        <v>21</v>
      </c>
      <c r="O477">
        <v>2025</v>
      </c>
    </row>
    <row r="478" spans="1:15" x14ac:dyDescent="0.3">
      <c r="A478" t="s">
        <v>563</v>
      </c>
      <c r="B478" t="s">
        <v>23</v>
      </c>
      <c r="C478" t="s">
        <v>17</v>
      </c>
      <c r="D478" t="s">
        <v>18</v>
      </c>
      <c r="E478" t="s">
        <v>56</v>
      </c>
      <c r="F478" s="1">
        <v>45418</v>
      </c>
      <c r="G478">
        <v>9</v>
      </c>
      <c r="H478">
        <v>62607</v>
      </c>
      <c r="I478">
        <v>5</v>
      </c>
      <c r="J478" t="s">
        <v>31</v>
      </c>
      <c r="K478">
        <v>28173.15</v>
      </c>
      <c r="L478">
        <v>563463</v>
      </c>
      <c r="M478">
        <v>535289.85</v>
      </c>
      <c r="N478" t="s">
        <v>101</v>
      </c>
      <c r="O478">
        <v>2024</v>
      </c>
    </row>
    <row r="479" spans="1:15" x14ac:dyDescent="0.3">
      <c r="A479" t="s">
        <v>564</v>
      </c>
      <c r="B479" t="s">
        <v>43</v>
      </c>
      <c r="C479" t="s">
        <v>34</v>
      </c>
      <c r="D479" t="s">
        <v>80</v>
      </c>
      <c r="E479" t="s">
        <v>56</v>
      </c>
      <c r="F479" s="1">
        <v>45970</v>
      </c>
      <c r="G479">
        <v>9</v>
      </c>
      <c r="H479">
        <v>6385.46</v>
      </c>
      <c r="I479">
        <v>20</v>
      </c>
      <c r="J479" t="s">
        <v>82</v>
      </c>
      <c r="K479">
        <v>11493.83</v>
      </c>
      <c r="L479">
        <v>57469.14</v>
      </c>
      <c r="M479">
        <v>45975.31</v>
      </c>
      <c r="N479" t="s">
        <v>96</v>
      </c>
      <c r="O479">
        <v>2025</v>
      </c>
    </row>
    <row r="480" spans="1:15" x14ac:dyDescent="0.3">
      <c r="A480" t="s">
        <v>565</v>
      </c>
      <c r="B480" t="s">
        <v>38</v>
      </c>
      <c r="C480" t="s">
        <v>34</v>
      </c>
      <c r="D480" t="s">
        <v>35</v>
      </c>
      <c r="E480" t="s">
        <v>25</v>
      </c>
      <c r="F480" s="1">
        <v>45581</v>
      </c>
      <c r="G480">
        <v>2</v>
      </c>
      <c r="H480">
        <v>30145.23</v>
      </c>
      <c r="I480">
        <v>15</v>
      </c>
      <c r="J480" t="s">
        <v>82</v>
      </c>
      <c r="K480">
        <v>9043.57</v>
      </c>
      <c r="L480">
        <v>60290.46</v>
      </c>
      <c r="M480">
        <v>51246.89</v>
      </c>
      <c r="N480" t="s">
        <v>57</v>
      </c>
      <c r="O480">
        <v>2024</v>
      </c>
    </row>
    <row r="481" spans="1:15" x14ac:dyDescent="0.3">
      <c r="A481" t="s">
        <v>566</v>
      </c>
      <c r="B481" t="s">
        <v>29</v>
      </c>
      <c r="C481" t="s">
        <v>34</v>
      </c>
      <c r="D481" t="s">
        <v>66</v>
      </c>
      <c r="E481" t="s">
        <v>44</v>
      </c>
      <c r="F481" s="1">
        <v>45827</v>
      </c>
      <c r="G481">
        <v>4</v>
      </c>
      <c r="H481">
        <v>39579.22</v>
      </c>
      <c r="I481">
        <v>15</v>
      </c>
      <c r="J481" t="s">
        <v>40</v>
      </c>
      <c r="K481">
        <v>23747.53</v>
      </c>
      <c r="L481">
        <v>158316.88</v>
      </c>
      <c r="M481">
        <v>134569.35</v>
      </c>
      <c r="N481" t="s">
        <v>72</v>
      </c>
      <c r="O481">
        <v>2025</v>
      </c>
    </row>
    <row r="482" spans="1:15" x14ac:dyDescent="0.3">
      <c r="A482" t="s">
        <v>567</v>
      </c>
      <c r="B482" t="s">
        <v>109</v>
      </c>
      <c r="C482" t="s">
        <v>62</v>
      </c>
      <c r="D482" t="s">
        <v>63</v>
      </c>
      <c r="E482" t="s">
        <v>81</v>
      </c>
      <c r="F482" s="1">
        <v>45504</v>
      </c>
      <c r="G482">
        <v>8</v>
      </c>
      <c r="H482">
        <v>1768.77</v>
      </c>
      <c r="I482">
        <v>0</v>
      </c>
      <c r="J482" t="s">
        <v>71</v>
      </c>
      <c r="K482">
        <v>0</v>
      </c>
      <c r="L482">
        <v>14150.16</v>
      </c>
      <c r="M482">
        <v>14150.16</v>
      </c>
      <c r="N482" t="s">
        <v>122</v>
      </c>
      <c r="O482">
        <v>2024</v>
      </c>
    </row>
    <row r="483" spans="1:15" x14ac:dyDescent="0.3">
      <c r="A483" t="s">
        <v>568</v>
      </c>
      <c r="B483" t="s">
        <v>114</v>
      </c>
      <c r="C483" t="s">
        <v>17</v>
      </c>
      <c r="D483" t="s">
        <v>18</v>
      </c>
      <c r="E483" t="s">
        <v>25</v>
      </c>
      <c r="F483" s="1">
        <v>45444</v>
      </c>
      <c r="G483">
        <v>2</v>
      </c>
      <c r="H483">
        <v>71167.3</v>
      </c>
      <c r="I483">
        <v>0</v>
      </c>
      <c r="J483" t="s">
        <v>71</v>
      </c>
      <c r="K483">
        <v>0</v>
      </c>
      <c r="L483">
        <v>142334.6</v>
      </c>
      <c r="M483">
        <v>142334.6</v>
      </c>
      <c r="N483" t="s">
        <v>72</v>
      </c>
      <c r="O483">
        <v>2024</v>
      </c>
    </row>
    <row r="484" spans="1:15" x14ac:dyDescent="0.3">
      <c r="A484" t="s">
        <v>569</v>
      </c>
      <c r="B484" t="s">
        <v>61</v>
      </c>
      <c r="C484" t="s">
        <v>17</v>
      </c>
      <c r="D484" t="s">
        <v>39</v>
      </c>
      <c r="E484" t="s">
        <v>50</v>
      </c>
      <c r="F484" s="1">
        <v>45595</v>
      </c>
      <c r="G484">
        <v>5</v>
      </c>
      <c r="H484">
        <v>20118.169999999998</v>
      </c>
      <c r="I484">
        <v>0</v>
      </c>
      <c r="J484" t="s">
        <v>71</v>
      </c>
      <c r="K484">
        <v>0</v>
      </c>
      <c r="L484">
        <v>100590.85</v>
      </c>
      <c r="M484">
        <v>100590.85</v>
      </c>
      <c r="N484" t="s">
        <v>57</v>
      </c>
      <c r="O484">
        <v>2024</v>
      </c>
    </row>
    <row r="485" spans="1:15" x14ac:dyDescent="0.3">
      <c r="A485" t="s">
        <v>570</v>
      </c>
      <c r="B485" t="s">
        <v>38</v>
      </c>
      <c r="C485" t="s">
        <v>34</v>
      </c>
      <c r="D485" t="s">
        <v>80</v>
      </c>
      <c r="E485" t="s">
        <v>19</v>
      </c>
      <c r="F485" s="1">
        <v>45985</v>
      </c>
      <c r="G485">
        <v>6</v>
      </c>
      <c r="H485">
        <v>6642.89</v>
      </c>
      <c r="I485">
        <v>0</v>
      </c>
      <c r="J485" t="s">
        <v>45</v>
      </c>
      <c r="K485">
        <v>0</v>
      </c>
      <c r="L485">
        <v>39857.339999999997</v>
      </c>
      <c r="M485">
        <v>39857.339999999997</v>
      </c>
      <c r="N485" t="s">
        <v>96</v>
      </c>
      <c r="O485">
        <v>2025</v>
      </c>
    </row>
    <row r="486" spans="1:15" x14ac:dyDescent="0.3">
      <c r="A486" t="s">
        <v>571</v>
      </c>
      <c r="B486" t="s">
        <v>109</v>
      </c>
      <c r="C486" t="s">
        <v>17</v>
      </c>
      <c r="D486" t="s">
        <v>18</v>
      </c>
      <c r="E486" t="s">
        <v>44</v>
      </c>
      <c r="F486" s="1">
        <v>45971</v>
      </c>
      <c r="G486">
        <v>3</v>
      </c>
      <c r="H486">
        <v>70224.81</v>
      </c>
      <c r="I486">
        <v>15</v>
      </c>
      <c r="J486" t="s">
        <v>36</v>
      </c>
      <c r="K486">
        <v>31601.16</v>
      </c>
      <c r="L486">
        <v>210674.43</v>
      </c>
      <c r="M486">
        <v>179073.27</v>
      </c>
      <c r="N486" t="s">
        <v>96</v>
      </c>
      <c r="O486">
        <v>2025</v>
      </c>
    </row>
    <row r="487" spans="1:15" x14ac:dyDescent="0.3">
      <c r="A487" t="s">
        <v>572</v>
      </c>
      <c r="B487" t="s">
        <v>114</v>
      </c>
      <c r="C487" t="s">
        <v>54</v>
      </c>
      <c r="D487" t="s">
        <v>137</v>
      </c>
      <c r="E487" t="s">
        <v>30</v>
      </c>
      <c r="F487" s="1">
        <v>45673</v>
      </c>
      <c r="G487">
        <v>6</v>
      </c>
      <c r="H487">
        <v>851.15</v>
      </c>
      <c r="I487">
        <v>15</v>
      </c>
      <c r="J487" t="s">
        <v>82</v>
      </c>
      <c r="K487">
        <v>766.03</v>
      </c>
      <c r="L487">
        <v>5106.8999999999996</v>
      </c>
      <c r="M487">
        <v>4340.87</v>
      </c>
      <c r="N487" t="s">
        <v>116</v>
      </c>
      <c r="O487">
        <v>2025</v>
      </c>
    </row>
    <row r="488" spans="1:15" x14ac:dyDescent="0.3">
      <c r="A488" t="s">
        <v>573</v>
      </c>
      <c r="B488" t="s">
        <v>43</v>
      </c>
      <c r="C488" t="s">
        <v>90</v>
      </c>
      <c r="D488" t="s">
        <v>152</v>
      </c>
      <c r="E488" t="s">
        <v>44</v>
      </c>
      <c r="F488" s="1">
        <v>45998</v>
      </c>
      <c r="G488">
        <v>8</v>
      </c>
      <c r="H488">
        <v>12099.72</v>
      </c>
      <c r="I488">
        <v>5</v>
      </c>
      <c r="J488" t="s">
        <v>31</v>
      </c>
      <c r="K488">
        <v>4839.8900000000003</v>
      </c>
      <c r="L488">
        <v>96797.759999999995</v>
      </c>
      <c r="M488">
        <v>91957.87</v>
      </c>
      <c r="N488" t="s">
        <v>51</v>
      </c>
      <c r="O488">
        <v>2025</v>
      </c>
    </row>
    <row r="489" spans="1:15" x14ac:dyDescent="0.3">
      <c r="A489" t="s">
        <v>574</v>
      </c>
      <c r="B489" t="s">
        <v>16</v>
      </c>
      <c r="C489" t="s">
        <v>17</v>
      </c>
      <c r="D489" t="s">
        <v>59</v>
      </c>
      <c r="E489" t="s">
        <v>30</v>
      </c>
      <c r="F489" s="1">
        <v>45455</v>
      </c>
      <c r="G489">
        <v>2</v>
      </c>
      <c r="H489">
        <v>25100.17</v>
      </c>
      <c r="I489">
        <v>20</v>
      </c>
      <c r="J489" t="s">
        <v>26</v>
      </c>
      <c r="K489">
        <v>10040.07</v>
      </c>
      <c r="L489">
        <v>50200.34</v>
      </c>
      <c r="M489">
        <v>40160.269999999997</v>
      </c>
      <c r="N489" t="s">
        <v>72</v>
      </c>
      <c r="O489">
        <v>2024</v>
      </c>
    </row>
    <row r="490" spans="1:15" x14ac:dyDescent="0.3">
      <c r="A490" t="s">
        <v>575</v>
      </c>
      <c r="B490" t="s">
        <v>61</v>
      </c>
      <c r="C490" t="s">
        <v>90</v>
      </c>
      <c r="D490" t="s">
        <v>91</v>
      </c>
      <c r="E490" t="s">
        <v>56</v>
      </c>
      <c r="F490" s="1">
        <v>45917</v>
      </c>
      <c r="G490">
        <v>7</v>
      </c>
      <c r="H490">
        <v>1642.19</v>
      </c>
      <c r="I490">
        <v>20</v>
      </c>
      <c r="J490" t="s">
        <v>36</v>
      </c>
      <c r="K490">
        <v>2299.0700000000002</v>
      </c>
      <c r="L490">
        <v>11495.33</v>
      </c>
      <c r="M490">
        <v>9196.26</v>
      </c>
      <c r="N490" t="s">
        <v>86</v>
      </c>
      <c r="O490">
        <v>2025</v>
      </c>
    </row>
    <row r="491" spans="1:15" x14ac:dyDescent="0.3">
      <c r="A491" t="s">
        <v>576</v>
      </c>
      <c r="B491" t="s">
        <v>89</v>
      </c>
      <c r="C491" t="s">
        <v>17</v>
      </c>
      <c r="D491" t="s">
        <v>59</v>
      </c>
      <c r="E491" t="s">
        <v>56</v>
      </c>
      <c r="F491" s="1">
        <v>45713</v>
      </c>
      <c r="G491">
        <v>8</v>
      </c>
      <c r="H491">
        <v>22787.33</v>
      </c>
      <c r="I491">
        <v>10</v>
      </c>
      <c r="J491" t="s">
        <v>82</v>
      </c>
      <c r="K491">
        <v>18229.86</v>
      </c>
      <c r="L491">
        <v>182298.64</v>
      </c>
      <c r="M491">
        <v>164068.78</v>
      </c>
      <c r="N491" t="s">
        <v>41</v>
      </c>
      <c r="O491">
        <v>2025</v>
      </c>
    </row>
    <row r="492" spans="1:15" x14ac:dyDescent="0.3">
      <c r="A492" t="s">
        <v>577</v>
      </c>
      <c r="B492" t="s">
        <v>16</v>
      </c>
      <c r="C492" t="s">
        <v>62</v>
      </c>
      <c r="D492" t="s">
        <v>95</v>
      </c>
      <c r="E492" t="s">
        <v>44</v>
      </c>
      <c r="F492" s="1">
        <v>45977</v>
      </c>
      <c r="G492">
        <v>6</v>
      </c>
      <c r="H492">
        <v>906.2</v>
      </c>
      <c r="I492">
        <v>20</v>
      </c>
      <c r="J492" t="s">
        <v>20</v>
      </c>
      <c r="K492">
        <v>1087.44</v>
      </c>
      <c r="L492">
        <v>5437.2</v>
      </c>
      <c r="M492">
        <v>4349.76</v>
      </c>
      <c r="N492" t="s">
        <v>96</v>
      </c>
      <c r="O492">
        <v>2025</v>
      </c>
    </row>
    <row r="493" spans="1:15" x14ac:dyDescent="0.3">
      <c r="A493" t="s">
        <v>578</v>
      </c>
      <c r="B493" t="s">
        <v>61</v>
      </c>
      <c r="C493" t="s">
        <v>17</v>
      </c>
      <c r="D493" t="s">
        <v>157</v>
      </c>
      <c r="E493" t="s">
        <v>30</v>
      </c>
      <c r="F493" s="1">
        <v>45785</v>
      </c>
      <c r="G493">
        <v>6</v>
      </c>
      <c r="H493">
        <v>7461.49</v>
      </c>
      <c r="I493">
        <v>15</v>
      </c>
      <c r="J493" t="s">
        <v>20</v>
      </c>
      <c r="K493">
        <v>6715.34</v>
      </c>
      <c r="L493">
        <v>44768.94</v>
      </c>
      <c r="M493">
        <v>38053.599999999999</v>
      </c>
      <c r="N493" t="s">
        <v>101</v>
      </c>
      <c r="O493">
        <v>2025</v>
      </c>
    </row>
    <row r="494" spans="1:15" x14ac:dyDescent="0.3">
      <c r="A494" t="s">
        <v>579</v>
      </c>
      <c r="B494" t="s">
        <v>114</v>
      </c>
      <c r="C494" t="s">
        <v>34</v>
      </c>
      <c r="D494" t="s">
        <v>66</v>
      </c>
      <c r="E494" t="s">
        <v>81</v>
      </c>
      <c r="F494" s="1">
        <v>45303</v>
      </c>
      <c r="G494">
        <v>3</v>
      </c>
      <c r="H494">
        <v>41055.68</v>
      </c>
      <c r="I494">
        <v>15</v>
      </c>
      <c r="J494" t="s">
        <v>26</v>
      </c>
      <c r="K494">
        <v>18475.060000000001</v>
      </c>
      <c r="L494">
        <v>123167.03999999999</v>
      </c>
      <c r="M494">
        <v>104691.98</v>
      </c>
      <c r="N494" t="s">
        <v>116</v>
      </c>
      <c r="O494">
        <v>2024</v>
      </c>
    </row>
    <row r="495" spans="1:15" x14ac:dyDescent="0.3">
      <c r="A495" t="s">
        <v>580</v>
      </c>
      <c r="B495" t="s">
        <v>47</v>
      </c>
      <c r="C495" t="s">
        <v>90</v>
      </c>
      <c r="D495" t="s">
        <v>107</v>
      </c>
      <c r="E495" t="s">
        <v>44</v>
      </c>
      <c r="F495" s="1">
        <v>45620</v>
      </c>
      <c r="G495">
        <v>4</v>
      </c>
      <c r="H495">
        <v>12971.95</v>
      </c>
      <c r="I495">
        <v>10</v>
      </c>
      <c r="J495" t="s">
        <v>71</v>
      </c>
      <c r="K495">
        <v>5188.78</v>
      </c>
      <c r="L495">
        <v>51887.8</v>
      </c>
      <c r="M495">
        <v>46699.02</v>
      </c>
      <c r="N495" t="s">
        <v>96</v>
      </c>
      <c r="O495">
        <v>2024</v>
      </c>
    </row>
    <row r="496" spans="1:15" x14ac:dyDescent="0.3">
      <c r="A496" t="s">
        <v>581</v>
      </c>
      <c r="B496" t="s">
        <v>29</v>
      </c>
      <c r="C496" t="s">
        <v>17</v>
      </c>
      <c r="D496" t="s">
        <v>24</v>
      </c>
      <c r="E496" t="s">
        <v>81</v>
      </c>
      <c r="F496" s="1">
        <v>45704</v>
      </c>
      <c r="G496">
        <v>4</v>
      </c>
      <c r="H496">
        <v>2759.12</v>
      </c>
      <c r="I496">
        <v>15</v>
      </c>
      <c r="J496" t="s">
        <v>31</v>
      </c>
      <c r="K496">
        <v>1655.47</v>
      </c>
      <c r="L496">
        <v>11036.48</v>
      </c>
      <c r="M496">
        <v>9381.01</v>
      </c>
      <c r="N496" t="s">
        <v>41</v>
      </c>
      <c r="O496">
        <v>2025</v>
      </c>
    </row>
    <row r="497" spans="1:15" x14ac:dyDescent="0.3">
      <c r="A497" t="s">
        <v>582</v>
      </c>
      <c r="B497" t="s">
        <v>47</v>
      </c>
      <c r="C497" t="s">
        <v>54</v>
      </c>
      <c r="D497" t="s">
        <v>68</v>
      </c>
      <c r="E497" t="s">
        <v>44</v>
      </c>
      <c r="F497" s="1">
        <v>45749</v>
      </c>
      <c r="G497">
        <v>6</v>
      </c>
      <c r="H497">
        <v>4183.55</v>
      </c>
      <c r="I497">
        <v>15</v>
      </c>
      <c r="J497" t="s">
        <v>71</v>
      </c>
      <c r="K497">
        <v>3765.19</v>
      </c>
      <c r="L497">
        <v>25101.3</v>
      </c>
      <c r="M497">
        <v>21336.11</v>
      </c>
      <c r="N497" t="s">
        <v>27</v>
      </c>
      <c r="O497">
        <v>2025</v>
      </c>
    </row>
    <row r="498" spans="1:15" x14ac:dyDescent="0.3">
      <c r="A498" t="s">
        <v>583</v>
      </c>
      <c r="B498" t="s">
        <v>23</v>
      </c>
      <c r="C498" t="s">
        <v>17</v>
      </c>
      <c r="D498" t="s">
        <v>18</v>
      </c>
      <c r="E498" t="s">
        <v>56</v>
      </c>
      <c r="F498" s="1">
        <v>45862</v>
      </c>
      <c r="G498">
        <v>9</v>
      </c>
      <c r="H498">
        <v>58502.76</v>
      </c>
      <c r="I498">
        <v>0</v>
      </c>
      <c r="J498" t="s">
        <v>26</v>
      </c>
      <c r="K498">
        <v>0</v>
      </c>
      <c r="L498">
        <v>526524.84</v>
      </c>
      <c r="M498">
        <v>526524.84</v>
      </c>
      <c r="N498" t="s">
        <v>122</v>
      </c>
      <c r="O498">
        <v>2025</v>
      </c>
    </row>
    <row r="499" spans="1:15" x14ac:dyDescent="0.3">
      <c r="A499" t="s">
        <v>584</v>
      </c>
      <c r="B499" t="s">
        <v>61</v>
      </c>
      <c r="C499" t="s">
        <v>54</v>
      </c>
      <c r="D499" t="s">
        <v>77</v>
      </c>
      <c r="E499" t="s">
        <v>19</v>
      </c>
      <c r="F499" s="1">
        <v>45962</v>
      </c>
      <c r="G499">
        <v>8</v>
      </c>
      <c r="H499">
        <v>6256.74</v>
      </c>
      <c r="I499">
        <v>10</v>
      </c>
      <c r="J499" t="s">
        <v>20</v>
      </c>
      <c r="K499">
        <v>5005.3900000000003</v>
      </c>
      <c r="L499">
        <v>50053.919999999998</v>
      </c>
      <c r="M499">
        <v>45048.53</v>
      </c>
      <c r="N499" t="s">
        <v>96</v>
      </c>
      <c r="O499">
        <v>2025</v>
      </c>
    </row>
    <row r="500" spans="1:15" x14ac:dyDescent="0.3">
      <c r="A500" t="s">
        <v>585</v>
      </c>
      <c r="B500" t="s">
        <v>38</v>
      </c>
      <c r="C500" t="s">
        <v>17</v>
      </c>
      <c r="D500" t="s">
        <v>59</v>
      </c>
      <c r="E500" t="s">
        <v>56</v>
      </c>
      <c r="F500" s="1">
        <v>45865</v>
      </c>
      <c r="G500">
        <v>10</v>
      </c>
      <c r="H500">
        <v>26249.69</v>
      </c>
      <c r="I500">
        <v>10</v>
      </c>
      <c r="J500" t="s">
        <v>45</v>
      </c>
      <c r="K500">
        <v>26249.69</v>
      </c>
      <c r="L500">
        <v>262496.90000000002</v>
      </c>
      <c r="M500">
        <v>236247.21</v>
      </c>
      <c r="N500" t="s">
        <v>122</v>
      </c>
      <c r="O500">
        <v>2025</v>
      </c>
    </row>
    <row r="501" spans="1:15" x14ac:dyDescent="0.3">
      <c r="A501" t="s">
        <v>586</v>
      </c>
      <c r="B501" t="s">
        <v>47</v>
      </c>
      <c r="C501" t="s">
        <v>90</v>
      </c>
      <c r="D501" t="s">
        <v>105</v>
      </c>
      <c r="E501" t="s">
        <v>44</v>
      </c>
      <c r="F501" s="1">
        <v>45294</v>
      </c>
      <c r="G501">
        <v>6</v>
      </c>
      <c r="H501">
        <v>3460.75</v>
      </c>
      <c r="I501">
        <v>10</v>
      </c>
      <c r="J501" t="s">
        <v>20</v>
      </c>
      <c r="K501">
        <v>2076.4499999999998</v>
      </c>
      <c r="L501">
        <v>20764.5</v>
      </c>
      <c r="M501">
        <v>18688.05</v>
      </c>
      <c r="N501" t="s">
        <v>116</v>
      </c>
      <c r="O501">
        <v>2024</v>
      </c>
    </row>
    <row r="502" spans="1:15" x14ac:dyDescent="0.3">
      <c r="A502" t="s">
        <v>587</v>
      </c>
      <c r="B502" t="s">
        <v>33</v>
      </c>
      <c r="C502" t="s">
        <v>54</v>
      </c>
      <c r="D502" t="s">
        <v>77</v>
      </c>
      <c r="E502" t="s">
        <v>30</v>
      </c>
      <c r="F502" s="1">
        <v>45338</v>
      </c>
      <c r="G502">
        <v>3</v>
      </c>
      <c r="H502">
        <v>5115.53</v>
      </c>
      <c r="I502">
        <v>15</v>
      </c>
      <c r="J502" t="s">
        <v>82</v>
      </c>
      <c r="K502">
        <v>2301.9899999999998</v>
      </c>
      <c r="L502">
        <v>15346.59</v>
      </c>
      <c r="M502">
        <v>13044.6</v>
      </c>
      <c r="N502" t="s">
        <v>41</v>
      </c>
      <c r="O502">
        <v>2024</v>
      </c>
    </row>
    <row r="503" spans="1:15" x14ac:dyDescent="0.3">
      <c r="A503" t="s">
        <v>588</v>
      </c>
      <c r="B503" t="s">
        <v>93</v>
      </c>
      <c r="C503" t="s">
        <v>17</v>
      </c>
      <c r="D503" t="s">
        <v>39</v>
      </c>
      <c r="E503" t="s">
        <v>50</v>
      </c>
      <c r="F503" s="1">
        <v>45415</v>
      </c>
      <c r="G503">
        <v>7</v>
      </c>
      <c r="H503">
        <v>17170.150000000001</v>
      </c>
      <c r="I503">
        <v>5</v>
      </c>
      <c r="J503" t="s">
        <v>20</v>
      </c>
      <c r="K503">
        <v>6009.55</v>
      </c>
      <c r="L503">
        <v>120191.05</v>
      </c>
      <c r="M503">
        <v>114181.5</v>
      </c>
      <c r="N503" t="s">
        <v>101</v>
      </c>
      <c r="O503">
        <v>2024</v>
      </c>
    </row>
    <row r="504" spans="1:15" x14ac:dyDescent="0.3">
      <c r="A504" t="s">
        <v>589</v>
      </c>
      <c r="B504" t="s">
        <v>74</v>
      </c>
      <c r="C504" t="s">
        <v>62</v>
      </c>
      <c r="D504" t="s">
        <v>95</v>
      </c>
      <c r="E504" t="s">
        <v>56</v>
      </c>
      <c r="F504" s="1">
        <v>45940</v>
      </c>
      <c r="G504">
        <v>10</v>
      </c>
      <c r="H504">
        <v>819.11</v>
      </c>
      <c r="I504">
        <v>15</v>
      </c>
      <c r="J504" t="s">
        <v>26</v>
      </c>
      <c r="K504">
        <v>1228.6600000000001</v>
      </c>
      <c r="L504">
        <v>8191.1</v>
      </c>
      <c r="M504">
        <v>6962.44</v>
      </c>
      <c r="N504" t="s">
        <v>57</v>
      </c>
      <c r="O504">
        <v>2025</v>
      </c>
    </row>
    <row r="505" spans="1:15" x14ac:dyDescent="0.3">
      <c r="A505" t="s">
        <v>590</v>
      </c>
      <c r="B505" t="s">
        <v>65</v>
      </c>
      <c r="C505" t="s">
        <v>90</v>
      </c>
      <c r="D505" t="s">
        <v>91</v>
      </c>
      <c r="E505" t="s">
        <v>50</v>
      </c>
      <c r="F505" s="1">
        <v>45296</v>
      </c>
      <c r="G505">
        <v>9</v>
      </c>
      <c r="H505">
        <v>1626.08</v>
      </c>
      <c r="I505">
        <v>20</v>
      </c>
      <c r="J505" t="s">
        <v>71</v>
      </c>
      <c r="K505">
        <v>2926.94</v>
      </c>
      <c r="L505">
        <v>14634.72</v>
      </c>
      <c r="M505">
        <v>11707.78</v>
      </c>
      <c r="N505" t="s">
        <v>116</v>
      </c>
      <c r="O505">
        <v>2024</v>
      </c>
    </row>
    <row r="506" spans="1:15" x14ac:dyDescent="0.3">
      <c r="A506" t="s">
        <v>591</v>
      </c>
      <c r="B506" t="s">
        <v>89</v>
      </c>
      <c r="C506" t="s">
        <v>90</v>
      </c>
      <c r="D506" t="s">
        <v>91</v>
      </c>
      <c r="E506" t="s">
        <v>81</v>
      </c>
      <c r="F506" s="1">
        <v>46000</v>
      </c>
      <c r="G506">
        <v>10</v>
      </c>
      <c r="H506">
        <v>1556.63</v>
      </c>
      <c r="I506">
        <v>5</v>
      </c>
      <c r="J506" t="s">
        <v>36</v>
      </c>
      <c r="K506">
        <v>778.32</v>
      </c>
      <c r="L506">
        <v>15566.3</v>
      </c>
      <c r="M506">
        <v>14787.98</v>
      </c>
      <c r="N506" t="s">
        <v>51</v>
      </c>
      <c r="O506">
        <v>2025</v>
      </c>
    </row>
    <row r="507" spans="1:15" x14ac:dyDescent="0.3">
      <c r="A507" t="s">
        <v>592</v>
      </c>
      <c r="B507" t="s">
        <v>61</v>
      </c>
      <c r="C507" t="s">
        <v>17</v>
      </c>
      <c r="D507" t="s">
        <v>157</v>
      </c>
      <c r="E507" t="s">
        <v>81</v>
      </c>
      <c r="F507" s="1">
        <v>45808</v>
      </c>
      <c r="G507">
        <v>7</v>
      </c>
      <c r="H507">
        <v>7032.66</v>
      </c>
      <c r="I507">
        <v>20</v>
      </c>
      <c r="J507" t="s">
        <v>45</v>
      </c>
      <c r="K507">
        <v>9845.7199999999993</v>
      </c>
      <c r="L507">
        <v>49228.62</v>
      </c>
      <c r="M507">
        <v>39382.9</v>
      </c>
      <c r="N507" t="s">
        <v>101</v>
      </c>
      <c r="O507">
        <v>2025</v>
      </c>
    </row>
    <row r="508" spans="1:15" x14ac:dyDescent="0.3">
      <c r="A508" t="s">
        <v>593</v>
      </c>
      <c r="B508" t="s">
        <v>23</v>
      </c>
      <c r="C508" t="s">
        <v>34</v>
      </c>
      <c r="D508" t="s">
        <v>48</v>
      </c>
      <c r="E508" t="s">
        <v>19</v>
      </c>
      <c r="F508" s="1">
        <v>45755</v>
      </c>
      <c r="G508">
        <v>3</v>
      </c>
      <c r="H508">
        <v>7476.36</v>
      </c>
      <c r="I508">
        <v>20</v>
      </c>
      <c r="J508" t="s">
        <v>40</v>
      </c>
      <c r="K508">
        <v>4485.82</v>
      </c>
      <c r="L508">
        <v>22429.08</v>
      </c>
      <c r="M508">
        <v>17943.259999999998</v>
      </c>
      <c r="N508" t="s">
        <v>27</v>
      </c>
      <c r="O508">
        <v>2025</v>
      </c>
    </row>
    <row r="509" spans="1:15" x14ac:dyDescent="0.3">
      <c r="A509" t="s">
        <v>594</v>
      </c>
      <c r="B509" t="s">
        <v>38</v>
      </c>
      <c r="C509" t="s">
        <v>54</v>
      </c>
      <c r="D509" t="s">
        <v>137</v>
      </c>
      <c r="E509" t="s">
        <v>30</v>
      </c>
      <c r="F509" s="1">
        <v>46020</v>
      </c>
      <c r="G509">
        <v>9</v>
      </c>
      <c r="H509">
        <v>1047.56</v>
      </c>
      <c r="I509">
        <v>5</v>
      </c>
      <c r="J509" t="s">
        <v>45</v>
      </c>
      <c r="K509">
        <v>471.4</v>
      </c>
      <c r="L509">
        <v>9428.0400000000009</v>
      </c>
      <c r="M509">
        <v>8956.64</v>
      </c>
      <c r="N509" t="s">
        <v>51</v>
      </c>
      <c r="O509">
        <v>2025</v>
      </c>
    </row>
    <row r="510" spans="1:15" x14ac:dyDescent="0.3">
      <c r="A510" t="s">
        <v>595</v>
      </c>
      <c r="B510" t="s">
        <v>16</v>
      </c>
      <c r="C510" t="s">
        <v>34</v>
      </c>
      <c r="D510" t="s">
        <v>66</v>
      </c>
      <c r="E510" t="s">
        <v>19</v>
      </c>
      <c r="F510" s="1">
        <v>45980</v>
      </c>
      <c r="G510">
        <v>3</v>
      </c>
      <c r="H510">
        <v>50394.69</v>
      </c>
      <c r="I510">
        <v>5</v>
      </c>
      <c r="J510" t="s">
        <v>45</v>
      </c>
      <c r="K510">
        <v>7559.2</v>
      </c>
      <c r="L510">
        <v>151184.07</v>
      </c>
      <c r="M510">
        <v>143624.87</v>
      </c>
      <c r="N510" t="s">
        <v>96</v>
      </c>
      <c r="O510">
        <v>2025</v>
      </c>
    </row>
    <row r="511" spans="1:15" x14ac:dyDescent="0.3">
      <c r="A511" t="s">
        <v>596</v>
      </c>
      <c r="B511" t="s">
        <v>16</v>
      </c>
      <c r="C511" t="s">
        <v>54</v>
      </c>
      <c r="D511" t="s">
        <v>77</v>
      </c>
      <c r="E511" t="s">
        <v>30</v>
      </c>
      <c r="F511" s="1">
        <v>46019</v>
      </c>
      <c r="G511">
        <v>2</v>
      </c>
      <c r="H511">
        <v>5996.07</v>
      </c>
      <c r="I511">
        <v>20</v>
      </c>
      <c r="J511" t="s">
        <v>45</v>
      </c>
      <c r="K511">
        <v>2398.4299999999998</v>
      </c>
      <c r="L511">
        <v>11992.14</v>
      </c>
      <c r="M511">
        <v>9593.7099999999991</v>
      </c>
      <c r="N511" t="s">
        <v>51</v>
      </c>
      <c r="O511">
        <v>2025</v>
      </c>
    </row>
    <row r="512" spans="1:15" x14ac:dyDescent="0.3">
      <c r="A512" t="s">
        <v>597</v>
      </c>
      <c r="B512" t="s">
        <v>93</v>
      </c>
      <c r="C512" t="s">
        <v>90</v>
      </c>
      <c r="D512" t="s">
        <v>91</v>
      </c>
      <c r="E512" t="s">
        <v>30</v>
      </c>
      <c r="F512" s="1">
        <v>45982</v>
      </c>
      <c r="G512">
        <v>9</v>
      </c>
      <c r="H512">
        <v>1602.95</v>
      </c>
      <c r="I512">
        <v>15</v>
      </c>
      <c r="J512" t="s">
        <v>31</v>
      </c>
      <c r="K512">
        <v>2163.98</v>
      </c>
      <c r="L512">
        <v>14426.55</v>
      </c>
      <c r="M512">
        <v>12262.57</v>
      </c>
      <c r="N512" t="s">
        <v>96</v>
      </c>
      <c r="O512">
        <v>2025</v>
      </c>
    </row>
    <row r="513" spans="1:15" x14ac:dyDescent="0.3">
      <c r="A513" t="s">
        <v>598</v>
      </c>
      <c r="B513" t="s">
        <v>47</v>
      </c>
      <c r="C513" t="s">
        <v>17</v>
      </c>
      <c r="D513" t="s">
        <v>24</v>
      </c>
      <c r="E513" t="s">
        <v>25</v>
      </c>
      <c r="F513" s="1">
        <v>45440</v>
      </c>
      <c r="G513">
        <v>1</v>
      </c>
      <c r="H513">
        <v>3202.69</v>
      </c>
      <c r="I513">
        <v>5</v>
      </c>
      <c r="J513" t="s">
        <v>31</v>
      </c>
      <c r="K513">
        <v>160.13</v>
      </c>
      <c r="L513">
        <v>3202.69</v>
      </c>
      <c r="M513">
        <v>3042.56</v>
      </c>
      <c r="N513" t="s">
        <v>101</v>
      </c>
      <c r="O513">
        <v>2024</v>
      </c>
    </row>
    <row r="514" spans="1:15" x14ac:dyDescent="0.3">
      <c r="A514" t="s">
        <v>599</v>
      </c>
      <c r="B514" t="s">
        <v>43</v>
      </c>
      <c r="C514" t="s">
        <v>62</v>
      </c>
      <c r="D514" t="s">
        <v>63</v>
      </c>
      <c r="E514" t="s">
        <v>30</v>
      </c>
      <c r="F514" s="1">
        <v>45441</v>
      </c>
      <c r="G514">
        <v>1</v>
      </c>
      <c r="H514">
        <v>1930.77</v>
      </c>
      <c r="I514">
        <v>10</v>
      </c>
      <c r="J514" t="s">
        <v>40</v>
      </c>
      <c r="K514">
        <v>193.08</v>
      </c>
      <c r="L514">
        <v>1930.77</v>
      </c>
      <c r="M514">
        <v>1737.69</v>
      </c>
      <c r="N514" t="s">
        <v>101</v>
      </c>
      <c r="O514">
        <v>2024</v>
      </c>
    </row>
    <row r="515" spans="1:15" x14ac:dyDescent="0.3">
      <c r="A515" t="s">
        <v>600</v>
      </c>
      <c r="B515" t="s">
        <v>109</v>
      </c>
      <c r="C515" t="s">
        <v>34</v>
      </c>
      <c r="D515" t="s">
        <v>66</v>
      </c>
      <c r="E515" t="s">
        <v>19</v>
      </c>
      <c r="F515" s="1">
        <v>45396</v>
      </c>
      <c r="G515">
        <v>10</v>
      </c>
      <c r="H515">
        <v>44680.35</v>
      </c>
      <c r="I515">
        <v>20</v>
      </c>
      <c r="J515" t="s">
        <v>71</v>
      </c>
      <c r="K515">
        <v>89360.7</v>
      </c>
      <c r="L515">
        <v>446803.5</v>
      </c>
      <c r="M515">
        <v>357442.8</v>
      </c>
      <c r="N515" t="s">
        <v>27</v>
      </c>
      <c r="O515">
        <v>2024</v>
      </c>
    </row>
    <row r="516" spans="1:15" x14ac:dyDescent="0.3">
      <c r="A516" t="s">
        <v>601</v>
      </c>
      <c r="B516" t="s">
        <v>23</v>
      </c>
      <c r="C516" t="s">
        <v>34</v>
      </c>
      <c r="D516" t="s">
        <v>66</v>
      </c>
      <c r="E516" t="s">
        <v>50</v>
      </c>
      <c r="F516" s="1">
        <v>46001</v>
      </c>
      <c r="G516">
        <v>1</v>
      </c>
      <c r="H516">
        <v>49791.33</v>
      </c>
      <c r="I516">
        <v>15</v>
      </c>
      <c r="J516" t="s">
        <v>40</v>
      </c>
      <c r="K516">
        <v>7468.7</v>
      </c>
      <c r="L516">
        <v>49791.33</v>
      </c>
      <c r="M516">
        <v>42322.63</v>
      </c>
      <c r="N516" t="s">
        <v>51</v>
      </c>
      <c r="O516">
        <v>2025</v>
      </c>
    </row>
    <row r="517" spans="1:15" x14ac:dyDescent="0.3">
      <c r="A517" t="s">
        <v>602</v>
      </c>
      <c r="B517" t="s">
        <v>65</v>
      </c>
      <c r="C517" t="s">
        <v>90</v>
      </c>
      <c r="D517" t="s">
        <v>115</v>
      </c>
      <c r="E517" t="s">
        <v>25</v>
      </c>
      <c r="F517" s="1">
        <v>45549</v>
      </c>
      <c r="G517">
        <v>4</v>
      </c>
      <c r="H517">
        <v>8441.1200000000008</v>
      </c>
      <c r="I517">
        <v>15</v>
      </c>
      <c r="J517" t="s">
        <v>26</v>
      </c>
      <c r="K517">
        <v>5064.67</v>
      </c>
      <c r="L517">
        <v>33764.480000000003</v>
      </c>
      <c r="M517">
        <v>28699.81</v>
      </c>
      <c r="N517" t="s">
        <v>86</v>
      </c>
      <c r="O517">
        <v>2024</v>
      </c>
    </row>
    <row r="518" spans="1:15" x14ac:dyDescent="0.3">
      <c r="A518" t="s">
        <v>603</v>
      </c>
      <c r="B518" t="s">
        <v>74</v>
      </c>
      <c r="C518" t="s">
        <v>34</v>
      </c>
      <c r="D518" t="s">
        <v>48</v>
      </c>
      <c r="E518" t="s">
        <v>81</v>
      </c>
      <c r="F518" s="1">
        <v>45490</v>
      </c>
      <c r="G518">
        <v>5</v>
      </c>
      <c r="H518">
        <v>8097.63</v>
      </c>
      <c r="I518">
        <v>0</v>
      </c>
      <c r="J518" t="s">
        <v>20</v>
      </c>
      <c r="K518">
        <v>0</v>
      </c>
      <c r="L518">
        <v>40488.15</v>
      </c>
      <c r="M518">
        <v>40488.15</v>
      </c>
      <c r="N518" t="s">
        <v>122</v>
      </c>
      <c r="O518">
        <v>2024</v>
      </c>
    </row>
    <row r="519" spans="1:15" x14ac:dyDescent="0.3">
      <c r="A519" t="s">
        <v>604</v>
      </c>
      <c r="B519" t="s">
        <v>16</v>
      </c>
      <c r="C519" t="s">
        <v>34</v>
      </c>
      <c r="D519" t="s">
        <v>85</v>
      </c>
      <c r="E519" t="s">
        <v>81</v>
      </c>
      <c r="F519" s="1">
        <v>45678</v>
      </c>
      <c r="G519">
        <v>1</v>
      </c>
      <c r="H519">
        <v>12085.52</v>
      </c>
      <c r="I519">
        <v>20</v>
      </c>
      <c r="J519" t="s">
        <v>82</v>
      </c>
      <c r="K519">
        <v>2417.1</v>
      </c>
      <c r="L519">
        <v>12085.52</v>
      </c>
      <c r="M519">
        <v>9668.42</v>
      </c>
      <c r="N519" t="s">
        <v>116</v>
      </c>
      <c r="O519">
        <v>2025</v>
      </c>
    </row>
    <row r="520" spans="1:15" x14ac:dyDescent="0.3">
      <c r="A520" t="s">
        <v>605</v>
      </c>
      <c r="B520" t="s">
        <v>53</v>
      </c>
      <c r="C520" t="s">
        <v>62</v>
      </c>
      <c r="D520" t="s">
        <v>63</v>
      </c>
      <c r="E520" t="s">
        <v>81</v>
      </c>
      <c r="F520" s="1">
        <v>45297</v>
      </c>
      <c r="G520">
        <v>6</v>
      </c>
      <c r="H520">
        <v>1829.85</v>
      </c>
      <c r="I520">
        <v>5</v>
      </c>
      <c r="J520" t="s">
        <v>40</v>
      </c>
      <c r="K520">
        <v>548.96</v>
      </c>
      <c r="L520">
        <v>10979.1</v>
      </c>
      <c r="M520">
        <v>10430.14</v>
      </c>
      <c r="N520" t="s">
        <v>116</v>
      </c>
      <c r="O520">
        <v>2024</v>
      </c>
    </row>
    <row r="521" spans="1:15" x14ac:dyDescent="0.3">
      <c r="A521" t="s">
        <v>606</v>
      </c>
      <c r="B521" t="s">
        <v>114</v>
      </c>
      <c r="C521" t="s">
        <v>17</v>
      </c>
      <c r="D521" t="s">
        <v>59</v>
      </c>
      <c r="E521" t="s">
        <v>19</v>
      </c>
      <c r="F521" s="1">
        <v>45932</v>
      </c>
      <c r="G521">
        <v>10</v>
      </c>
      <c r="H521">
        <v>30546.59</v>
      </c>
      <c r="I521">
        <v>10</v>
      </c>
      <c r="J521" t="s">
        <v>26</v>
      </c>
      <c r="K521">
        <v>30546.59</v>
      </c>
      <c r="L521">
        <v>305465.90000000002</v>
      </c>
      <c r="M521">
        <v>274919.31</v>
      </c>
      <c r="N521" t="s">
        <v>57</v>
      </c>
      <c r="O521">
        <v>2025</v>
      </c>
    </row>
    <row r="522" spans="1:15" x14ac:dyDescent="0.3">
      <c r="A522" t="s">
        <v>607</v>
      </c>
      <c r="B522" t="s">
        <v>65</v>
      </c>
      <c r="C522" t="s">
        <v>90</v>
      </c>
      <c r="D522" t="s">
        <v>91</v>
      </c>
      <c r="E522" t="s">
        <v>19</v>
      </c>
      <c r="F522" s="1">
        <v>46016</v>
      </c>
      <c r="G522">
        <v>6</v>
      </c>
      <c r="H522">
        <v>1701.73</v>
      </c>
      <c r="I522">
        <v>5</v>
      </c>
      <c r="J522" t="s">
        <v>82</v>
      </c>
      <c r="K522">
        <v>510.52</v>
      </c>
      <c r="L522">
        <v>10210.379999999999</v>
      </c>
      <c r="M522">
        <v>9699.86</v>
      </c>
      <c r="N522" t="s">
        <v>51</v>
      </c>
      <c r="O522">
        <v>2025</v>
      </c>
    </row>
    <row r="523" spans="1:15" x14ac:dyDescent="0.3">
      <c r="A523" t="s">
        <v>608</v>
      </c>
      <c r="B523" t="s">
        <v>74</v>
      </c>
      <c r="C523" t="s">
        <v>54</v>
      </c>
      <c r="D523" t="s">
        <v>70</v>
      </c>
      <c r="E523" t="s">
        <v>81</v>
      </c>
      <c r="F523" s="1">
        <v>45717</v>
      </c>
      <c r="G523">
        <v>9</v>
      </c>
      <c r="H523">
        <v>2585.65</v>
      </c>
      <c r="I523">
        <v>0</v>
      </c>
      <c r="J523" t="s">
        <v>36</v>
      </c>
      <c r="K523">
        <v>0</v>
      </c>
      <c r="L523">
        <v>23270.85</v>
      </c>
      <c r="M523">
        <v>23270.85</v>
      </c>
      <c r="N523" t="s">
        <v>83</v>
      </c>
      <c r="O523">
        <v>2025</v>
      </c>
    </row>
    <row r="524" spans="1:15" x14ac:dyDescent="0.3">
      <c r="A524" t="s">
        <v>609</v>
      </c>
      <c r="B524" t="s">
        <v>114</v>
      </c>
      <c r="C524" t="s">
        <v>62</v>
      </c>
      <c r="D524" t="s">
        <v>63</v>
      </c>
      <c r="E524" t="s">
        <v>50</v>
      </c>
      <c r="F524" s="1">
        <v>45631</v>
      </c>
      <c r="G524">
        <v>6</v>
      </c>
      <c r="H524">
        <v>1927.32</v>
      </c>
      <c r="I524">
        <v>20</v>
      </c>
      <c r="J524" t="s">
        <v>45</v>
      </c>
      <c r="K524">
        <v>2312.7800000000002</v>
      </c>
      <c r="L524">
        <v>11563.92</v>
      </c>
      <c r="M524">
        <v>9251.14</v>
      </c>
      <c r="N524" t="s">
        <v>51</v>
      </c>
      <c r="O524">
        <v>2024</v>
      </c>
    </row>
    <row r="525" spans="1:15" x14ac:dyDescent="0.3">
      <c r="A525" t="s">
        <v>610</v>
      </c>
      <c r="B525" t="s">
        <v>65</v>
      </c>
      <c r="C525" t="s">
        <v>54</v>
      </c>
      <c r="D525" t="s">
        <v>68</v>
      </c>
      <c r="E525" t="s">
        <v>44</v>
      </c>
      <c r="F525" s="1">
        <v>45409</v>
      </c>
      <c r="G525">
        <v>6</v>
      </c>
      <c r="H525">
        <v>4551.38</v>
      </c>
      <c r="I525">
        <v>20</v>
      </c>
      <c r="J525" t="s">
        <v>26</v>
      </c>
      <c r="K525">
        <v>5461.66</v>
      </c>
      <c r="L525">
        <v>27308.28</v>
      </c>
      <c r="M525">
        <v>21846.62</v>
      </c>
      <c r="N525" t="s">
        <v>27</v>
      </c>
      <c r="O525">
        <v>2024</v>
      </c>
    </row>
    <row r="526" spans="1:15" x14ac:dyDescent="0.3">
      <c r="A526" t="s">
        <v>611</v>
      </c>
      <c r="B526" t="s">
        <v>109</v>
      </c>
      <c r="C526" t="s">
        <v>54</v>
      </c>
      <c r="D526" t="s">
        <v>55</v>
      </c>
      <c r="E526" t="s">
        <v>30</v>
      </c>
      <c r="F526" s="1">
        <v>45682</v>
      </c>
      <c r="G526">
        <v>2</v>
      </c>
      <c r="H526">
        <v>1195.76</v>
      </c>
      <c r="I526">
        <v>20</v>
      </c>
      <c r="J526" t="s">
        <v>45</v>
      </c>
      <c r="K526">
        <v>478.3</v>
      </c>
      <c r="L526">
        <v>2391.52</v>
      </c>
      <c r="M526">
        <v>1913.22</v>
      </c>
      <c r="N526" t="s">
        <v>116</v>
      </c>
      <c r="O526">
        <v>2025</v>
      </c>
    </row>
    <row r="527" spans="1:15" x14ac:dyDescent="0.3">
      <c r="A527" t="s">
        <v>612</v>
      </c>
      <c r="B527" t="s">
        <v>114</v>
      </c>
      <c r="C527" t="s">
        <v>62</v>
      </c>
      <c r="D527" t="s">
        <v>95</v>
      </c>
      <c r="E527" t="s">
        <v>81</v>
      </c>
      <c r="F527" s="1">
        <v>45818</v>
      </c>
      <c r="G527">
        <v>9</v>
      </c>
      <c r="H527">
        <v>809.11</v>
      </c>
      <c r="I527">
        <v>0</v>
      </c>
      <c r="J527" t="s">
        <v>45</v>
      </c>
      <c r="K527">
        <v>0</v>
      </c>
      <c r="L527">
        <v>7281.99</v>
      </c>
      <c r="M527">
        <v>7281.99</v>
      </c>
      <c r="N527" t="s">
        <v>72</v>
      </c>
      <c r="O527">
        <v>2025</v>
      </c>
    </row>
    <row r="528" spans="1:15" x14ac:dyDescent="0.3">
      <c r="A528" t="s">
        <v>613</v>
      </c>
      <c r="B528" t="s">
        <v>33</v>
      </c>
      <c r="C528" t="s">
        <v>62</v>
      </c>
      <c r="D528" t="s">
        <v>63</v>
      </c>
      <c r="E528" t="s">
        <v>81</v>
      </c>
      <c r="F528" s="1">
        <v>45390</v>
      </c>
      <c r="G528">
        <v>3</v>
      </c>
      <c r="H528">
        <v>2057.23</v>
      </c>
      <c r="I528">
        <v>20</v>
      </c>
      <c r="J528" t="s">
        <v>82</v>
      </c>
      <c r="K528">
        <v>1234.3399999999999</v>
      </c>
      <c r="L528">
        <v>6171.69</v>
      </c>
      <c r="M528">
        <v>4937.3500000000004</v>
      </c>
      <c r="N528" t="s">
        <v>27</v>
      </c>
      <c r="O528">
        <v>2024</v>
      </c>
    </row>
    <row r="529" spans="1:15" x14ac:dyDescent="0.3">
      <c r="A529" t="s">
        <v>614</v>
      </c>
      <c r="B529" t="s">
        <v>61</v>
      </c>
      <c r="C529" t="s">
        <v>54</v>
      </c>
      <c r="D529" t="s">
        <v>70</v>
      </c>
      <c r="E529" t="s">
        <v>25</v>
      </c>
      <c r="F529" s="1">
        <v>45978</v>
      </c>
      <c r="G529">
        <v>4</v>
      </c>
      <c r="H529">
        <v>3069.65</v>
      </c>
      <c r="I529">
        <v>15</v>
      </c>
      <c r="J529" t="s">
        <v>20</v>
      </c>
      <c r="K529">
        <v>1841.79</v>
      </c>
      <c r="L529">
        <v>12278.6</v>
      </c>
      <c r="M529">
        <v>10436.81</v>
      </c>
      <c r="N529" t="s">
        <v>96</v>
      </c>
      <c r="O529">
        <v>2025</v>
      </c>
    </row>
    <row r="530" spans="1:15" x14ac:dyDescent="0.3">
      <c r="A530" t="s">
        <v>615</v>
      </c>
      <c r="B530" t="s">
        <v>65</v>
      </c>
      <c r="C530" t="s">
        <v>17</v>
      </c>
      <c r="D530" t="s">
        <v>59</v>
      </c>
      <c r="E530" t="s">
        <v>44</v>
      </c>
      <c r="F530" s="1">
        <v>45954</v>
      </c>
      <c r="G530">
        <v>2</v>
      </c>
      <c r="H530">
        <v>29884.87</v>
      </c>
      <c r="I530">
        <v>5</v>
      </c>
      <c r="J530" t="s">
        <v>31</v>
      </c>
      <c r="K530">
        <v>2988.49</v>
      </c>
      <c r="L530">
        <v>59769.74</v>
      </c>
      <c r="M530">
        <v>56781.25</v>
      </c>
      <c r="N530" t="s">
        <v>57</v>
      </c>
      <c r="O530">
        <v>2025</v>
      </c>
    </row>
    <row r="531" spans="1:15" x14ac:dyDescent="0.3">
      <c r="A531" t="s">
        <v>616</v>
      </c>
      <c r="B531" t="s">
        <v>16</v>
      </c>
      <c r="C531" t="s">
        <v>17</v>
      </c>
      <c r="D531" t="s">
        <v>157</v>
      </c>
      <c r="E531" t="s">
        <v>19</v>
      </c>
      <c r="F531" s="1">
        <v>45381</v>
      </c>
      <c r="G531">
        <v>2</v>
      </c>
      <c r="H531">
        <v>6394.97</v>
      </c>
      <c r="I531">
        <v>10</v>
      </c>
      <c r="J531" t="s">
        <v>26</v>
      </c>
      <c r="K531">
        <v>1278.99</v>
      </c>
      <c r="L531">
        <v>12789.94</v>
      </c>
      <c r="M531">
        <v>11510.95</v>
      </c>
      <c r="N531" t="s">
        <v>83</v>
      </c>
      <c r="O531">
        <v>2024</v>
      </c>
    </row>
    <row r="532" spans="1:15" x14ac:dyDescent="0.3">
      <c r="A532" t="s">
        <v>617</v>
      </c>
      <c r="B532" t="s">
        <v>93</v>
      </c>
      <c r="C532" t="s">
        <v>54</v>
      </c>
      <c r="D532" t="s">
        <v>70</v>
      </c>
      <c r="E532" t="s">
        <v>44</v>
      </c>
      <c r="F532" s="1">
        <v>45556</v>
      </c>
      <c r="G532">
        <v>7</v>
      </c>
      <c r="H532">
        <v>2492.52</v>
      </c>
      <c r="I532">
        <v>15</v>
      </c>
      <c r="J532" t="s">
        <v>20</v>
      </c>
      <c r="K532">
        <v>2617.15</v>
      </c>
      <c r="L532">
        <v>17447.64</v>
      </c>
      <c r="M532">
        <v>14830.49</v>
      </c>
      <c r="N532" t="s">
        <v>86</v>
      </c>
      <c r="O532">
        <v>2024</v>
      </c>
    </row>
    <row r="533" spans="1:15" x14ac:dyDescent="0.3">
      <c r="A533" t="s">
        <v>618</v>
      </c>
      <c r="B533" t="s">
        <v>109</v>
      </c>
      <c r="C533" t="s">
        <v>90</v>
      </c>
      <c r="D533" t="s">
        <v>115</v>
      </c>
      <c r="E533" t="s">
        <v>56</v>
      </c>
      <c r="F533" s="1">
        <v>45839</v>
      </c>
      <c r="G533">
        <v>1</v>
      </c>
      <c r="H533">
        <v>8482.85</v>
      </c>
      <c r="I533">
        <v>20</v>
      </c>
      <c r="J533" t="s">
        <v>82</v>
      </c>
      <c r="K533">
        <v>1696.57</v>
      </c>
      <c r="L533">
        <v>8482.85</v>
      </c>
      <c r="M533">
        <v>6786.28</v>
      </c>
      <c r="N533" t="s">
        <v>122</v>
      </c>
      <c r="O533">
        <v>2025</v>
      </c>
    </row>
    <row r="534" spans="1:15" x14ac:dyDescent="0.3">
      <c r="A534" t="s">
        <v>619</v>
      </c>
      <c r="B534" t="s">
        <v>109</v>
      </c>
      <c r="C534" t="s">
        <v>17</v>
      </c>
      <c r="D534" t="s">
        <v>24</v>
      </c>
      <c r="E534" t="s">
        <v>30</v>
      </c>
      <c r="F534" s="1">
        <v>45658</v>
      </c>
      <c r="G534">
        <v>9</v>
      </c>
      <c r="H534">
        <v>2779.6</v>
      </c>
      <c r="I534">
        <v>10</v>
      </c>
      <c r="J534" t="s">
        <v>82</v>
      </c>
      <c r="K534">
        <v>2501.64</v>
      </c>
      <c r="L534">
        <v>25016.400000000001</v>
      </c>
      <c r="M534">
        <v>22514.76</v>
      </c>
      <c r="N534" t="s">
        <v>116</v>
      </c>
      <c r="O534">
        <v>2025</v>
      </c>
    </row>
    <row r="535" spans="1:15" x14ac:dyDescent="0.3">
      <c r="A535" t="s">
        <v>620</v>
      </c>
      <c r="B535" t="s">
        <v>43</v>
      </c>
      <c r="C535" t="s">
        <v>54</v>
      </c>
      <c r="D535" t="s">
        <v>70</v>
      </c>
      <c r="E535" t="s">
        <v>44</v>
      </c>
      <c r="F535" s="1">
        <v>45682</v>
      </c>
      <c r="G535">
        <v>7</v>
      </c>
      <c r="H535">
        <v>2763.83</v>
      </c>
      <c r="I535">
        <v>0</v>
      </c>
      <c r="J535" t="s">
        <v>71</v>
      </c>
      <c r="K535">
        <v>0</v>
      </c>
      <c r="L535">
        <v>19346.810000000001</v>
      </c>
      <c r="M535">
        <v>19346.810000000001</v>
      </c>
      <c r="N535" t="s">
        <v>116</v>
      </c>
      <c r="O535">
        <v>2025</v>
      </c>
    </row>
    <row r="536" spans="1:15" x14ac:dyDescent="0.3">
      <c r="A536" t="s">
        <v>621</v>
      </c>
      <c r="B536" t="s">
        <v>65</v>
      </c>
      <c r="C536" t="s">
        <v>90</v>
      </c>
      <c r="D536" t="s">
        <v>107</v>
      </c>
      <c r="E536" t="s">
        <v>50</v>
      </c>
      <c r="F536" s="1">
        <v>45692</v>
      </c>
      <c r="G536">
        <v>9</v>
      </c>
      <c r="H536">
        <v>11684.94</v>
      </c>
      <c r="I536">
        <v>5</v>
      </c>
      <c r="J536" t="s">
        <v>36</v>
      </c>
      <c r="K536">
        <v>5258.22</v>
      </c>
      <c r="L536">
        <v>105164.46</v>
      </c>
      <c r="M536">
        <v>99906.240000000005</v>
      </c>
      <c r="N536" t="s">
        <v>41</v>
      </c>
      <c r="O536">
        <v>2025</v>
      </c>
    </row>
    <row r="537" spans="1:15" x14ac:dyDescent="0.3">
      <c r="A537" t="s">
        <v>622</v>
      </c>
      <c r="B537" t="s">
        <v>109</v>
      </c>
      <c r="C537" t="s">
        <v>62</v>
      </c>
      <c r="D537" t="s">
        <v>119</v>
      </c>
      <c r="E537" t="s">
        <v>81</v>
      </c>
      <c r="F537" s="1">
        <v>45418</v>
      </c>
      <c r="G537">
        <v>1</v>
      </c>
      <c r="H537">
        <v>3154.4</v>
      </c>
      <c r="I537">
        <v>20</v>
      </c>
      <c r="J537" t="s">
        <v>36</v>
      </c>
      <c r="K537">
        <v>630.88</v>
      </c>
      <c r="L537">
        <v>3154.4</v>
      </c>
      <c r="M537">
        <v>2523.52</v>
      </c>
      <c r="N537" t="s">
        <v>101</v>
      </c>
      <c r="O537">
        <v>2024</v>
      </c>
    </row>
    <row r="538" spans="1:15" x14ac:dyDescent="0.3">
      <c r="A538" t="s">
        <v>623</v>
      </c>
      <c r="B538" t="s">
        <v>65</v>
      </c>
      <c r="C538" t="s">
        <v>90</v>
      </c>
      <c r="D538" t="s">
        <v>91</v>
      </c>
      <c r="E538" t="s">
        <v>25</v>
      </c>
      <c r="F538" s="1">
        <v>45507</v>
      </c>
      <c r="G538">
        <v>6</v>
      </c>
      <c r="H538">
        <v>1429.4</v>
      </c>
      <c r="I538">
        <v>20</v>
      </c>
      <c r="J538" t="s">
        <v>40</v>
      </c>
      <c r="K538">
        <v>1715.28</v>
      </c>
      <c r="L538">
        <v>8576.4</v>
      </c>
      <c r="M538">
        <v>6861.12</v>
      </c>
      <c r="N538" t="s">
        <v>21</v>
      </c>
      <c r="O538">
        <v>2024</v>
      </c>
    </row>
    <row r="539" spans="1:15" x14ac:dyDescent="0.3">
      <c r="A539" t="s">
        <v>624</v>
      </c>
      <c r="B539" t="s">
        <v>53</v>
      </c>
      <c r="C539" t="s">
        <v>34</v>
      </c>
      <c r="D539" t="s">
        <v>85</v>
      </c>
      <c r="E539" t="s">
        <v>50</v>
      </c>
      <c r="F539" s="1">
        <v>45490</v>
      </c>
      <c r="G539">
        <v>2</v>
      </c>
      <c r="H539">
        <v>11344.07</v>
      </c>
      <c r="I539">
        <v>20</v>
      </c>
      <c r="J539" t="s">
        <v>40</v>
      </c>
      <c r="K539">
        <v>4537.63</v>
      </c>
      <c r="L539">
        <v>22688.14</v>
      </c>
      <c r="M539">
        <v>18150.509999999998</v>
      </c>
      <c r="N539" t="s">
        <v>122</v>
      </c>
      <c r="O539">
        <v>2024</v>
      </c>
    </row>
    <row r="540" spans="1:15" x14ac:dyDescent="0.3">
      <c r="A540" t="s">
        <v>625</v>
      </c>
      <c r="B540" t="s">
        <v>89</v>
      </c>
      <c r="C540" t="s">
        <v>17</v>
      </c>
      <c r="D540" t="s">
        <v>24</v>
      </c>
      <c r="E540" t="s">
        <v>30</v>
      </c>
      <c r="F540" s="1">
        <v>45589</v>
      </c>
      <c r="G540">
        <v>2</v>
      </c>
      <c r="H540">
        <v>3176.82</v>
      </c>
      <c r="I540">
        <v>5</v>
      </c>
      <c r="J540" t="s">
        <v>82</v>
      </c>
      <c r="K540">
        <v>317.68</v>
      </c>
      <c r="L540">
        <v>6353.64</v>
      </c>
      <c r="M540">
        <v>6035.96</v>
      </c>
      <c r="N540" t="s">
        <v>57</v>
      </c>
      <c r="O540">
        <v>2024</v>
      </c>
    </row>
    <row r="541" spans="1:15" x14ac:dyDescent="0.3">
      <c r="A541" t="s">
        <v>626</v>
      </c>
      <c r="B541" t="s">
        <v>33</v>
      </c>
      <c r="C541" t="s">
        <v>54</v>
      </c>
      <c r="D541" t="s">
        <v>68</v>
      </c>
      <c r="E541" t="s">
        <v>19</v>
      </c>
      <c r="F541" s="1">
        <v>45979</v>
      </c>
      <c r="G541">
        <v>4</v>
      </c>
      <c r="H541">
        <v>4578.8100000000004</v>
      </c>
      <c r="I541">
        <v>20</v>
      </c>
      <c r="J541" t="s">
        <v>36</v>
      </c>
      <c r="K541">
        <v>3663.05</v>
      </c>
      <c r="L541">
        <v>18315.240000000002</v>
      </c>
      <c r="M541">
        <v>14652.19</v>
      </c>
      <c r="N541" t="s">
        <v>96</v>
      </c>
      <c r="O541">
        <v>2025</v>
      </c>
    </row>
    <row r="542" spans="1:15" x14ac:dyDescent="0.3">
      <c r="A542" t="s">
        <v>627</v>
      </c>
      <c r="B542" t="s">
        <v>33</v>
      </c>
      <c r="C542" t="s">
        <v>17</v>
      </c>
      <c r="D542" t="s">
        <v>59</v>
      </c>
      <c r="E542" t="s">
        <v>56</v>
      </c>
      <c r="F542" s="1">
        <v>45628</v>
      </c>
      <c r="G542">
        <v>10</v>
      </c>
      <c r="H542">
        <v>29283.53</v>
      </c>
      <c r="I542">
        <v>20</v>
      </c>
      <c r="J542" t="s">
        <v>71</v>
      </c>
      <c r="K542">
        <v>58567.06</v>
      </c>
      <c r="L542">
        <v>292835.3</v>
      </c>
      <c r="M542">
        <v>234268.24</v>
      </c>
      <c r="N542" t="s">
        <v>51</v>
      </c>
      <c r="O542">
        <v>2024</v>
      </c>
    </row>
    <row r="543" spans="1:15" x14ac:dyDescent="0.3">
      <c r="A543" t="s">
        <v>628</v>
      </c>
      <c r="B543" t="s">
        <v>93</v>
      </c>
      <c r="C543" t="s">
        <v>34</v>
      </c>
      <c r="D543" t="s">
        <v>66</v>
      </c>
      <c r="E543" t="s">
        <v>19</v>
      </c>
      <c r="F543" s="1">
        <v>45730</v>
      </c>
      <c r="G543">
        <v>3</v>
      </c>
      <c r="H543">
        <v>36048.32</v>
      </c>
      <c r="I543">
        <v>5</v>
      </c>
      <c r="J543" t="s">
        <v>45</v>
      </c>
      <c r="K543">
        <v>5407.25</v>
      </c>
      <c r="L543">
        <v>108144.96000000001</v>
      </c>
      <c r="M543">
        <v>102737.71</v>
      </c>
      <c r="N543" t="s">
        <v>83</v>
      </c>
      <c r="O543">
        <v>2025</v>
      </c>
    </row>
    <row r="544" spans="1:15" x14ac:dyDescent="0.3">
      <c r="A544" t="s">
        <v>629</v>
      </c>
      <c r="B544" t="s">
        <v>43</v>
      </c>
      <c r="C544" t="s">
        <v>34</v>
      </c>
      <c r="D544" t="s">
        <v>35</v>
      </c>
      <c r="E544" t="s">
        <v>44</v>
      </c>
      <c r="F544" s="1">
        <v>45429</v>
      </c>
      <c r="G544">
        <v>6</v>
      </c>
      <c r="H544">
        <v>27986.79</v>
      </c>
      <c r="I544">
        <v>15</v>
      </c>
      <c r="J544" t="s">
        <v>45</v>
      </c>
      <c r="K544">
        <v>25188.11</v>
      </c>
      <c r="L544">
        <v>167920.74</v>
      </c>
      <c r="M544">
        <v>142732.63</v>
      </c>
      <c r="N544" t="s">
        <v>101</v>
      </c>
      <c r="O544">
        <v>2024</v>
      </c>
    </row>
    <row r="545" spans="1:15" x14ac:dyDescent="0.3">
      <c r="A545" t="s">
        <v>630</v>
      </c>
      <c r="B545" t="s">
        <v>74</v>
      </c>
      <c r="C545" t="s">
        <v>90</v>
      </c>
      <c r="D545" t="s">
        <v>115</v>
      </c>
      <c r="E545" t="s">
        <v>19</v>
      </c>
      <c r="F545" s="1">
        <v>45856</v>
      </c>
      <c r="G545">
        <v>2</v>
      </c>
      <c r="H545">
        <v>7551.54</v>
      </c>
      <c r="I545">
        <v>20</v>
      </c>
      <c r="J545" t="s">
        <v>71</v>
      </c>
      <c r="K545">
        <v>3020.62</v>
      </c>
      <c r="L545">
        <v>15103.08</v>
      </c>
      <c r="M545">
        <v>12082.46</v>
      </c>
      <c r="N545" t="s">
        <v>122</v>
      </c>
      <c r="O545">
        <v>2025</v>
      </c>
    </row>
    <row r="546" spans="1:15" x14ac:dyDescent="0.3">
      <c r="A546" t="s">
        <v>631</v>
      </c>
      <c r="B546" t="s">
        <v>38</v>
      </c>
      <c r="C546" t="s">
        <v>17</v>
      </c>
      <c r="D546" t="s">
        <v>39</v>
      </c>
      <c r="E546" t="s">
        <v>44</v>
      </c>
      <c r="F546" s="1">
        <v>45843</v>
      </c>
      <c r="G546">
        <v>4</v>
      </c>
      <c r="H546">
        <v>17384.560000000001</v>
      </c>
      <c r="I546">
        <v>0</v>
      </c>
      <c r="J546" t="s">
        <v>36</v>
      </c>
      <c r="K546">
        <v>0</v>
      </c>
      <c r="L546">
        <v>69538.240000000005</v>
      </c>
      <c r="M546">
        <v>69538.240000000005</v>
      </c>
      <c r="N546" t="s">
        <v>122</v>
      </c>
      <c r="O546">
        <v>2025</v>
      </c>
    </row>
    <row r="547" spans="1:15" x14ac:dyDescent="0.3">
      <c r="A547" t="s">
        <v>632</v>
      </c>
      <c r="B547" t="s">
        <v>38</v>
      </c>
      <c r="C547" t="s">
        <v>17</v>
      </c>
      <c r="D547" t="s">
        <v>18</v>
      </c>
      <c r="E547" t="s">
        <v>81</v>
      </c>
      <c r="F547" s="1">
        <v>45887</v>
      </c>
      <c r="G547">
        <v>10</v>
      </c>
      <c r="H547">
        <v>65083.44</v>
      </c>
      <c r="I547">
        <v>20</v>
      </c>
      <c r="J547" t="s">
        <v>26</v>
      </c>
      <c r="K547">
        <v>130166.88</v>
      </c>
      <c r="L547">
        <v>650834.4</v>
      </c>
      <c r="M547">
        <v>520667.52</v>
      </c>
      <c r="N547" t="s">
        <v>21</v>
      </c>
      <c r="O547">
        <v>2025</v>
      </c>
    </row>
    <row r="548" spans="1:15" x14ac:dyDescent="0.3">
      <c r="A548" t="s">
        <v>633</v>
      </c>
      <c r="B548" t="s">
        <v>65</v>
      </c>
      <c r="C548" t="s">
        <v>34</v>
      </c>
      <c r="D548" t="s">
        <v>80</v>
      </c>
      <c r="E548" t="s">
        <v>19</v>
      </c>
      <c r="F548" s="1">
        <v>45961</v>
      </c>
      <c r="G548">
        <v>3</v>
      </c>
      <c r="H548">
        <v>6543.6</v>
      </c>
      <c r="I548">
        <v>5</v>
      </c>
      <c r="J548" t="s">
        <v>71</v>
      </c>
      <c r="K548">
        <v>981.54</v>
      </c>
      <c r="L548">
        <v>19630.8</v>
      </c>
      <c r="M548">
        <v>18649.259999999998</v>
      </c>
      <c r="N548" t="s">
        <v>57</v>
      </c>
      <c r="O548">
        <v>2025</v>
      </c>
    </row>
    <row r="549" spans="1:15" x14ac:dyDescent="0.3">
      <c r="A549" t="s">
        <v>634</v>
      </c>
      <c r="B549" t="s">
        <v>53</v>
      </c>
      <c r="C549" t="s">
        <v>54</v>
      </c>
      <c r="D549" t="s">
        <v>137</v>
      </c>
      <c r="E549" t="s">
        <v>56</v>
      </c>
      <c r="F549" s="1">
        <v>45698</v>
      </c>
      <c r="G549">
        <v>6</v>
      </c>
      <c r="H549">
        <v>922.99</v>
      </c>
      <c r="I549">
        <v>5</v>
      </c>
      <c r="J549" t="s">
        <v>82</v>
      </c>
      <c r="K549">
        <v>276.89999999999998</v>
      </c>
      <c r="L549">
        <v>5537.94</v>
      </c>
      <c r="M549">
        <v>5261.04</v>
      </c>
      <c r="N549" t="s">
        <v>41</v>
      </c>
      <c r="O549">
        <v>2025</v>
      </c>
    </row>
    <row r="550" spans="1:15" x14ac:dyDescent="0.3">
      <c r="A550" t="s">
        <v>635</v>
      </c>
      <c r="B550" t="s">
        <v>74</v>
      </c>
      <c r="C550" t="s">
        <v>54</v>
      </c>
      <c r="D550" t="s">
        <v>55</v>
      </c>
      <c r="E550" t="s">
        <v>81</v>
      </c>
      <c r="F550" s="1">
        <v>45748</v>
      </c>
      <c r="G550">
        <v>3</v>
      </c>
      <c r="H550">
        <v>1133.74</v>
      </c>
      <c r="I550">
        <v>20</v>
      </c>
      <c r="J550" t="s">
        <v>36</v>
      </c>
      <c r="K550">
        <v>680.24</v>
      </c>
      <c r="L550">
        <v>3401.22</v>
      </c>
      <c r="M550">
        <v>2720.98</v>
      </c>
      <c r="N550" t="s">
        <v>27</v>
      </c>
      <c r="O550">
        <v>2025</v>
      </c>
    </row>
    <row r="551" spans="1:15" x14ac:dyDescent="0.3">
      <c r="A551" t="s">
        <v>636</v>
      </c>
      <c r="B551" t="s">
        <v>33</v>
      </c>
      <c r="C551" t="s">
        <v>34</v>
      </c>
      <c r="D551" t="s">
        <v>35</v>
      </c>
      <c r="E551" t="s">
        <v>25</v>
      </c>
      <c r="F551" s="1">
        <v>45791</v>
      </c>
      <c r="G551">
        <v>4</v>
      </c>
      <c r="H551">
        <v>22892.880000000001</v>
      </c>
      <c r="I551">
        <v>10</v>
      </c>
      <c r="J551" t="s">
        <v>20</v>
      </c>
      <c r="K551">
        <v>9157.15</v>
      </c>
      <c r="L551">
        <v>91571.520000000004</v>
      </c>
      <c r="M551">
        <v>82414.37</v>
      </c>
      <c r="N551" t="s">
        <v>101</v>
      </c>
      <c r="O551">
        <v>2025</v>
      </c>
    </row>
    <row r="552" spans="1:15" x14ac:dyDescent="0.3">
      <c r="A552" t="s">
        <v>637</v>
      </c>
      <c r="B552" t="s">
        <v>61</v>
      </c>
      <c r="C552" t="s">
        <v>34</v>
      </c>
      <c r="D552" t="s">
        <v>80</v>
      </c>
      <c r="E552" t="s">
        <v>50</v>
      </c>
      <c r="F552" s="1">
        <v>45689</v>
      </c>
      <c r="G552">
        <v>8</v>
      </c>
      <c r="H552">
        <v>6776.85</v>
      </c>
      <c r="I552">
        <v>0</v>
      </c>
      <c r="J552" t="s">
        <v>45</v>
      </c>
      <c r="K552">
        <v>0</v>
      </c>
      <c r="L552">
        <v>54214.8</v>
      </c>
      <c r="M552">
        <v>54214.8</v>
      </c>
      <c r="N552" t="s">
        <v>41</v>
      </c>
      <c r="O552">
        <v>2025</v>
      </c>
    </row>
    <row r="553" spans="1:15" x14ac:dyDescent="0.3">
      <c r="A553" t="s">
        <v>638</v>
      </c>
      <c r="B553" t="s">
        <v>47</v>
      </c>
      <c r="C553" t="s">
        <v>17</v>
      </c>
      <c r="D553" t="s">
        <v>39</v>
      </c>
      <c r="E553" t="s">
        <v>30</v>
      </c>
      <c r="F553" s="1">
        <v>45561</v>
      </c>
      <c r="G553">
        <v>10</v>
      </c>
      <c r="H553">
        <v>18649.580000000002</v>
      </c>
      <c r="I553">
        <v>5</v>
      </c>
      <c r="J553" t="s">
        <v>40</v>
      </c>
      <c r="K553">
        <v>9324.7900000000009</v>
      </c>
      <c r="L553">
        <v>186495.8</v>
      </c>
      <c r="M553">
        <v>177171.01</v>
      </c>
      <c r="N553" t="s">
        <v>86</v>
      </c>
      <c r="O553">
        <v>2024</v>
      </c>
    </row>
    <row r="554" spans="1:15" x14ac:dyDescent="0.3">
      <c r="A554" t="s">
        <v>639</v>
      </c>
      <c r="B554" t="s">
        <v>33</v>
      </c>
      <c r="C554" t="s">
        <v>90</v>
      </c>
      <c r="D554" t="s">
        <v>152</v>
      </c>
      <c r="E554" t="s">
        <v>81</v>
      </c>
      <c r="F554" s="1">
        <v>45821</v>
      </c>
      <c r="G554">
        <v>5</v>
      </c>
      <c r="H554">
        <v>9940.82</v>
      </c>
      <c r="I554">
        <v>5</v>
      </c>
      <c r="J554" t="s">
        <v>82</v>
      </c>
      <c r="K554">
        <v>2485.1999999999998</v>
      </c>
      <c r="L554">
        <v>49704.1</v>
      </c>
      <c r="M554">
        <v>47218.9</v>
      </c>
      <c r="N554" t="s">
        <v>72</v>
      </c>
      <c r="O554">
        <v>2025</v>
      </c>
    </row>
    <row r="555" spans="1:15" x14ac:dyDescent="0.3">
      <c r="A555" t="s">
        <v>640</v>
      </c>
      <c r="B555" t="s">
        <v>33</v>
      </c>
      <c r="C555" t="s">
        <v>54</v>
      </c>
      <c r="D555" t="s">
        <v>68</v>
      </c>
      <c r="E555" t="s">
        <v>44</v>
      </c>
      <c r="F555" s="1">
        <v>45790</v>
      </c>
      <c r="G555">
        <v>8</v>
      </c>
      <c r="H555">
        <v>5048.07</v>
      </c>
      <c r="I555">
        <v>0</v>
      </c>
      <c r="J555" t="s">
        <v>45</v>
      </c>
      <c r="K555">
        <v>0</v>
      </c>
      <c r="L555">
        <v>40384.559999999998</v>
      </c>
      <c r="M555">
        <v>40384.559999999998</v>
      </c>
      <c r="N555" t="s">
        <v>101</v>
      </c>
      <c r="O555">
        <v>2025</v>
      </c>
    </row>
    <row r="556" spans="1:15" x14ac:dyDescent="0.3">
      <c r="A556" t="s">
        <v>641</v>
      </c>
      <c r="B556" t="s">
        <v>89</v>
      </c>
      <c r="C556" t="s">
        <v>54</v>
      </c>
      <c r="D556" t="s">
        <v>55</v>
      </c>
      <c r="E556" t="s">
        <v>50</v>
      </c>
      <c r="F556" s="1">
        <v>45370</v>
      </c>
      <c r="G556">
        <v>9</v>
      </c>
      <c r="H556">
        <v>1273.04</v>
      </c>
      <c r="I556">
        <v>5</v>
      </c>
      <c r="J556" t="s">
        <v>20</v>
      </c>
      <c r="K556">
        <v>572.87</v>
      </c>
      <c r="L556">
        <v>11457.36</v>
      </c>
      <c r="M556">
        <v>10884.49</v>
      </c>
      <c r="N556" t="s">
        <v>83</v>
      </c>
      <c r="O556">
        <v>2024</v>
      </c>
    </row>
    <row r="557" spans="1:15" x14ac:dyDescent="0.3">
      <c r="A557" t="s">
        <v>642</v>
      </c>
      <c r="B557" t="s">
        <v>53</v>
      </c>
      <c r="C557" t="s">
        <v>34</v>
      </c>
      <c r="D557" t="s">
        <v>85</v>
      </c>
      <c r="E557" t="s">
        <v>19</v>
      </c>
      <c r="F557" s="1">
        <v>45968</v>
      </c>
      <c r="G557">
        <v>4</v>
      </c>
      <c r="H557">
        <v>13248.23</v>
      </c>
      <c r="I557">
        <v>10</v>
      </c>
      <c r="J557" t="s">
        <v>82</v>
      </c>
      <c r="K557">
        <v>5299.29</v>
      </c>
      <c r="L557">
        <v>52992.92</v>
      </c>
      <c r="M557">
        <v>47693.63</v>
      </c>
      <c r="N557" t="s">
        <v>96</v>
      </c>
      <c r="O557">
        <v>2025</v>
      </c>
    </row>
    <row r="558" spans="1:15" x14ac:dyDescent="0.3">
      <c r="A558" t="s">
        <v>643</v>
      </c>
      <c r="B558" t="s">
        <v>61</v>
      </c>
      <c r="C558" t="s">
        <v>17</v>
      </c>
      <c r="D558" t="s">
        <v>157</v>
      </c>
      <c r="E558" t="s">
        <v>56</v>
      </c>
      <c r="F558" s="1">
        <v>45507</v>
      </c>
      <c r="G558">
        <v>10</v>
      </c>
      <c r="H558">
        <v>6582.18</v>
      </c>
      <c r="I558">
        <v>15</v>
      </c>
      <c r="J558" t="s">
        <v>71</v>
      </c>
      <c r="K558">
        <v>9873.27</v>
      </c>
      <c r="L558">
        <v>65821.8</v>
      </c>
      <c r="M558">
        <v>55948.53</v>
      </c>
      <c r="N558" t="s">
        <v>21</v>
      </c>
      <c r="O558">
        <v>2024</v>
      </c>
    </row>
    <row r="559" spans="1:15" x14ac:dyDescent="0.3">
      <c r="A559" t="s">
        <v>644</v>
      </c>
      <c r="B559" t="s">
        <v>109</v>
      </c>
      <c r="C559" t="s">
        <v>17</v>
      </c>
      <c r="D559" t="s">
        <v>59</v>
      </c>
      <c r="E559" t="s">
        <v>50</v>
      </c>
      <c r="F559" s="1">
        <v>45429</v>
      </c>
      <c r="G559">
        <v>9</v>
      </c>
      <c r="H559">
        <v>22744.94</v>
      </c>
      <c r="I559">
        <v>20</v>
      </c>
      <c r="J559" t="s">
        <v>36</v>
      </c>
      <c r="K559">
        <v>40940.89</v>
      </c>
      <c r="L559">
        <v>204704.46</v>
      </c>
      <c r="M559">
        <v>163763.57</v>
      </c>
      <c r="N559" t="s">
        <v>101</v>
      </c>
      <c r="O559">
        <v>2024</v>
      </c>
    </row>
    <row r="560" spans="1:15" x14ac:dyDescent="0.3">
      <c r="A560" t="s">
        <v>645</v>
      </c>
      <c r="B560" t="s">
        <v>53</v>
      </c>
      <c r="C560" t="s">
        <v>34</v>
      </c>
      <c r="D560" t="s">
        <v>80</v>
      </c>
      <c r="E560" t="s">
        <v>19</v>
      </c>
      <c r="F560" s="1">
        <v>45821</v>
      </c>
      <c r="G560">
        <v>7</v>
      </c>
      <c r="H560">
        <v>6299.04</v>
      </c>
      <c r="I560">
        <v>20</v>
      </c>
      <c r="J560" t="s">
        <v>36</v>
      </c>
      <c r="K560">
        <v>8818.66</v>
      </c>
      <c r="L560">
        <v>44093.279999999999</v>
      </c>
      <c r="M560">
        <v>35274.620000000003</v>
      </c>
      <c r="N560" t="s">
        <v>72</v>
      </c>
      <c r="O560">
        <v>2025</v>
      </c>
    </row>
    <row r="561" spans="1:15" x14ac:dyDescent="0.3">
      <c r="A561" t="s">
        <v>646</v>
      </c>
      <c r="B561" t="s">
        <v>47</v>
      </c>
      <c r="C561" t="s">
        <v>17</v>
      </c>
      <c r="D561" t="s">
        <v>39</v>
      </c>
      <c r="E561" t="s">
        <v>50</v>
      </c>
      <c r="F561" s="1">
        <v>45913</v>
      </c>
      <c r="G561">
        <v>8</v>
      </c>
      <c r="H561">
        <v>20102.86</v>
      </c>
      <c r="I561">
        <v>5</v>
      </c>
      <c r="J561" t="s">
        <v>71</v>
      </c>
      <c r="K561">
        <v>8041.14</v>
      </c>
      <c r="L561">
        <v>160822.88</v>
      </c>
      <c r="M561">
        <v>152781.74</v>
      </c>
      <c r="N561" t="s">
        <v>86</v>
      </c>
      <c r="O561">
        <v>2025</v>
      </c>
    </row>
    <row r="562" spans="1:15" x14ac:dyDescent="0.3">
      <c r="A562" t="s">
        <v>647</v>
      </c>
      <c r="B562" t="s">
        <v>93</v>
      </c>
      <c r="C562" t="s">
        <v>34</v>
      </c>
      <c r="D562" t="s">
        <v>35</v>
      </c>
      <c r="E562" t="s">
        <v>50</v>
      </c>
      <c r="F562" s="1">
        <v>45930</v>
      </c>
      <c r="G562">
        <v>9</v>
      </c>
      <c r="H562">
        <v>24153.25</v>
      </c>
      <c r="I562">
        <v>10</v>
      </c>
      <c r="J562" t="s">
        <v>36</v>
      </c>
      <c r="K562">
        <v>21737.93</v>
      </c>
      <c r="L562">
        <v>217379.25</v>
      </c>
      <c r="M562">
        <v>195641.32</v>
      </c>
      <c r="N562" t="s">
        <v>86</v>
      </c>
      <c r="O562">
        <v>2025</v>
      </c>
    </row>
    <row r="563" spans="1:15" x14ac:dyDescent="0.3">
      <c r="A563" t="s">
        <v>648</v>
      </c>
      <c r="B563" t="s">
        <v>93</v>
      </c>
      <c r="C563" t="s">
        <v>90</v>
      </c>
      <c r="D563" t="s">
        <v>91</v>
      </c>
      <c r="E563" t="s">
        <v>25</v>
      </c>
      <c r="F563" s="1">
        <v>45679</v>
      </c>
      <c r="G563">
        <v>7</v>
      </c>
      <c r="H563">
        <v>1399.58</v>
      </c>
      <c r="I563">
        <v>0</v>
      </c>
      <c r="J563" t="s">
        <v>20</v>
      </c>
      <c r="K563">
        <v>0</v>
      </c>
      <c r="L563">
        <v>9797.06</v>
      </c>
      <c r="M563">
        <v>9797.06</v>
      </c>
      <c r="N563" t="s">
        <v>116</v>
      </c>
      <c r="O563">
        <v>2025</v>
      </c>
    </row>
    <row r="564" spans="1:15" x14ac:dyDescent="0.3">
      <c r="A564" t="s">
        <v>649</v>
      </c>
      <c r="B564" t="s">
        <v>38</v>
      </c>
      <c r="C564" t="s">
        <v>34</v>
      </c>
      <c r="D564" t="s">
        <v>66</v>
      </c>
      <c r="E564" t="s">
        <v>81</v>
      </c>
      <c r="F564" s="1">
        <v>45445</v>
      </c>
      <c r="G564">
        <v>10</v>
      </c>
      <c r="H564">
        <v>36962.99</v>
      </c>
      <c r="I564">
        <v>15</v>
      </c>
      <c r="J564" t="s">
        <v>31</v>
      </c>
      <c r="K564">
        <v>55444.49</v>
      </c>
      <c r="L564">
        <v>369629.9</v>
      </c>
      <c r="M564">
        <v>314185.40999999997</v>
      </c>
      <c r="N564" t="s">
        <v>72</v>
      </c>
      <c r="O564">
        <v>2024</v>
      </c>
    </row>
    <row r="565" spans="1:15" x14ac:dyDescent="0.3">
      <c r="A565" t="s">
        <v>650</v>
      </c>
      <c r="B565" t="s">
        <v>109</v>
      </c>
      <c r="C565" t="s">
        <v>54</v>
      </c>
      <c r="D565" t="s">
        <v>77</v>
      </c>
      <c r="E565" t="s">
        <v>44</v>
      </c>
      <c r="F565" s="1">
        <v>45387</v>
      </c>
      <c r="G565">
        <v>8</v>
      </c>
      <c r="H565">
        <v>5324.24</v>
      </c>
      <c r="I565">
        <v>20</v>
      </c>
      <c r="J565" t="s">
        <v>82</v>
      </c>
      <c r="K565">
        <v>8518.7800000000007</v>
      </c>
      <c r="L565">
        <v>42593.919999999998</v>
      </c>
      <c r="M565">
        <v>34075.14</v>
      </c>
      <c r="N565" t="s">
        <v>27</v>
      </c>
      <c r="O565">
        <v>2024</v>
      </c>
    </row>
    <row r="566" spans="1:15" x14ac:dyDescent="0.3">
      <c r="A566" t="s">
        <v>651</v>
      </c>
      <c r="B566" t="s">
        <v>114</v>
      </c>
      <c r="C566" t="s">
        <v>54</v>
      </c>
      <c r="D566" t="s">
        <v>70</v>
      </c>
      <c r="E566" t="s">
        <v>44</v>
      </c>
      <c r="F566" s="1">
        <v>45826</v>
      </c>
      <c r="G566">
        <v>7</v>
      </c>
      <c r="H566">
        <v>2481.4899999999998</v>
      </c>
      <c r="I566">
        <v>0</v>
      </c>
      <c r="J566" t="s">
        <v>31</v>
      </c>
      <c r="K566">
        <v>0</v>
      </c>
      <c r="L566">
        <v>17370.43</v>
      </c>
      <c r="M566">
        <v>17370.43</v>
      </c>
      <c r="N566" t="s">
        <v>72</v>
      </c>
      <c r="O566">
        <v>2025</v>
      </c>
    </row>
    <row r="567" spans="1:15" x14ac:dyDescent="0.3">
      <c r="A567" t="s">
        <v>652</v>
      </c>
      <c r="B567" t="s">
        <v>29</v>
      </c>
      <c r="C567" t="s">
        <v>54</v>
      </c>
      <c r="D567" t="s">
        <v>68</v>
      </c>
      <c r="E567" t="s">
        <v>44</v>
      </c>
      <c r="F567" s="1">
        <v>45682</v>
      </c>
      <c r="G567">
        <v>6</v>
      </c>
      <c r="H567">
        <v>4712.68</v>
      </c>
      <c r="I567">
        <v>20</v>
      </c>
      <c r="J567" t="s">
        <v>71</v>
      </c>
      <c r="K567">
        <v>5655.22</v>
      </c>
      <c r="L567">
        <v>28276.080000000002</v>
      </c>
      <c r="M567">
        <v>22620.86</v>
      </c>
      <c r="N567" t="s">
        <v>116</v>
      </c>
      <c r="O567">
        <v>2025</v>
      </c>
    </row>
    <row r="568" spans="1:15" x14ac:dyDescent="0.3">
      <c r="A568" t="s">
        <v>653</v>
      </c>
      <c r="B568" t="s">
        <v>53</v>
      </c>
      <c r="C568" t="s">
        <v>17</v>
      </c>
      <c r="D568" t="s">
        <v>157</v>
      </c>
      <c r="E568" t="s">
        <v>19</v>
      </c>
      <c r="F568" s="1">
        <v>45530</v>
      </c>
      <c r="G568">
        <v>2</v>
      </c>
      <c r="H568">
        <v>6795.72</v>
      </c>
      <c r="I568">
        <v>20</v>
      </c>
      <c r="J568" t="s">
        <v>71</v>
      </c>
      <c r="K568">
        <v>2718.29</v>
      </c>
      <c r="L568">
        <v>13591.44</v>
      </c>
      <c r="M568">
        <v>10873.15</v>
      </c>
      <c r="N568" t="s">
        <v>21</v>
      </c>
      <c r="O568">
        <v>2024</v>
      </c>
    </row>
    <row r="569" spans="1:15" x14ac:dyDescent="0.3">
      <c r="A569" t="s">
        <v>654</v>
      </c>
      <c r="B569" t="s">
        <v>29</v>
      </c>
      <c r="C569" t="s">
        <v>90</v>
      </c>
      <c r="D569" t="s">
        <v>115</v>
      </c>
      <c r="E569" t="s">
        <v>25</v>
      </c>
      <c r="F569" s="1">
        <v>45883</v>
      </c>
      <c r="G569">
        <v>9</v>
      </c>
      <c r="H569">
        <v>7435.66</v>
      </c>
      <c r="I569">
        <v>0</v>
      </c>
      <c r="J569" t="s">
        <v>26</v>
      </c>
      <c r="K569">
        <v>0</v>
      </c>
      <c r="L569">
        <v>66920.94</v>
      </c>
      <c r="M569">
        <v>66920.94</v>
      </c>
      <c r="N569" t="s">
        <v>21</v>
      </c>
      <c r="O569">
        <v>2025</v>
      </c>
    </row>
    <row r="570" spans="1:15" x14ac:dyDescent="0.3">
      <c r="A570" t="s">
        <v>655</v>
      </c>
      <c r="B570" t="s">
        <v>16</v>
      </c>
      <c r="C570" t="s">
        <v>90</v>
      </c>
      <c r="D570" t="s">
        <v>107</v>
      </c>
      <c r="E570" t="s">
        <v>44</v>
      </c>
      <c r="F570" s="1">
        <v>45710</v>
      </c>
      <c r="G570">
        <v>6</v>
      </c>
      <c r="H570">
        <v>11119.75</v>
      </c>
      <c r="I570">
        <v>15</v>
      </c>
      <c r="J570" t="s">
        <v>45</v>
      </c>
      <c r="K570">
        <v>10007.77</v>
      </c>
      <c r="L570">
        <v>66718.5</v>
      </c>
      <c r="M570">
        <v>56710.73</v>
      </c>
      <c r="N570" t="s">
        <v>41</v>
      </c>
      <c r="O570">
        <v>2025</v>
      </c>
    </row>
    <row r="571" spans="1:15" x14ac:dyDescent="0.3">
      <c r="A571" t="s">
        <v>656</v>
      </c>
      <c r="B571" t="s">
        <v>43</v>
      </c>
      <c r="C571" t="s">
        <v>54</v>
      </c>
      <c r="D571" t="s">
        <v>137</v>
      </c>
      <c r="E571" t="s">
        <v>44</v>
      </c>
      <c r="F571" s="1">
        <v>45870</v>
      </c>
      <c r="G571">
        <v>6</v>
      </c>
      <c r="H571">
        <v>947.67</v>
      </c>
      <c r="I571">
        <v>15</v>
      </c>
      <c r="J571" t="s">
        <v>31</v>
      </c>
      <c r="K571">
        <v>852.9</v>
      </c>
      <c r="L571">
        <v>5686.02</v>
      </c>
      <c r="M571">
        <v>4833.12</v>
      </c>
      <c r="N571" t="s">
        <v>21</v>
      </c>
      <c r="O571">
        <v>2025</v>
      </c>
    </row>
    <row r="572" spans="1:15" x14ac:dyDescent="0.3">
      <c r="A572" t="s">
        <v>657</v>
      </c>
      <c r="B572" t="s">
        <v>65</v>
      </c>
      <c r="C572" t="s">
        <v>34</v>
      </c>
      <c r="D572" t="s">
        <v>35</v>
      </c>
      <c r="E572" t="s">
        <v>44</v>
      </c>
      <c r="F572" s="1">
        <v>45475</v>
      </c>
      <c r="G572">
        <v>6</v>
      </c>
      <c r="H572">
        <v>25994.34</v>
      </c>
      <c r="I572">
        <v>15</v>
      </c>
      <c r="J572" t="s">
        <v>71</v>
      </c>
      <c r="K572">
        <v>23394.91</v>
      </c>
      <c r="L572">
        <v>155966.04</v>
      </c>
      <c r="M572">
        <v>132571.13</v>
      </c>
      <c r="N572" t="s">
        <v>122</v>
      </c>
      <c r="O572">
        <v>2024</v>
      </c>
    </row>
    <row r="573" spans="1:15" x14ac:dyDescent="0.3">
      <c r="A573" t="s">
        <v>658</v>
      </c>
      <c r="B573" t="s">
        <v>93</v>
      </c>
      <c r="C573" t="s">
        <v>62</v>
      </c>
      <c r="D573" t="s">
        <v>119</v>
      </c>
      <c r="E573" t="s">
        <v>19</v>
      </c>
      <c r="F573" s="1">
        <v>45433</v>
      </c>
      <c r="G573">
        <v>2</v>
      </c>
      <c r="H573">
        <v>3804.34</v>
      </c>
      <c r="I573">
        <v>15</v>
      </c>
      <c r="J573" t="s">
        <v>31</v>
      </c>
      <c r="K573">
        <v>1141.3</v>
      </c>
      <c r="L573">
        <v>7608.68</v>
      </c>
      <c r="M573">
        <v>6467.38</v>
      </c>
      <c r="N573" t="s">
        <v>101</v>
      </c>
      <c r="O573">
        <v>2024</v>
      </c>
    </row>
    <row r="574" spans="1:15" x14ac:dyDescent="0.3">
      <c r="A574" t="s">
        <v>659</v>
      </c>
      <c r="B574" t="s">
        <v>29</v>
      </c>
      <c r="C574" t="s">
        <v>34</v>
      </c>
      <c r="D574" t="s">
        <v>80</v>
      </c>
      <c r="E574" t="s">
        <v>81</v>
      </c>
      <c r="F574" s="1">
        <v>45638</v>
      </c>
      <c r="G574">
        <v>9</v>
      </c>
      <c r="H574">
        <v>6953.14</v>
      </c>
      <c r="I574">
        <v>0</v>
      </c>
      <c r="J574" t="s">
        <v>31</v>
      </c>
      <c r="K574">
        <v>0</v>
      </c>
      <c r="L574">
        <v>62578.26</v>
      </c>
      <c r="M574">
        <v>62578.26</v>
      </c>
      <c r="N574" t="s">
        <v>51</v>
      </c>
      <c r="O574">
        <v>2024</v>
      </c>
    </row>
    <row r="575" spans="1:15" x14ac:dyDescent="0.3">
      <c r="A575" t="s">
        <v>660</v>
      </c>
      <c r="B575" t="s">
        <v>61</v>
      </c>
      <c r="C575" t="s">
        <v>34</v>
      </c>
      <c r="D575" t="s">
        <v>35</v>
      </c>
      <c r="E575" t="s">
        <v>25</v>
      </c>
      <c r="F575" s="1">
        <v>45440</v>
      </c>
      <c r="G575">
        <v>8</v>
      </c>
      <c r="H575">
        <v>28286.639999999999</v>
      </c>
      <c r="I575">
        <v>15</v>
      </c>
      <c r="J575" t="s">
        <v>82</v>
      </c>
      <c r="K575">
        <v>33943.97</v>
      </c>
      <c r="L575">
        <v>226293.12</v>
      </c>
      <c r="M575">
        <v>192349.15</v>
      </c>
      <c r="N575" t="s">
        <v>101</v>
      </c>
      <c r="O575">
        <v>2024</v>
      </c>
    </row>
    <row r="576" spans="1:15" x14ac:dyDescent="0.3">
      <c r="A576" t="s">
        <v>661</v>
      </c>
      <c r="B576" t="s">
        <v>43</v>
      </c>
      <c r="C576" t="s">
        <v>17</v>
      </c>
      <c r="D576" t="s">
        <v>18</v>
      </c>
      <c r="E576" t="s">
        <v>50</v>
      </c>
      <c r="F576" s="1">
        <v>45373</v>
      </c>
      <c r="G576">
        <v>10</v>
      </c>
      <c r="H576">
        <v>59113.52</v>
      </c>
      <c r="I576">
        <v>15</v>
      </c>
      <c r="J576" t="s">
        <v>45</v>
      </c>
      <c r="K576">
        <v>88670.28</v>
      </c>
      <c r="L576">
        <v>591135.19999999995</v>
      </c>
      <c r="M576">
        <v>502464.92</v>
      </c>
      <c r="N576" t="s">
        <v>83</v>
      </c>
      <c r="O576">
        <v>2024</v>
      </c>
    </row>
    <row r="577" spans="1:15" x14ac:dyDescent="0.3">
      <c r="A577" t="s">
        <v>662</v>
      </c>
      <c r="B577" t="s">
        <v>61</v>
      </c>
      <c r="C577" t="s">
        <v>90</v>
      </c>
      <c r="D577" t="s">
        <v>91</v>
      </c>
      <c r="E577" t="s">
        <v>81</v>
      </c>
      <c r="F577" s="1">
        <v>46020</v>
      </c>
      <c r="G577">
        <v>10</v>
      </c>
      <c r="H577">
        <v>1508.7</v>
      </c>
      <c r="I577">
        <v>5</v>
      </c>
      <c r="J577" t="s">
        <v>40</v>
      </c>
      <c r="K577">
        <v>754.35</v>
      </c>
      <c r="L577">
        <v>15087</v>
      </c>
      <c r="M577">
        <v>14332.65</v>
      </c>
      <c r="N577" t="s">
        <v>51</v>
      </c>
      <c r="O577">
        <v>2025</v>
      </c>
    </row>
    <row r="578" spans="1:15" x14ac:dyDescent="0.3">
      <c r="A578" t="s">
        <v>663</v>
      </c>
      <c r="B578" t="s">
        <v>109</v>
      </c>
      <c r="C578" t="s">
        <v>90</v>
      </c>
      <c r="D578" t="s">
        <v>152</v>
      </c>
      <c r="E578" t="s">
        <v>50</v>
      </c>
      <c r="F578" s="1">
        <v>45491</v>
      </c>
      <c r="G578">
        <v>1</v>
      </c>
      <c r="H578">
        <v>10959.9</v>
      </c>
      <c r="I578">
        <v>20</v>
      </c>
      <c r="J578" t="s">
        <v>40</v>
      </c>
      <c r="K578">
        <v>2191.98</v>
      </c>
      <c r="L578">
        <v>10959.9</v>
      </c>
      <c r="M578">
        <v>8767.92</v>
      </c>
      <c r="N578" t="s">
        <v>122</v>
      </c>
      <c r="O578">
        <v>2024</v>
      </c>
    </row>
    <row r="579" spans="1:15" x14ac:dyDescent="0.3">
      <c r="A579" t="s">
        <v>664</v>
      </c>
      <c r="B579" t="s">
        <v>93</v>
      </c>
      <c r="C579" t="s">
        <v>54</v>
      </c>
      <c r="D579" t="s">
        <v>55</v>
      </c>
      <c r="E579" t="s">
        <v>50</v>
      </c>
      <c r="F579" s="1">
        <v>45660</v>
      </c>
      <c r="G579">
        <v>4</v>
      </c>
      <c r="H579">
        <v>1276.51</v>
      </c>
      <c r="I579">
        <v>5</v>
      </c>
      <c r="J579" t="s">
        <v>26</v>
      </c>
      <c r="K579">
        <v>255.3</v>
      </c>
      <c r="L579">
        <v>5106.04</v>
      </c>
      <c r="M579">
        <v>4850.74</v>
      </c>
      <c r="N579" t="s">
        <v>116</v>
      </c>
      <c r="O579">
        <v>2025</v>
      </c>
    </row>
    <row r="580" spans="1:15" x14ac:dyDescent="0.3">
      <c r="A580" t="s">
        <v>665</v>
      </c>
      <c r="B580" t="s">
        <v>74</v>
      </c>
      <c r="C580" t="s">
        <v>17</v>
      </c>
      <c r="D580" t="s">
        <v>39</v>
      </c>
      <c r="E580" t="s">
        <v>56</v>
      </c>
      <c r="F580" s="1">
        <v>45977</v>
      </c>
      <c r="G580">
        <v>7</v>
      </c>
      <c r="H580">
        <v>19826.98</v>
      </c>
      <c r="I580">
        <v>5</v>
      </c>
      <c r="J580" t="s">
        <v>45</v>
      </c>
      <c r="K580">
        <v>6939.44</v>
      </c>
      <c r="L580">
        <v>138788.85999999999</v>
      </c>
      <c r="M580">
        <v>131849.42000000001</v>
      </c>
      <c r="N580" t="s">
        <v>96</v>
      </c>
      <c r="O580">
        <v>2025</v>
      </c>
    </row>
    <row r="581" spans="1:15" x14ac:dyDescent="0.3">
      <c r="A581" t="s">
        <v>666</v>
      </c>
      <c r="B581" t="s">
        <v>16</v>
      </c>
      <c r="C581" t="s">
        <v>54</v>
      </c>
      <c r="D581" t="s">
        <v>70</v>
      </c>
      <c r="E581" t="s">
        <v>30</v>
      </c>
      <c r="F581" s="1">
        <v>45384</v>
      </c>
      <c r="G581">
        <v>9</v>
      </c>
      <c r="H581">
        <v>2427.81</v>
      </c>
      <c r="I581">
        <v>20</v>
      </c>
      <c r="J581" t="s">
        <v>82</v>
      </c>
      <c r="K581">
        <v>4370.0600000000004</v>
      </c>
      <c r="L581">
        <v>21850.29</v>
      </c>
      <c r="M581">
        <v>17480.23</v>
      </c>
      <c r="N581" t="s">
        <v>27</v>
      </c>
      <c r="O581">
        <v>2024</v>
      </c>
    </row>
    <row r="582" spans="1:15" x14ac:dyDescent="0.3">
      <c r="A582" t="s">
        <v>667</v>
      </c>
      <c r="B582" t="s">
        <v>33</v>
      </c>
      <c r="C582" t="s">
        <v>54</v>
      </c>
      <c r="D582" t="s">
        <v>137</v>
      </c>
      <c r="E582" t="s">
        <v>44</v>
      </c>
      <c r="F582" s="1">
        <v>45523</v>
      </c>
      <c r="G582">
        <v>10</v>
      </c>
      <c r="H582">
        <v>1026.69</v>
      </c>
      <c r="I582">
        <v>15</v>
      </c>
      <c r="J582" t="s">
        <v>40</v>
      </c>
      <c r="K582">
        <v>1540.03</v>
      </c>
      <c r="L582">
        <v>10266.9</v>
      </c>
      <c r="M582">
        <v>8726.8700000000008</v>
      </c>
      <c r="N582" t="s">
        <v>21</v>
      </c>
      <c r="O582">
        <v>2024</v>
      </c>
    </row>
    <row r="583" spans="1:15" x14ac:dyDescent="0.3">
      <c r="A583" t="s">
        <v>668</v>
      </c>
      <c r="B583" t="s">
        <v>109</v>
      </c>
      <c r="C583" t="s">
        <v>90</v>
      </c>
      <c r="D583" t="s">
        <v>91</v>
      </c>
      <c r="E583" t="s">
        <v>19</v>
      </c>
      <c r="F583" s="1">
        <v>45708</v>
      </c>
      <c r="G583">
        <v>9</v>
      </c>
      <c r="H583">
        <v>1389.92</v>
      </c>
      <c r="I583">
        <v>0</v>
      </c>
      <c r="J583" t="s">
        <v>36</v>
      </c>
      <c r="K583">
        <v>0</v>
      </c>
      <c r="L583">
        <v>12509.28</v>
      </c>
      <c r="M583">
        <v>12509.28</v>
      </c>
      <c r="N583" t="s">
        <v>41</v>
      </c>
      <c r="O583">
        <v>2025</v>
      </c>
    </row>
    <row r="584" spans="1:15" x14ac:dyDescent="0.3">
      <c r="A584" t="s">
        <v>669</v>
      </c>
      <c r="B584" t="s">
        <v>33</v>
      </c>
      <c r="C584" t="s">
        <v>54</v>
      </c>
      <c r="D584" t="s">
        <v>137</v>
      </c>
      <c r="E584" t="s">
        <v>25</v>
      </c>
      <c r="F584" s="1">
        <v>45842</v>
      </c>
      <c r="G584">
        <v>10</v>
      </c>
      <c r="H584">
        <v>866.28</v>
      </c>
      <c r="I584">
        <v>15</v>
      </c>
      <c r="J584" t="s">
        <v>40</v>
      </c>
      <c r="K584">
        <v>1299.42</v>
      </c>
      <c r="L584">
        <v>8662.7999999999993</v>
      </c>
      <c r="M584">
        <v>7363.38</v>
      </c>
      <c r="N584" t="s">
        <v>122</v>
      </c>
      <c r="O584">
        <v>2025</v>
      </c>
    </row>
    <row r="585" spans="1:15" x14ac:dyDescent="0.3">
      <c r="A585" t="s">
        <v>670</v>
      </c>
      <c r="B585" t="s">
        <v>89</v>
      </c>
      <c r="C585" t="s">
        <v>90</v>
      </c>
      <c r="D585" t="s">
        <v>91</v>
      </c>
      <c r="E585" t="s">
        <v>44</v>
      </c>
      <c r="F585" s="1">
        <v>45639</v>
      </c>
      <c r="G585">
        <v>8</v>
      </c>
      <c r="H585">
        <v>1766.16</v>
      </c>
      <c r="I585">
        <v>20</v>
      </c>
      <c r="J585" t="s">
        <v>20</v>
      </c>
      <c r="K585">
        <v>2825.86</v>
      </c>
      <c r="L585">
        <v>14129.28</v>
      </c>
      <c r="M585">
        <v>11303.42</v>
      </c>
      <c r="N585" t="s">
        <v>51</v>
      </c>
      <c r="O585">
        <v>2024</v>
      </c>
    </row>
    <row r="586" spans="1:15" x14ac:dyDescent="0.3">
      <c r="A586" t="s">
        <v>671</v>
      </c>
      <c r="B586" t="s">
        <v>47</v>
      </c>
      <c r="C586" t="s">
        <v>17</v>
      </c>
      <c r="D586" t="s">
        <v>157</v>
      </c>
      <c r="E586" t="s">
        <v>19</v>
      </c>
      <c r="F586" s="1">
        <v>45683</v>
      </c>
      <c r="G586">
        <v>4</v>
      </c>
      <c r="H586">
        <v>7484.6</v>
      </c>
      <c r="I586">
        <v>5</v>
      </c>
      <c r="J586" t="s">
        <v>82</v>
      </c>
      <c r="K586">
        <v>1496.92</v>
      </c>
      <c r="L586">
        <v>29938.400000000001</v>
      </c>
      <c r="M586">
        <v>28441.48</v>
      </c>
      <c r="N586" t="s">
        <v>116</v>
      </c>
      <c r="O586">
        <v>2025</v>
      </c>
    </row>
    <row r="587" spans="1:15" x14ac:dyDescent="0.3">
      <c r="A587" t="s">
        <v>672</v>
      </c>
      <c r="B587" t="s">
        <v>33</v>
      </c>
      <c r="C587" t="s">
        <v>62</v>
      </c>
      <c r="D587" t="s">
        <v>99</v>
      </c>
      <c r="E587" t="s">
        <v>81</v>
      </c>
      <c r="F587" s="1">
        <v>46009</v>
      </c>
      <c r="G587">
        <v>5</v>
      </c>
      <c r="H587">
        <v>1587.41</v>
      </c>
      <c r="I587">
        <v>0</v>
      </c>
      <c r="J587" t="s">
        <v>26</v>
      </c>
      <c r="K587">
        <v>0</v>
      </c>
      <c r="L587">
        <v>7937.05</v>
      </c>
      <c r="M587">
        <v>7937.05</v>
      </c>
      <c r="N587" t="s">
        <v>51</v>
      </c>
      <c r="O587">
        <v>2025</v>
      </c>
    </row>
    <row r="588" spans="1:15" x14ac:dyDescent="0.3">
      <c r="A588" t="s">
        <v>673</v>
      </c>
      <c r="B588" t="s">
        <v>47</v>
      </c>
      <c r="C588" t="s">
        <v>90</v>
      </c>
      <c r="D588" t="s">
        <v>115</v>
      </c>
      <c r="E588" t="s">
        <v>81</v>
      </c>
      <c r="F588" s="1">
        <v>45779</v>
      </c>
      <c r="G588">
        <v>6</v>
      </c>
      <c r="H588">
        <v>7907.08</v>
      </c>
      <c r="I588">
        <v>20</v>
      </c>
      <c r="J588" t="s">
        <v>36</v>
      </c>
      <c r="K588">
        <v>9488.5</v>
      </c>
      <c r="L588">
        <v>47442.48</v>
      </c>
      <c r="M588">
        <v>37953.980000000003</v>
      </c>
      <c r="N588" t="s">
        <v>101</v>
      </c>
      <c r="O588">
        <v>2025</v>
      </c>
    </row>
    <row r="589" spans="1:15" x14ac:dyDescent="0.3">
      <c r="A589" t="s">
        <v>674</v>
      </c>
      <c r="B589" t="s">
        <v>16</v>
      </c>
      <c r="C589" t="s">
        <v>62</v>
      </c>
      <c r="D589" t="s">
        <v>63</v>
      </c>
      <c r="E589" t="s">
        <v>30</v>
      </c>
      <c r="F589" s="1">
        <v>45802</v>
      </c>
      <c r="G589">
        <v>4</v>
      </c>
      <c r="H589">
        <v>1725.69</v>
      </c>
      <c r="I589">
        <v>5</v>
      </c>
      <c r="J589" t="s">
        <v>20</v>
      </c>
      <c r="K589">
        <v>345.14</v>
      </c>
      <c r="L589">
        <v>6902.76</v>
      </c>
      <c r="M589">
        <v>6557.62</v>
      </c>
      <c r="N589" t="s">
        <v>101</v>
      </c>
      <c r="O589">
        <v>2025</v>
      </c>
    </row>
    <row r="590" spans="1:15" x14ac:dyDescent="0.3">
      <c r="A590" t="s">
        <v>675</v>
      </c>
      <c r="B590" t="s">
        <v>29</v>
      </c>
      <c r="C590" t="s">
        <v>62</v>
      </c>
      <c r="D590" t="s">
        <v>63</v>
      </c>
      <c r="E590" t="s">
        <v>50</v>
      </c>
      <c r="F590" s="1">
        <v>45925</v>
      </c>
      <c r="G590">
        <v>6</v>
      </c>
      <c r="H590">
        <v>1690.2</v>
      </c>
      <c r="I590">
        <v>0</v>
      </c>
      <c r="J590" t="s">
        <v>20</v>
      </c>
      <c r="K590">
        <v>0</v>
      </c>
      <c r="L590">
        <v>10141.200000000001</v>
      </c>
      <c r="M590">
        <v>10141.200000000001</v>
      </c>
      <c r="N590" t="s">
        <v>86</v>
      </c>
      <c r="O590">
        <v>2025</v>
      </c>
    </row>
    <row r="591" spans="1:15" x14ac:dyDescent="0.3">
      <c r="A591" t="s">
        <v>676</v>
      </c>
      <c r="B591" t="s">
        <v>61</v>
      </c>
      <c r="C591" t="s">
        <v>17</v>
      </c>
      <c r="D591" t="s">
        <v>18</v>
      </c>
      <c r="E591" t="s">
        <v>30</v>
      </c>
      <c r="F591" s="1">
        <v>45920</v>
      </c>
      <c r="G591">
        <v>1</v>
      </c>
      <c r="H591">
        <v>70918.97</v>
      </c>
      <c r="I591">
        <v>20</v>
      </c>
      <c r="J591" t="s">
        <v>71</v>
      </c>
      <c r="K591">
        <v>14183.79</v>
      </c>
      <c r="L591">
        <v>70918.97</v>
      </c>
      <c r="M591">
        <v>56735.18</v>
      </c>
      <c r="N591" t="s">
        <v>86</v>
      </c>
      <c r="O591">
        <v>2025</v>
      </c>
    </row>
    <row r="592" spans="1:15" x14ac:dyDescent="0.3">
      <c r="A592" t="s">
        <v>677</v>
      </c>
      <c r="B592" t="s">
        <v>33</v>
      </c>
      <c r="C592" t="s">
        <v>17</v>
      </c>
      <c r="D592" t="s">
        <v>157</v>
      </c>
      <c r="E592" t="s">
        <v>81</v>
      </c>
      <c r="F592" s="1">
        <v>45796</v>
      </c>
      <c r="G592">
        <v>10</v>
      </c>
      <c r="H592">
        <v>7820.35</v>
      </c>
      <c r="I592">
        <v>15</v>
      </c>
      <c r="J592" t="s">
        <v>45</v>
      </c>
      <c r="K592">
        <v>11730.52</v>
      </c>
      <c r="L592">
        <v>78203.5</v>
      </c>
      <c r="M592">
        <v>66472.98</v>
      </c>
      <c r="N592" t="s">
        <v>101</v>
      </c>
      <c r="O592">
        <v>2025</v>
      </c>
    </row>
    <row r="593" spans="1:15" x14ac:dyDescent="0.3">
      <c r="A593" t="s">
        <v>678</v>
      </c>
      <c r="B593" t="s">
        <v>43</v>
      </c>
      <c r="C593" t="s">
        <v>34</v>
      </c>
      <c r="D593" t="s">
        <v>66</v>
      </c>
      <c r="E593" t="s">
        <v>56</v>
      </c>
      <c r="F593" s="1">
        <v>45882</v>
      </c>
      <c r="G593">
        <v>3</v>
      </c>
      <c r="H593">
        <v>36541.480000000003</v>
      </c>
      <c r="I593">
        <v>15</v>
      </c>
      <c r="J593" t="s">
        <v>20</v>
      </c>
      <c r="K593">
        <v>16443.669999999998</v>
      </c>
      <c r="L593">
        <v>109624.44</v>
      </c>
      <c r="M593">
        <v>93180.77</v>
      </c>
      <c r="N593" t="s">
        <v>21</v>
      </c>
      <c r="O593">
        <v>2025</v>
      </c>
    </row>
    <row r="594" spans="1:15" x14ac:dyDescent="0.3">
      <c r="A594" t="s">
        <v>679</v>
      </c>
      <c r="B594" t="s">
        <v>109</v>
      </c>
      <c r="C594" t="s">
        <v>90</v>
      </c>
      <c r="D594" t="s">
        <v>91</v>
      </c>
      <c r="E594" t="s">
        <v>81</v>
      </c>
      <c r="F594" s="1">
        <v>45695</v>
      </c>
      <c r="G594">
        <v>3</v>
      </c>
      <c r="H594">
        <v>1521.45</v>
      </c>
      <c r="I594">
        <v>0</v>
      </c>
      <c r="J594" t="s">
        <v>45</v>
      </c>
      <c r="K594">
        <v>0</v>
      </c>
      <c r="L594">
        <v>4564.3500000000004</v>
      </c>
      <c r="M594">
        <v>4564.3500000000004</v>
      </c>
      <c r="N594" t="s">
        <v>41</v>
      </c>
      <c r="O594">
        <v>2025</v>
      </c>
    </row>
    <row r="595" spans="1:15" x14ac:dyDescent="0.3">
      <c r="A595" t="s">
        <v>680</v>
      </c>
      <c r="B595" t="s">
        <v>33</v>
      </c>
      <c r="C595" t="s">
        <v>54</v>
      </c>
      <c r="D595" t="s">
        <v>68</v>
      </c>
      <c r="E595" t="s">
        <v>30</v>
      </c>
      <c r="F595" s="1">
        <v>45304</v>
      </c>
      <c r="G595">
        <v>4</v>
      </c>
      <c r="H595">
        <v>4476.8599999999997</v>
      </c>
      <c r="I595">
        <v>0</v>
      </c>
      <c r="J595" t="s">
        <v>26</v>
      </c>
      <c r="K595">
        <v>0</v>
      </c>
      <c r="L595">
        <v>17907.439999999999</v>
      </c>
      <c r="M595">
        <v>17907.439999999999</v>
      </c>
      <c r="N595" t="s">
        <v>116</v>
      </c>
      <c r="O595">
        <v>2024</v>
      </c>
    </row>
    <row r="596" spans="1:15" x14ac:dyDescent="0.3">
      <c r="A596" t="s">
        <v>681</v>
      </c>
      <c r="B596" t="s">
        <v>93</v>
      </c>
      <c r="C596" t="s">
        <v>62</v>
      </c>
      <c r="D596" t="s">
        <v>119</v>
      </c>
      <c r="E596" t="s">
        <v>44</v>
      </c>
      <c r="F596" s="1">
        <v>45483</v>
      </c>
      <c r="G596">
        <v>9</v>
      </c>
      <c r="H596">
        <v>3379.99</v>
      </c>
      <c r="I596">
        <v>10</v>
      </c>
      <c r="J596" t="s">
        <v>40</v>
      </c>
      <c r="K596">
        <v>3041.99</v>
      </c>
      <c r="L596">
        <v>30419.91</v>
      </c>
      <c r="M596">
        <v>27377.919999999998</v>
      </c>
      <c r="N596" t="s">
        <v>122</v>
      </c>
      <c r="O596">
        <v>2024</v>
      </c>
    </row>
    <row r="597" spans="1:15" x14ac:dyDescent="0.3">
      <c r="A597" t="s">
        <v>682</v>
      </c>
      <c r="B597" t="s">
        <v>33</v>
      </c>
      <c r="C597" t="s">
        <v>90</v>
      </c>
      <c r="D597" t="s">
        <v>91</v>
      </c>
      <c r="E597" t="s">
        <v>19</v>
      </c>
      <c r="F597" s="1">
        <v>45802</v>
      </c>
      <c r="G597">
        <v>7</v>
      </c>
      <c r="H597">
        <v>1428.95</v>
      </c>
      <c r="I597">
        <v>10</v>
      </c>
      <c r="J597" t="s">
        <v>36</v>
      </c>
      <c r="K597">
        <v>1000.26</v>
      </c>
      <c r="L597">
        <v>10002.65</v>
      </c>
      <c r="M597">
        <v>9002.39</v>
      </c>
      <c r="N597" t="s">
        <v>101</v>
      </c>
      <c r="O597">
        <v>2025</v>
      </c>
    </row>
    <row r="598" spans="1:15" x14ac:dyDescent="0.3">
      <c r="A598" t="s">
        <v>683</v>
      </c>
      <c r="B598" t="s">
        <v>43</v>
      </c>
      <c r="C598" t="s">
        <v>62</v>
      </c>
      <c r="D598" t="s">
        <v>99</v>
      </c>
      <c r="E598" t="s">
        <v>56</v>
      </c>
      <c r="F598" s="1">
        <v>45877</v>
      </c>
      <c r="G598">
        <v>3</v>
      </c>
      <c r="H598">
        <v>1717.23</v>
      </c>
      <c r="I598">
        <v>5</v>
      </c>
      <c r="J598" t="s">
        <v>36</v>
      </c>
      <c r="K598">
        <v>257.58</v>
      </c>
      <c r="L598">
        <v>5151.6899999999996</v>
      </c>
      <c r="M598">
        <v>4894.1099999999997</v>
      </c>
      <c r="N598" t="s">
        <v>21</v>
      </c>
      <c r="O598">
        <v>2025</v>
      </c>
    </row>
    <row r="599" spans="1:15" x14ac:dyDescent="0.3">
      <c r="A599" t="s">
        <v>684</v>
      </c>
      <c r="B599" t="s">
        <v>74</v>
      </c>
      <c r="C599" t="s">
        <v>17</v>
      </c>
      <c r="D599" t="s">
        <v>39</v>
      </c>
      <c r="E599" t="s">
        <v>50</v>
      </c>
      <c r="F599" s="1">
        <v>45682</v>
      </c>
      <c r="G599">
        <v>4</v>
      </c>
      <c r="H599">
        <v>16856.3</v>
      </c>
      <c r="I599">
        <v>5</v>
      </c>
      <c r="J599" t="s">
        <v>31</v>
      </c>
      <c r="K599">
        <v>3371.26</v>
      </c>
      <c r="L599">
        <v>67425.2</v>
      </c>
      <c r="M599">
        <v>64053.94</v>
      </c>
      <c r="N599" t="s">
        <v>116</v>
      </c>
      <c r="O599">
        <v>2025</v>
      </c>
    </row>
    <row r="600" spans="1:15" x14ac:dyDescent="0.3">
      <c r="A600" t="s">
        <v>685</v>
      </c>
      <c r="B600" t="s">
        <v>53</v>
      </c>
      <c r="C600" t="s">
        <v>90</v>
      </c>
      <c r="D600" t="s">
        <v>105</v>
      </c>
      <c r="E600" t="s">
        <v>56</v>
      </c>
      <c r="F600" s="1">
        <v>45429</v>
      </c>
      <c r="G600">
        <v>9</v>
      </c>
      <c r="H600">
        <v>3617.23</v>
      </c>
      <c r="I600">
        <v>10</v>
      </c>
      <c r="J600" t="s">
        <v>71</v>
      </c>
      <c r="K600">
        <v>3255.51</v>
      </c>
      <c r="L600">
        <v>32555.07</v>
      </c>
      <c r="M600">
        <v>29299.56</v>
      </c>
      <c r="N600" t="s">
        <v>101</v>
      </c>
      <c r="O600">
        <v>2024</v>
      </c>
    </row>
    <row r="601" spans="1:15" x14ac:dyDescent="0.3">
      <c r="A601" t="s">
        <v>686</v>
      </c>
      <c r="B601" t="s">
        <v>43</v>
      </c>
      <c r="C601" t="s">
        <v>90</v>
      </c>
      <c r="D601" t="s">
        <v>115</v>
      </c>
      <c r="E601" t="s">
        <v>81</v>
      </c>
      <c r="F601" s="1">
        <v>45699</v>
      </c>
      <c r="G601">
        <v>2</v>
      </c>
      <c r="H601">
        <v>8581.09</v>
      </c>
      <c r="I601">
        <v>0</v>
      </c>
      <c r="J601" t="s">
        <v>26</v>
      </c>
      <c r="K601">
        <v>0</v>
      </c>
      <c r="L601">
        <v>17162.18</v>
      </c>
      <c r="M601">
        <v>17162.18</v>
      </c>
      <c r="N601" t="s">
        <v>41</v>
      </c>
      <c r="O601">
        <v>2025</v>
      </c>
    </row>
    <row r="602" spans="1:15" x14ac:dyDescent="0.3">
      <c r="A602" t="s">
        <v>687</v>
      </c>
      <c r="B602" t="s">
        <v>89</v>
      </c>
      <c r="C602" t="s">
        <v>34</v>
      </c>
      <c r="D602" t="s">
        <v>48</v>
      </c>
      <c r="E602" t="s">
        <v>44</v>
      </c>
      <c r="F602" s="1">
        <v>45752</v>
      </c>
      <c r="G602">
        <v>6</v>
      </c>
      <c r="H602">
        <v>7719.54</v>
      </c>
      <c r="I602">
        <v>10</v>
      </c>
      <c r="J602" t="s">
        <v>82</v>
      </c>
      <c r="K602">
        <v>4631.72</v>
      </c>
      <c r="L602">
        <v>46317.24</v>
      </c>
      <c r="M602">
        <v>41685.519999999997</v>
      </c>
      <c r="N602" t="s">
        <v>27</v>
      </c>
      <c r="O602">
        <v>2025</v>
      </c>
    </row>
    <row r="603" spans="1:15" x14ac:dyDescent="0.3">
      <c r="A603" t="s">
        <v>688</v>
      </c>
      <c r="B603" t="s">
        <v>114</v>
      </c>
      <c r="C603" t="s">
        <v>54</v>
      </c>
      <c r="D603" t="s">
        <v>77</v>
      </c>
      <c r="E603" t="s">
        <v>44</v>
      </c>
      <c r="F603" s="1">
        <v>45644</v>
      </c>
      <c r="G603">
        <v>1</v>
      </c>
      <c r="H603">
        <v>5516.17</v>
      </c>
      <c r="I603">
        <v>10</v>
      </c>
      <c r="J603" t="s">
        <v>40</v>
      </c>
      <c r="K603">
        <v>551.62</v>
      </c>
      <c r="L603">
        <v>5516.17</v>
      </c>
      <c r="M603">
        <v>4964.55</v>
      </c>
      <c r="N603" t="s">
        <v>51</v>
      </c>
      <c r="O603">
        <v>2024</v>
      </c>
    </row>
    <row r="604" spans="1:15" x14ac:dyDescent="0.3">
      <c r="A604" t="s">
        <v>689</v>
      </c>
      <c r="B604" t="s">
        <v>93</v>
      </c>
      <c r="C604" t="s">
        <v>54</v>
      </c>
      <c r="D604" t="s">
        <v>55</v>
      </c>
      <c r="E604" t="s">
        <v>81</v>
      </c>
      <c r="F604" s="1">
        <v>45583</v>
      </c>
      <c r="G604">
        <v>6</v>
      </c>
      <c r="H604">
        <v>1295.28</v>
      </c>
      <c r="I604">
        <v>20</v>
      </c>
      <c r="J604" t="s">
        <v>36</v>
      </c>
      <c r="K604">
        <v>1554.34</v>
      </c>
      <c r="L604">
        <v>7771.68</v>
      </c>
      <c r="M604">
        <v>6217.34</v>
      </c>
      <c r="N604" t="s">
        <v>57</v>
      </c>
      <c r="O604">
        <v>2024</v>
      </c>
    </row>
    <row r="605" spans="1:15" x14ac:dyDescent="0.3">
      <c r="A605" t="s">
        <v>690</v>
      </c>
      <c r="B605" t="s">
        <v>114</v>
      </c>
      <c r="C605" t="s">
        <v>90</v>
      </c>
      <c r="D605" t="s">
        <v>152</v>
      </c>
      <c r="E605" t="s">
        <v>25</v>
      </c>
      <c r="F605" s="1">
        <v>45920</v>
      </c>
      <c r="G605">
        <v>5</v>
      </c>
      <c r="H605">
        <v>10159.379999999999</v>
      </c>
      <c r="I605">
        <v>5</v>
      </c>
      <c r="J605" t="s">
        <v>31</v>
      </c>
      <c r="K605">
        <v>2539.85</v>
      </c>
      <c r="L605">
        <v>50796.9</v>
      </c>
      <c r="M605">
        <v>48257.05</v>
      </c>
      <c r="N605" t="s">
        <v>86</v>
      </c>
      <c r="O605">
        <v>2025</v>
      </c>
    </row>
    <row r="606" spans="1:15" x14ac:dyDescent="0.3">
      <c r="A606" t="s">
        <v>691</v>
      </c>
      <c r="B606" t="s">
        <v>23</v>
      </c>
      <c r="C606" t="s">
        <v>34</v>
      </c>
      <c r="D606" t="s">
        <v>48</v>
      </c>
      <c r="E606" t="s">
        <v>30</v>
      </c>
      <c r="F606" s="1">
        <v>45365</v>
      </c>
      <c r="G606">
        <v>2</v>
      </c>
      <c r="H606">
        <v>7524</v>
      </c>
      <c r="I606">
        <v>5</v>
      </c>
      <c r="J606" t="s">
        <v>31</v>
      </c>
      <c r="K606">
        <v>752.4</v>
      </c>
      <c r="L606">
        <v>15048</v>
      </c>
      <c r="M606">
        <v>14295.6</v>
      </c>
      <c r="N606" t="s">
        <v>83</v>
      </c>
      <c r="O606">
        <v>2024</v>
      </c>
    </row>
    <row r="607" spans="1:15" x14ac:dyDescent="0.3">
      <c r="A607" t="s">
        <v>692</v>
      </c>
      <c r="B607" t="s">
        <v>61</v>
      </c>
      <c r="C607" t="s">
        <v>62</v>
      </c>
      <c r="D607" t="s">
        <v>119</v>
      </c>
      <c r="E607" t="s">
        <v>19</v>
      </c>
      <c r="F607" s="1">
        <v>45911</v>
      </c>
      <c r="G607">
        <v>7</v>
      </c>
      <c r="H607">
        <v>3387.34</v>
      </c>
      <c r="I607">
        <v>15</v>
      </c>
      <c r="J607" t="s">
        <v>40</v>
      </c>
      <c r="K607">
        <v>3556.71</v>
      </c>
      <c r="L607">
        <v>23711.38</v>
      </c>
      <c r="M607">
        <v>20154.669999999998</v>
      </c>
      <c r="N607" t="s">
        <v>86</v>
      </c>
      <c r="O607">
        <v>2025</v>
      </c>
    </row>
    <row r="608" spans="1:15" x14ac:dyDescent="0.3">
      <c r="A608" t="s">
        <v>693</v>
      </c>
      <c r="B608" t="s">
        <v>65</v>
      </c>
      <c r="C608" t="s">
        <v>62</v>
      </c>
      <c r="D608" t="s">
        <v>132</v>
      </c>
      <c r="E608" t="s">
        <v>56</v>
      </c>
      <c r="F608" s="1">
        <v>45463</v>
      </c>
      <c r="G608">
        <v>3</v>
      </c>
      <c r="H608">
        <v>2783.88</v>
      </c>
      <c r="I608">
        <v>5</v>
      </c>
      <c r="J608" t="s">
        <v>31</v>
      </c>
      <c r="K608">
        <v>417.58</v>
      </c>
      <c r="L608">
        <v>8351.64</v>
      </c>
      <c r="M608">
        <v>7934.06</v>
      </c>
      <c r="N608" t="s">
        <v>72</v>
      </c>
      <c r="O608">
        <v>2024</v>
      </c>
    </row>
    <row r="609" spans="1:15" x14ac:dyDescent="0.3">
      <c r="A609" t="s">
        <v>694</v>
      </c>
      <c r="B609" t="s">
        <v>16</v>
      </c>
      <c r="C609" t="s">
        <v>34</v>
      </c>
      <c r="D609" t="s">
        <v>48</v>
      </c>
      <c r="E609" t="s">
        <v>30</v>
      </c>
      <c r="F609" s="1">
        <v>45507</v>
      </c>
      <c r="G609">
        <v>3</v>
      </c>
      <c r="H609">
        <v>7994.09</v>
      </c>
      <c r="I609">
        <v>0</v>
      </c>
      <c r="J609" t="s">
        <v>82</v>
      </c>
      <c r="K609">
        <v>0</v>
      </c>
      <c r="L609">
        <v>23982.27</v>
      </c>
      <c r="M609">
        <v>23982.27</v>
      </c>
      <c r="N609" t="s">
        <v>21</v>
      </c>
      <c r="O609">
        <v>2024</v>
      </c>
    </row>
    <row r="610" spans="1:15" x14ac:dyDescent="0.3">
      <c r="A610" t="s">
        <v>695</v>
      </c>
      <c r="B610" t="s">
        <v>65</v>
      </c>
      <c r="C610" t="s">
        <v>17</v>
      </c>
      <c r="D610" t="s">
        <v>157</v>
      </c>
      <c r="E610" t="s">
        <v>25</v>
      </c>
      <c r="F610" s="1">
        <v>45698</v>
      </c>
      <c r="G610">
        <v>9</v>
      </c>
      <c r="H610">
        <v>7638.74</v>
      </c>
      <c r="I610">
        <v>0</v>
      </c>
      <c r="J610" t="s">
        <v>26</v>
      </c>
      <c r="K610">
        <v>0</v>
      </c>
      <c r="L610">
        <v>68748.66</v>
      </c>
      <c r="M610">
        <v>68748.66</v>
      </c>
      <c r="N610" t="s">
        <v>41</v>
      </c>
      <c r="O610">
        <v>2025</v>
      </c>
    </row>
    <row r="611" spans="1:15" x14ac:dyDescent="0.3">
      <c r="A611" t="s">
        <v>696</v>
      </c>
      <c r="B611" t="s">
        <v>93</v>
      </c>
      <c r="C611" t="s">
        <v>17</v>
      </c>
      <c r="D611" t="s">
        <v>39</v>
      </c>
      <c r="E611" t="s">
        <v>50</v>
      </c>
      <c r="F611" s="1">
        <v>45962</v>
      </c>
      <c r="G611">
        <v>7</v>
      </c>
      <c r="H611">
        <v>19351.38</v>
      </c>
      <c r="I611">
        <v>5</v>
      </c>
      <c r="J611" t="s">
        <v>82</v>
      </c>
      <c r="K611">
        <v>6772.98</v>
      </c>
      <c r="L611">
        <v>135459.66</v>
      </c>
      <c r="M611">
        <v>128686.68</v>
      </c>
      <c r="N611" t="s">
        <v>96</v>
      </c>
      <c r="O611">
        <v>2025</v>
      </c>
    </row>
    <row r="612" spans="1:15" x14ac:dyDescent="0.3">
      <c r="A612" t="s">
        <v>697</v>
      </c>
      <c r="B612" t="s">
        <v>61</v>
      </c>
      <c r="C612" t="s">
        <v>62</v>
      </c>
      <c r="D612" t="s">
        <v>99</v>
      </c>
      <c r="E612" t="s">
        <v>50</v>
      </c>
      <c r="F612" s="1">
        <v>45831</v>
      </c>
      <c r="G612">
        <v>3</v>
      </c>
      <c r="H612">
        <v>1360.71</v>
      </c>
      <c r="I612">
        <v>10</v>
      </c>
      <c r="J612" t="s">
        <v>36</v>
      </c>
      <c r="K612">
        <v>408.21</v>
      </c>
      <c r="L612">
        <v>4082.13</v>
      </c>
      <c r="M612">
        <v>3673.92</v>
      </c>
      <c r="N612" t="s">
        <v>72</v>
      </c>
      <c r="O612">
        <v>2025</v>
      </c>
    </row>
    <row r="613" spans="1:15" x14ac:dyDescent="0.3">
      <c r="A613" t="s">
        <v>698</v>
      </c>
      <c r="B613" t="s">
        <v>89</v>
      </c>
      <c r="C613" t="s">
        <v>62</v>
      </c>
      <c r="D613" t="s">
        <v>99</v>
      </c>
      <c r="E613" t="s">
        <v>44</v>
      </c>
      <c r="F613" s="1">
        <v>45853</v>
      </c>
      <c r="G613">
        <v>8</v>
      </c>
      <c r="H613">
        <v>1400.67</v>
      </c>
      <c r="I613">
        <v>20</v>
      </c>
      <c r="J613" t="s">
        <v>40</v>
      </c>
      <c r="K613">
        <v>2241.0700000000002</v>
      </c>
      <c r="L613">
        <v>11205.36</v>
      </c>
      <c r="M613">
        <v>8964.2900000000009</v>
      </c>
      <c r="N613" t="s">
        <v>122</v>
      </c>
      <c r="O613">
        <v>2025</v>
      </c>
    </row>
    <row r="614" spans="1:15" x14ac:dyDescent="0.3">
      <c r="A614" t="s">
        <v>699</v>
      </c>
      <c r="B614" t="s">
        <v>93</v>
      </c>
      <c r="C614" t="s">
        <v>34</v>
      </c>
      <c r="D614" t="s">
        <v>66</v>
      </c>
      <c r="E614" t="s">
        <v>56</v>
      </c>
      <c r="F614" s="1">
        <v>45828</v>
      </c>
      <c r="G614">
        <v>9</v>
      </c>
      <c r="H614">
        <v>39096.61</v>
      </c>
      <c r="I614">
        <v>10</v>
      </c>
      <c r="J614" t="s">
        <v>31</v>
      </c>
      <c r="K614">
        <v>35186.949999999997</v>
      </c>
      <c r="L614">
        <v>351869.49</v>
      </c>
      <c r="M614">
        <v>316682.53999999998</v>
      </c>
      <c r="N614" t="s">
        <v>72</v>
      </c>
      <c r="O614">
        <v>2025</v>
      </c>
    </row>
    <row r="615" spans="1:15" x14ac:dyDescent="0.3">
      <c r="A615" t="s">
        <v>700</v>
      </c>
      <c r="B615" t="s">
        <v>29</v>
      </c>
      <c r="C615" t="s">
        <v>90</v>
      </c>
      <c r="D615" t="s">
        <v>91</v>
      </c>
      <c r="E615" t="s">
        <v>44</v>
      </c>
      <c r="F615" s="1">
        <v>45744</v>
      </c>
      <c r="G615">
        <v>5</v>
      </c>
      <c r="H615">
        <v>1487.17</v>
      </c>
      <c r="I615">
        <v>10</v>
      </c>
      <c r="J615" t="s">
        <v>82</v>
      </c>
      <c r="K615">
        <v>743.59</v>
      </c>
      <c r="L615">
        <v>7435.85</v>
      </c>
      <c r="M615">
        <v>6692.26</v>
      </c>
      <c r="N615" t="s">
        <v>83</v>
      </c>
      <c r="O615">
        <v>2025</v>
      </c>
    </row>
    <row r="616" spans="1:15" x14ac:dyDescent="0.3">
      <c r="A616" t="s">
        <v>701</v>
      </c>
      <c r="B616" t="s">
        <v>109</v>
      </c>
      <c r="C616" t="s">
        <v>34</v>
      </c>
      <c r="D616" t="s">
        <v>48</v>
      </c>
      <c r="E616" t="s">
        <v>25</v>
      </c>
      <c r="F616" s="1">
        <v>45644</v>
      </c>
      <c r="G616">
        <v>5</v>
      </c>
      <c r="H616">
        <v>8952.24</v>
      </c>
      <c r="I616">
        <v>0</v>
      </c>
      <c r="J616" t="s">
        <v>36</v>
      </c>
      <c r="K616">
        <v>0</v>
      </c>
      <c r="L616">
        <v>44761.2</v>
      </c>
      <c r="M616">
        <v>44761.2</v>
      </c>
      <c r="N616" t="s">
        <v>51</v>
      </c>
      <c r="O616">
        <v>2024</v>
      </c>
    </row>
    <row r="617" spans="1:15" x14ac:dyDescent="0.3">
      <c r="A617" t="s">
        <v>702</v>
      </c>
      <c r="B617" t="s">
        <v>43</v>
      </c>
      <c r="C617" t="s">
        <v>90</v>
      </c>
      <c r="D617" t="s">
        <v>152</v>
      </c>
      <c r="E617" t="s">
        <v>25</v>
      </c>
      <c r="F617" s="1">
        <v>45591</v>
      </c>
      <c r="G617">
        <v>10</v>
      </c>
      <c r="H617">
        <v>10535.84</v>
      </c>
      <c r="I617">
        <v>0</v>
      </c>
      <c r="J617" t="s">
        <v>31</v>
      </c>
      <c r="K617">
        <v>0</v>
      </c>
      <c r="L617">
        <v>105358.39999999999</v>
      </c>
      <c r="M617">
        <v>105358.39999999999</v>
      </c>
      <c r="N617" t="s">
        <v>57</v>
      </c>
      <c r="O617">
        <v>2024</v>
      </c>
    </row>
    <row r="618" spans="1:15" x14ac:dyDescent="0.3">
      <c r="A618" t="s">
        <v>703</v>
      </c>
      <c r="B618" t="s">
        <v>29</v>
      </c>
      <c r="C618" t="s">
        <v>54</v>
      </c>
      <c r="D618" t="s">
        <v>137</v>
      </c>
      <c r="E618" t="s">
        <v>56</v>
      </c>
      <c r="F618" s="1">
        <v>45696</v>
      </c>
      <c r="G618">
        <v>4</v>
      </c>
      <c r="H618">
        <v>846.74</v>
      </c>
      <c r="I618">
        <v>15</v>
      </c>
      <c r="J618" t="s">
        <v>31</v>
      </c>
      <c r="K618">
        <v>508.04</v>
      </c>
      <c r="L618">
        <v>3386.96</v>
      </c>
      <c r="M618">
        <v>2878.92</v>
      </c>
      <c r="N618" t="s">
        <v>41</v>
      </c>
      <c r="O618">
        <v>2025</v>
      </c>
    </row>
    <row r="619" spans="1:15" x14ac:dyDescent="0.3">
      <c r="A619" t="s">
        <v>704</v>
      </c>
      <c r="B619" t="s">
        <v>43</v>
      </c>
      <c r="C619" t="s">
        <v>90</v>
      </c>
      <c r="D619" t="s">
        <v>107</v>
      </c>
      <c r="E619" t="s">
        <v>25</v>
      </c>
      <c r="F619" s="1">
        <v>45932</v>
      </c>
      <c r="G619">
        <v>4</v>
      </c>
      <c r="H619">
        <v>13584.81</v>
      </c>
      <c r="I619">
        <v>20</v>
      </c>
      <c r="J619" t="s">
        <v>31</v>
      </c>
      <c r="K619">
        <v>10867.85</v>
      </c>
      <c r="L619">
        <v>54339.24</v>
      </c>
      <c r="M619">
        <v>43471.39</v>
      </c>
      <c r="N619" t="s">
        <v>57</v>
      </c>
      <c r="O619">
        <v>2025</v>
      </c>
    </row>
    <row r="620" spans="1:15" x14ac:dyDescent="0.3">
      <c r="A620" t="s">
        <v>705</v>
      </c>
      <c r="B620" t="s">
        <v>61</v>
      </c>
      <c r="C620" t="s">
        <v>62</v>
      </c>
      <c r="D620" t="s">
        <v>119</v>
      </c>
      <c r="E620" t="s">
        <v>30</v>
      </c>
      <c r="F620" s="1">
        <v>45714</v>
      </c>
      <c r="G620">
        <v>4</v>
      </c>
      <c r="H620">
        <v>3896.8</v>
      </c>
      <c r="I620">
        <v>5</v>
      </c>
      <c r="J620" t="s">
        <v>40</v>
      </c>
      <c r="K620">
        <v>779.36</v>
      </c>
      <c r="L620">
        <v>15587.2</v>
      </c>
      <c r="M620">
        <v>14807.84</v>
      </c>
      <c r="N620" t="s">
        <v>41</v>
      </c>
      <c r="O620">
        <v>2025</v>
      </c>
    </row>
    <row r="621" spans="1:15" x14ac:dyDescent="0.3">
      <c r="A621" t="s">
        <v>706</v>
      </c>
      <c r="B621" t="s">
        <v>47</v>
      </c>
      <c r="C621" t="s">
        <v>34</v>
      </c>
      <c r="D621" t="s">
        <v>48</v>
      </c>
      <c r="E621" t="s">
        <v>30</v>
      </c>
      <c r="F621" s="1">
        <v>45924</v>
      </c>
      <c r="G621">
        <v>8</v>
      </c>
      <c r="H621">
        <v>7744.27</v>
      </c>
      <c r="I621">
        <v>20</v>
      </c>
      <c r="J621" t="s">
        <v>71</v>
      </c>
      <c r="K621">
        <v>12390.83</v>
      </c>
      <c r="L621">
        <v>61954.16</v>
      </c>
      <c r="M621">
        <v>49563.33</v>
      </c>
      <c r="N621" t="s">
        <v>86</v>
      </c>
      <c r="O621">
        <v>2025</v>
      </c>
    </row>
    <row r="622" spans="1:15" x14ac:dyDescent="0.3">
      <c r="A622" t="s">
        <v>707</v>
      </c>
      <c r="B622" t="s">
        <v>33</v>
      </c>
      <c r="C622" t="s">
        <v>90</v>
      </c>
      <c r="D622" t="s">
        <v>107</v>
      </c>
      <c r="E622" t="s">
        <v>25</v>
      </c>
      <c r="F622" s="1">
        <v>45342</v>
      </c>
      <c r="G622">
        <v>9</v>
      </c>
      <c r="H622">
        <v>10866.39</v>
      </c>
      <c r="I622">
        <v>0</v>
      </c>
      <c r="J622" t="s">
        <v>36</v>
      </c>
      <c r="K622">
        <v>0</v>
      </c>
      <c r="L622">
        <v>97797.51</v>
      </c>
      <c r="M622">
        <v>97797.51</v>
      </c>
      <c r="N622" t="s">
        <v>41</v>
      </c>
      <c r="O622">
        <v>2024</v>
      </c>
    </row>
    <row r="623" spans="1:15" x14ac:dyDescent="0.3">
      <c r="A623" t="s">
        <v>708</v>
      </c>
      <c r="B623" t="s">
        <v>53</v>
      </c>
      <c r="C623" t="s">
        <v>62</v>
      </c>
      <c r="D623" t="s">
        <v>119</v>
      </c>
      <c r="E623" t="s">
        <v>30</v>
      </c>
      <c r="F623" s="1">
        <v>45300</v>
      </c>
      <c r="G623">
        <v>4</v>
      </c>
      <c r="H623">
        <v>3228.92</v>
      </c>
      <c r="I623">
        <v>0</v>
      </c>
      <c r="J623" t="s">
        <v>71</v>
      </c>
      <c r="K623">
        <v>0</v>
      </c>
      <c r="L623">
        <v>12915.68</v>
      </c>
      <c r="M623">
        <v>12915.68</v>
      </c>
      <c r="N623" t="s">
        <v>116</v>
      </c>
      <c r="O623">
        <v>2024</v>
      </c>
    </row>
    <row r="624" spans="1:15" x14ac:dyDescent="0.3">
      <c r="A624" t="s">
        <v>709</v>
      </c>
      <c r="B624" t="s">
        <v>33</v>
      </c>
      <c r="C624" t="s">
        <v>90</v>
      </c>
      <c r="D624" t="s">
        <v>107</v>
      </c>
      <c r="E624" t="s">
        <v>56</v>
      </c>
      <c r="F624" s="1">
        <v>45802</v>
      </c>
      <c r="G624">
        <v>6</v>
      </c>
      <c r="H624">
        <v>12191.05</v>
      </c>
      <c r="I624">
        <v>0</v>
      </c>
      <c r="J624" t="s">
        <v>40</v>
      </c>
      <c r="K624">
        <v>0</v>
      </c>
      <c r="L624">
        <v>73146.3</v>
      </c>
      <c r="M624">
        <v>73146.3</v>
      </c>
      <c r="N624" t="s">
        <v>101</v>
      </c>
      <c r="O624">
        <v>2025</v>
      </c>
    </row>
    <row r="625" spans="1:15" x14ac:dyDescent="0.3">
      <c r="A625" t="s">
        <v>710</v>
      </c>
      <c r="B625" t="s">
        <v>38</v>
      </c>
      <c r="C625" t="s">
        <v>62</v>
      </c>
      <c r="D625" t="s">
        <v>95</v>
      </c>
      <c r="E625" t="s">
        <v>44</v>
      </c>
      <c r="F625" s="1">
        <v>45349</v>
      </c>
      <c r="G625">
        <v>5</v>
      </c>
      <c r="H625">
        <v>875.13</v>
      </c>
      <c r="I625">
        <v>0</v>
      </c>
      <c r="J625" t="s">
        <v>36</v>
      </c>
      <c r="K625">
        <v>0</v>
      </c>
      <c r="L625">
        <v>4375.6499999999996</v>
      </c>
      <c r="M625">
        <v>4375.6499999999996</v>
      </c>
      <c r="N625" t="s">
        <v>41</v>
      </c>
      <c r="O625">
        <v>2024</v>
      </c>
    </row>
    <row r="626" spans="1:15" x14ac:dyDescent="0.3">
      <c r="A626" t="s">
        <v>711</v>
      </c>
      <c r="B626" t="s">
        <v>53</v>
      </c>
      <c r="C626" t="s">
        <v>54</v>
      </c>
      <c r="D626" t="s">
        <v>68</v>
      </c>
      <c r="E626" t="s">
        <v>50</v>
      </c>
      <c r="F626" s="1">
        <v>45682</v>
      </c>
      <c r="G626">
        <v>1</v>
      </c>
      <c r="H626">
        <v>4187.21</v>
      </c>
      <c r="I626">
        <v>5</v>
      </c>
      <c r="J626" t="s">
        <v>40</v>
      </c>
      <c r="K626">
        <v>209.36</v>
      </c>
      <c r="L626">
        <v>4187.21</v>
      </c>
      <c r="M626">
        <v>3977.85</v>
      </c>
      <c r="N626" t="s">
        <v>116</v>
      </c>
      <c r="O626">
        <v>2025</v>
      </c>
    </row>
    <row r="627" spans="1:15" x14ac:dyDescent="0.3">
      <c r="A627" t="s">
        <v>712</v>
      </c>
      <c r="B627" t="s">
        <v>29</v>
      </c>
      <c r="C627" t="s">
        <v>90</v>
      </c>
      <c r="D627" t="s">
        <v>152</v>
      </c>
      <c r="E627" t="s">
        <v>30</v>
      </c>
      <c r="F627" s="1">
        <v>45495</v>
      </c>
      <c r="G627">
        <v>8</v>
      </c>
      <c r="H627">
        <v>10838.31</v>
      </c>
      <c r="I627">
        <v>0</v>
      </c>
      <c r="J627" t="s">
        <v>26</v>
      </c>
      <c r="K627">
        <v>0</v>
      </c>
      <c r="L627">
        <v>86706.48</v>
      </c>
      <c r="M627">
        <v>86706.48</v>
      </c>
      <c r="N627" t="s">
        <v>122</v>
      </c>
      <c r="O627">
        <v>2024</v>
      </c>
    </row>
    <row r="628" spans="1:15" x14ac:dyDescent="0.3">
      <c r="A628" t="s">
        <v>713</v>
      </c>
      <c r="B628" t="s">
        <v>89</v>
      </c>
      <c r="C628" t="s">
        <v>54</v>
      </c>
      <c r="D628" t="s">
        <v>55</v>
      </c>
      <c r="E628" t="s">
        <v>56</v>
      </c>
      <c r="F628" s="1">
        <v>45622</v>
      </c>
      <c r="G628">
        <v>3</v>
      </c>
      <c r="H628">
        <v>1395.62</v>
      </c>
      <c r="I628">
        <v>0</v>
      </c>
      <c r="J628" t="s">
        <v>40</v>
      </c>
      <c r="K628">
        <v>0</v>
      </c>
      <c r="L628">
        <v>4186.8599999999997</v>
      </c>
      <c r="M628">
        <v>4186.8599999999997</v>
      </c>
      <c r="N628" t="s">
        <v>96</v>
      </c>
      <c r="O628">
        <v>2024</v>
      </c>
    </row>
    <row r="629" spans="1:15" x14ac:dyDescent="0.3">
      <c r="A629" t="s">
        <v>714</v>
      </c>
      <c r="B629" t="s">
        <v>47</v>
      </c>
      <c r="C629" t="s">
        <v>54</v>
      </c>
      <c r="D629" t="s">
        <v>77</v>
      </c>
      <c r="E629" t="s">
        <v>19</v>
      </c>
      <c r="F629" s="1">
        <v>45945</v>
      </c>
      <c r="G629">
        <v>5</v>
      </c>
      <c r="H629">
        <v>5223.24</v>
      </c>
      <c r="I629">
        <v>0</v>
      </c>
      <c r="J629" t="s">
        <v>71</v>
      </c>
      <c r="K629">
        <v>0</v>
      </c>
      <c r="L629">
        <v>26116.2</v>
      </c>
      <c r="M629">
        <v>26116.2</v>
      </c>
      <c r="N629" t="s">
        <v>57</v>
      </c>
      <c r="O629">
        <v>2025</v>
      </c>
    </row>
    <row r="630" spans="1:15" x14ac:dyDescent="0.3">
      <c r="A630" t="s">
        <v>715</v>
      </c>
      <c r="B630" t="s">
        <v>29</v>
      </c>
      <c r="C630" t="s">
        <v>34</v>
      </c>
      <c r="D630" t="s">
        <v>80</v>
      </c>
      <c r="E630" t="s">
        <v>30</v>
      </c>
      <c r="F630" s="1">
        <v>45624</v>
      </c>
      <c r="G630">
        <v>1</v>
      </c>
      <c r="H630">
        <v>6216.14</v>
      </c>
      <c r="I630">
        <v>10</v>
      </c>
      <c r="J630" t="s">
        <v>31</v>
      </c>
      <c r="K630">
        <v>621.61</v>
      </c>
      <c r="L630">
        <v>6216.14</v>
      </c>
      <c r="M630">
        <v>5594.53</v>
      </c>
      <c r="N630" t="s">
        <v>96</v>
      </c>
      <c r="O630">
        <v>2024</v>
      </c>
    </row>
    <row r="631" spans="1:15" x14ac:dyDescent="0.3">
      <c r="A631" t="s">
        <v>716</v>
      </c>
      <c r="B631" t="s">
        <v>23</v>
      </c>
      <c r="C631" t="s">
        <v>54</v>
      </c>
      <c r="D631" t="s">
        <v>70</v>
      </c>
      <c r="E631" t="s">
        <v>44</v>
      </c>
      <c r="F631" s="1">
        <v>45301</v>
      </c>
      <c r="G631">
        <v>1</v>
      </c>
      <c r="H631">
        <v>2613.17</v>
      </c>
      <c r="I631">
        <v>15</v>
      </c>
      <c r="J631" t="s">
        <v>20</v>
      </c>
      <c r="K631">
        <v>391.98</v>
      </c>
      <c r="L631">
        <v>2613.17</v>
      </c>
      <c r="M631">
        <v>2221.19</v>
      </c>
      <c r="N631" t="s">
        <v>116</v>
      </c>
      <c r="O631">
        <v>2024</v>
      </c>
    </row>
    <row r="632" spans="1:15" x14ac:dyDescent="0.3">
      <c r="A632" t="s">
        <v>717</v>
      </c>
      <c r="B632" t="s">
        <v>33</v>
      </c>
      <c r="C632" t="s">
        <v>54</v>
      </c>
      <c r="D632" t="s">
        <v>55</v>
      </c>
      <c r="E632" t="s">
        <v>44</v>
      </c>
      <c r="F632" s="1">
        <v>45546</v>
      </c>
      <c r="G632">
        <v>3</v>
      </c>
      <c r="H632">
        <v>1229.98</v>
      </c>
      <c r="I632">
        <v>20</v>
      </c>
      <c r="J632" t="s">
        <v>82</v>
      </c>
      <c r="K632">
        <v>737.99</v>
      </c>
      <c r="L632">
        <v>3689.94</v>
      </c>
      <c r="M632">
        <v>2951.95</v>
      </c>
      <c r="N632" t="s">
        <v>86</v>
      </c>
      <c r="O632">
        <v>2024</v>
      </c>
    </row>
    <row r="633" spans="1:15" x14ac:dyDescent="0.3">
      <c r="A633" t="s">
        <v>718</v>
      </c>
      <c r="B633" t="s">
        <v>109</v>
      </c>
      <c r="C633" t="s">
        <v>62</v>
      </c>
      <c r="D633" t="s">
        <v>95</v>
      </c>
      <c r="E633" t="s">
        <v>19</v>
      </c>
      <c r="F633" s="1">
        <v>46010</v>
      </c>
      <c r="G633">
        <v>9</v>
      </c>
      <c r="H633">
        <v>966.12</v>
      </c>
      <c r="I633">
        <v>5</v>
      </c>
      <c r="J633" t="s">
        <v>36</v>
      </c>
      <c r="K633">
        <v>434.75</v>
      </c>
      <c r="L633">
        <v>8695.08</v>
      </c>
      <c r="M633">
        <v>8260.33</v>
      </c>
      <c r="N633" t="s">
        <v>51</v>
      </c>
      <c r="O633">
        <v>2025</v>
      </c>
    </row>
    <row r="634" spans="1:15" x14ac:dyDescent="0.3">
      <c r="A634" t="s">
        <v>719</v>
      </c>
      <c r="B634" t="s">
        <v>33</v>
      </c>
      <c r="C634" t="s">
        <v>90</v>
      </c>
      <c r="D634" t="s">
        <v>107</v>
      </c>
      <c r="E634" t="s">
        <v>81</v>
      </c>
      <c r="F634" s="1">
        <v>45741</v>
      </c>
      <c r="G634">
        <v>4</v>
      </c>
      <c r="H634">
        <v>10864.06</v>
      </c>
      <c r="I634">
        <v>15</v>
      </c>
      <c r="J634" t="s">
        <v>45</v>
      </c>
      <c r="K634">
        <v>6518.44</v>
      </c>
      <c r="L634">
        <v>43456.24</v>
      </c>
      <c r="M634">
        <v>36937.800000000003</v>
      </c>
      <c r="N634" t="s">
        <v>83</v>
      </c>
      <c r="O634">
        <v>2025</v>
      </c>
    </row>
    <row r="635" spans="1:15" x14ac:dyDescent="0.3">
      <c r="A635" t="s">
        <v>720</v>
      </c>
      <c r="B635" t="s">
        <v>43</v>
      </c>
      <c r="C635" t="s">
        <v>62</v>
      </c>
      <c r="D635" t="s">
        <v>63</v>
      </c>
      <c r="E635" t="s">
        <v>25</v>
      </c>
      <c r="F635" s="1">
        <v>46015</v>
      </c>
      <c r="G635">
        <v>8</v>
      </c>
      <c r="H635">
        <v>2058.7199999999998</v>
      </c>
      <c r="I635">
        <v>20</v>
      </c>
      <c r="J635" t="s">
        <v>71</v>
      </c>
      <c r="K635">
        <v>3293.95</v>
      </c>
      <c r="L635">
        <v>16469.759999999998</v>
      </c>
      <c r="M635">
        <v>13175.81</v>
      </c>
      <c r="N635" t="s">
        <v>51</v>
      </c>
      <c r="O635">
        <v>2025</v>
      </c>
    </row>
    <row r="636" spans="1:15" x14ac:dyDescent="0.3">
      <c r="A636" t="s">
        <v>721</v>
      </c>
      <c r="B636" t="s">
        <v>93</v>
      </c>
      <c r="C636" t="s">
        <v>90</v>
      </c>
      <c r="D636" t="s">
        <v>107</v>
      </c>
      <c r="E636" t="s">
        <v>50</v>
      </c>
      <c r="F636" s="1">
        <v>45623</v>
      </c>
      <c r="G636">
        <v>8</v>
      </c>
      <c r="H636">
        <v>12788.57</v>
      </c>
      <c r="I636">
        <v>20</v>
      </c>
      <c r="J636" t="s">
        <v>45</v>
      </c>
      <c r="K636">
        <v>20461.71</v>
      </c>
      <c r="L636">
        <v>102308.56</v>
      </c>
      <c r="M636">
        <v>81846.850000000006</v>
      </c>
      <c r="N636" t="s">
        <v>96</v>
      </c>
      <c r="O636">
        <v>2024</v>
      </c>
    </row>
    <row r="637" spans="1:15" x14ac:dyDescent="0.3">
      <c r="A637" t="s">
        <v>722</v>
      </c>
      <c r="B637" t="s">
        <v>47</v>
      </c>
      <c r="C637" t="s">
        <v>54</v>
      </c>
      <c r="D637" t="s">
        <v>55</v>
      </c>
      <c r="E637" t="s">
        <v>81</v>
      </c>
      <c r="F637" s="1">
        <v>45752</v>
      </c>
      <c r="G637">
        <v>5</v>
      </c>
      <c r="H637">
        <v>1325.83</v>
      </c>
      <c r="I637">
        <v>20</v>
      </c>
      <c r="J637" t="s">
        <v>36</v>
      </c>
      <c r="K637">
        <v>1325.83</v>
      </c>
      <c r="L637">
        <v>6629.15</v>
      </c>
      <c r="M637">
        <v>5303.32</v>
      </c>
      <c r="N637" t="s">
        <v>27</v>
      </c>
      <c r="O637">
        <v>2025</v>
      </c>
    </row>
    <row r="638" spans="1:15" x14ac:dyDescent="0.3">
      <c r="A638" t="s">
        <v>723</v>
      </c>
      <c r="B638" t="s">
        <v>109</v>
      </c>
      <c r="C638" t="s">
        <v>62</v>
      </c>
      <c r="D638" t="s">
        <v>99</v>
      </c>
      <c r="E638" t="s">
        <v>44</v>
      </c>
      <c r="F638" s="1">
        <v>45481</v>
      </c>
      <c r="G638">
        <v>1</v>
      </c>
      <c r="H638">
        <v>1582.4</v>
      </c>
      <c r="I638">
        <v>10</v>
      </c>
      <c r="J638" t="s">
        <v>31</v>
      </c>
      <c r="K638">
        <v>158.24</v>
      </c>
      <c r="L638">
        <v>1582.4</v>
      </c>
      <c r="M638">
        <v>1424.16</v>
      </c>
      <c r="N638" t="s">
        <v>122</v>
      </c>
      <c r="O638">
        <v>2024</v>
      </c>
    </row>
    <row r="639" spans="1:15" x14ac:dyDescent="0.3">
      <c r="A639" t="s">
        <v>724</v>
      </c>
      <c r="B639" t="s">
        <v>33</v>
      </c>
      <c r="C639" t="s">
        <v>54</v>
      </c>
      <c r="D639" t="s">
        <v>55</v>
      </c>
      <c r="E639" t="s">
        <v>30</v>
      </c>
      <c r="F639" s="1">
        <v>45966</v>
      </c>
      <c r="G639">
        <v>9</v>
      </c>
      <c r="H639">
        <v>1458.29</v>
      </c>
      <c r="I639">
        <v>5</v>
      </c>
      <c r="J639" t="s">
        <v>82</v>
      </c>
      <c r="K639">
        <v>656.23</v>
      </c>
      <c r="L639">
        <v>13124.61</v>
      </c>
      <c r="M639">
        <v>12468.38</v>
      </c>
      <c r="N639" t="s">
        <v>96</v>
      </c>
      <c r="O639">
        <v>2025</v>
      </c>
    </row>
    <row r="640" spans="1:15" x14ac:dyDescent="0.3">
      <c r="A640" t="s">
        <v>725</v>
      </c>
      <c r="B640" t="s">
        <v>74</v>
      </c>
      <c r="C640" t="s">
        <v>54</v>
      </c>
      <c r="D640" t="s">
        <v>68</v>
      </c>
      <c r="E640" t="s">
        <v>81</v>
      </c>
      <c r="F640" s="1">
        <v>45919</v>
      </c>
      <c r="G640">
        <v>5</v>
      </c>
      <c r="H640">
        <v>4412.93</v>
      </c>
      <c r="I640">
        <v>10</v>
      </c>
      <c r="J640" t="s">
        <v>36</v>
      </c>
      <c r="K640">
        <v>2206.4699999999998</v>
      </c>
      <c r="L640">
        <v>22064.65</v>
      </c>
      <c r="M640">
        <v>19858.18</v>
      </c>
      <c r="N640" t="s">
        <v>86</v>
      </c>
      <c r="O640">
        <v>2025</v>
      </c>
    </row>
    <row r="641" spans="1:15" x14ac:dyDescent="0.3">
      <c r="A641" t="s">
        <v>726</v>
      </c>
      <c r="B641" t="s">
        <v>65</v>
      </c>
      <c r="C641" t="s">
        <v>17</v>
      </c>
      <c r="D641" t="s">
        <v>18</v>
      </c>
      <c r="E641" t="s">
        <v>30</v>
      </c>
      <c r="F641" s="1">
        <v>45336</v>
      </c>
      <c r="G641">
        <v>3</v>
      </c>
      <c r="H641">
        <v>61402.879999999997</v>
      </c>
      <c r="I641">
        <v>0</v>
      </c>
      <c r="J641" t="s">
        <v>82</v>
      </c>
      <c r="K641">
        <v>0</v>
      </c>
      <c r="L641">
        <v>184208.64000000001</v>
      </c>
      <c r="M641">
        <v>184208.64000000001</v>
      </c>
      <c r="N641" t="s">
        <v>41</v>
      </c>
      <c r="O641">
        <v>2024</v>
      </c>
    </row>
    <row r="642" spans="1:15" x14ac:dyDescent="0.3">
      <c r="A642" t="s">
        <v>727</v>
      </c>
      <c r="B642" t="s">
        <v>89</v>
      </c>
      <c r="C642" t="s">
        <v>34</v>
      </c>
      <c r="D642" t="s">
        <v>80</v>
      </c>
      <c r="E642" t="s">
        <v>50</v>
      </c>
      <c r="F642" s="1">
        <v>45324</v>
      </c>
      <c r="G642">
        <v>10</v>
      </c>
      <c r="H642">
        <v>6362.63</v>
      </c>
      <c r="I642">
        <v>15</v>
      </c>
      <c r="J642" t="s">
        <v>82</v>
      </c>
      <c r="K642">
        <v>9543.94</v>
      </c>
      <c r="L642">
        <v>63626.3</v>
      </c>
      <c r="M642">
        <v>54082.36</v>
      </c>
      <c r="N642" t="s">
        <v>41</v>
      </c>
      <c r="O642">
        <v>2024</v>
      </c>
    </row>
    <row r="643" spans="1:15" x14ac:dyDescent="0.3">
      <c r="A643" t="s">
        <v>728</v>
      </c>
      <c r="B643" t="s">
        <v>93</v>
      </c>
      <c r="C643" t="s">
        <v>90</v>
      </c>
      <c r="D643" t="s">
        <v>91</v>
      </c>
      <c r="E643" t="s">
        <v>30</v>
      </c>
      <c r="F643" s="1">
        <v>45342</v>
      </c>
      <c r="G643">
        <v>6</v>
      </c>
      <c r="H643">
        <v>1432.77</v>
      </c>
      <c r="I643">
        <v>0</v>
      </c>
      <c r="J643" t="s">
        <v>40</v>
      </c>
      <c r="K643">
        <v>0</v>
      </c>
      <c r="L643">
        <v>8596.6200000000008</v>
      </c>
      <c r="M643">
        <v>8596.6200000000008</v>
      </c>
      <c r="N643" t="s">
        <v>41</v>
      </c>
      <c r="O643">
        <v>2024</v>
      </c>
    </row>
    <row r="644" spans="1:15" x14ac:dyDescent="0.3">
      <c r="A644" t="s">
        <v>729</v>
      </c>
      <c r="B644" t="s">
        <v>61</v>
      </c>
      <c r="C644" t="s">
        <v>17</v>
      </c>
      <c r="D644" t="s">
        <v>59</v>
      </c>
      <c r="E644" t="s">
        <v>56</v>
      </c>
      <c r="F644" s="1">
        <v>45771</v>
      </c>
      <c r="G644">
        <v>1</v>
      </c>
      <c r="H644">
        <v>24755.79</v>
      </c>
      <c r="I644">
        <v>15</v>
      </c>
      <c r="J644" t="s">
        <v>82</v>
      </c>
      <c r="K644">
        <v>3713.37</v>
      </c>
      <c r="L644">
        <v>24755.79</v>
      </c>
      <c r="M644">
        <v>21042.42</v>
      </c>
      <c r="N644" t="s">
        <v>27</v>
      </c>
      <c r="O644">
        <v>2025</v>
      </c>
    </row>
    <row r="645" spans="1:15" x14ac:dyDescent="0.3">
      <c r="A645" t="s">
        <v>730</v>
      </c>
      <c r="B645" t="s">
        <v>38</v>
      </c>
      <c r="C645" t="s">
        <v>62</v>
      </c>
      <c r="D645" t="s">
        <v>95</v>
      </c>
      <c r="E645" t="s">
        <v>81</v>
      </c>
      <c r="F645" s="1">
        <v>45833</v>
      </c>
      <c r="G645">
        <v>1</v>
      </c>
      <c r="H645">
        <v>866.86</v>
      </c>
      <c r="I645">
        <v>10</v>
      </c>
      <c r="J645" t="s">
        <v>40</v>
      </c>
      <c r="K645">
        <v>86.69</v>
      </c>
      <c r="L645">
        <v>866.86</v>
      </c>
      <c r="M645">
        <v>780.17</v>
      </c>
      <c r="N645" t="s">
        <v>72</v>
      </c>
      <c r="O645">
        <v>2025</v>
      </c>
    </row>
    <row r="646" spans="1:15" x14ac:dyDescent="0.3">
      <c r="A646" t="s">
        <v>731</v>
      </c>
      <c r="B646" t="s">
        <v>65</v>
      </c>
      <c r="C646" t="s">
        <v>17</v>
      </c>
      <c r="D646" t="s">
        <v>59</v>
      </c>
      <c r="E646" t="s">
        <v>25</v>
      </c>
      <c r="F646" s="1">
        <v>45528</v>
      </c>
      <c r="G646">
        <v>9</v>
      </c>
      <c r="H646">
        <v>24908.32</v>
      </c>
      <c r="I646">
        <v>5</v>
      </c>
      <c r="J646" t="s">
        <v>82</v>
      </c>
      <c r="K646">
        <v>11208.74</v>
      </c>
      <c r="L646">
        <v>224174.88</v>
      </c>
      <c r="M646">
        <v>212966.14</v>
      </c>
      <c r="N646" t="s">
        <v>21</v>
      </c>
      <c r="O646">
        <v>2024</v>
      </c>
    </row>
    <row r="647" spans="1:15" x14ac:dyDescent="0.3">
      <c r="A647" t="s">
        <v>732</v>
      </c>
      <c r="B647" t="s">
        <v>93</v>
      </c>
      <c r="C647" t="s">
        <v>54</v>
      </c>
      <c r="D647" t="s">
        <v>55</v>
      </c>
      <c r="E647" t="s">
        <v>30</v>
      </c>
      <c r="F647" s="1">
        <v>45863</v>
      </c>
      <c r="G647">
        <v>9</v>
      </c>
      <c r="H647">
        <v>1204.56</v>
      </c>
      <c r="I647">
        <v>0</v>
      </c>
      <c r="J647" t="s">
        <v>36</v>
      </c>
      <c r="K647">
        <v>0</v>
      </c>
      <c r="L647">
        <v>10841.04</v>
      </c>
      <c r="M647">
        <v>10841.04</v>
      </c>
      <c r="N647" t="s">
        <v>122</v>
      </c>
      <c r="O647">
        <v>2025</v>
      </c>
    </row>
    <row r="648" spans="1:15" x14ac:dyDescent="0.3">
      <c r="A648" t="s">
        <v>733</v>
      </c>
      <c r="B648" t="s">
        <v>61</v>
      </c>
      <c r="C648" t="s">
        <v>54</v>
      </c>
      <c r="D648" t="s">
        <v>137</v>
      </c>
      <c r="E648" t="s">
        <v>56</v>
      </c>
      <c r="F648" s="1">
        <v>45398</v>
      </c>
      <c r="G648">
        <v>3</v>
      </c>
      <c r="H648">
        <v>988.3</v>
      </c>
      <c r="I648">
        <v>20</v>
      </c>
      <c r="J648" t="s">
        <v>31</v>
      </c>
      <c r="K648">
        <v>592.98</v>
      </c>
      <c r="L648">
        <v>2964.9</v>
      </c>
      <c r="M648">
        <v>2371.92</v>
      </c>
      <c r="N648" t="s">
        <v>27</v>
      </c>
      <c r="O648">
        <v>2024</v>
      </c>
    </row>
    <row r="649" spans="1:15" x14ac:dyDescent="0.3">
      <c r="A649" t="s">
        <v>734</v>
      </c>
      <c r="B649" t="s">
        <v>33</v>
      </c>
      <c r="C649" t="s">
        <v>90</v>
      </c>
      <c r="D649" t="s">
        <v>91</v>
      </c>
      <c r="E649" t="s">
        <v>30</v>
      </c>
      <c r="F649" s="1">
        <v>45838</v>
      </c>
      <c r="G649">
        <v>10</v>
      </c>
      <c r="H649">
        <v>1516.13</v>
      </c>
      <c r="I649">
        <v>10</v>
      </c>
      <c r="J649" t="s">
        <v>36</v>
      </c>
      <c r="K649">
        <v>1516.13</v>
      </c>
      <c r="L649">
        <v>15161.3</v>
      </c>
      <c r="M649">
        <v>13645.17</v>
      </c>
      <c r="N649" t="s">
        <v>72</v>
      </c>
      <c r="O649">
        <v>2025</v>
      </c>
    </row>
    <row r="650" spans="1:15" x14ac:dyDescent="0.3">
      <c r="A650" t="s">
        <v>735</v>
      </c>
      <c r="B650" t="s">
        <v>33</v>
      </c>
      <c r="C650" t="s">
        <v>62</v>
      </c>
      <c r="D650" t="s">
        <v>132</v>
      </c>
      <c r="E650" t="s">
        <v>44</v>
      </c>
      <c r="F650" s="1">
        <v>45714</v>
      </c>
      <c r="G650">
        <v>7</v>
      </c>
      <c r="H650">
        <v>2766.35</v>
      </c>
      <c r="I650">
        <v>10</v>
      </c>
      <c r="J650" t="s">
        <v>45</v>
      </c>
      <c r="K650">
        <v>1936.45</v>
      </c>
      <c r="L650">
        <v>19364.45</v>
      </c>
      <c r="M650">
        <v>17428</v>
      </c>
      <c r="N650" t="s">
        <v>41</v>
      </c>
      <c r="O650">
        <v>2025</v>
      </c>
    </row>
    <row r="651" spans="1:15" x14ac:dyDescent="0.3">
      <c r="A651" t="s">
        <v>736</v>
      </c>
      <c r="B651" t="s">
        <v>93</v>
      </c>
      <c r="C651" t="s">
        <v>54</v>
      </c>
      <c r="D651" t="s">
        <v>55</v>
      </c>
      <c r="E651" t="s">
        <v>81</v>
      </c>
      <c r="F651" s="1">
        <v>45676</v>
      </c>
      <c r="G651">
        <v>9</v>
      </c>
      <c r="H651">
        <v>1357.84</v>
      </c>
      <c r="I651">
        <v>10</v>
      </c>
      <c r="J651" t="s">
        <v>20</v>
      </c>
      <c r="K651">
        <v>1222.06</v>
      </c>
      <c r="L651">
        <v>12220.56</v>
      </c>
      <c r="M651">
        <v>10998.5</v>
      </c>
      <c r="N651" t="s">
        <v>116</v>
      </c>
      <c r="O651">
        <v>2025</v>
      </c>
    </row>
    <row r="652" spans="1:15" x14ac:dyDescent="0.3">
      <c r="A652" t="s">
        <v>737</v>
      </c>
      <c r="B652" t="s">
        <v>89</v>
      </c>
      <c r="C652" t="s">
        <v>62</v>
      </c>
      <c r="D652" t="s">
        <v>99</v>
      </c>
      <c r="E652" t="s">
        <v>56</v>
      </c>
      <c r="F652" s="1">
        <v>45327</v>
      </c>
      <c r="G652">
        <v>5</v>
      </c>
      <c r="H652">
        <v>1573.41</v>
      </c>
      <c r="I652">
        <v>20</v>
      </c>
      <c r="J652" t="s">
        <v>26</v>
      </c>
      <c r="K652">
        <v>1573.41</v>
      </c>
      <c r="L652">
        <v>7867.05</v>
      </c>
      <c r="M652">
        <v>6293.64</v>
      </c>
      <c r="N652" t="s">
        <v>41</v>
      </c>
      <c r="O652">
        <v>2024</v>
      </c>
    </row>
    <row r="653" spans="1:15" x14ac:dyDescent="0.3">
      <c r="A653" t="s">
        <v>738</v>
      </c>
      <c r="B653" t="s">
        <v>109</v>
      </c>
      <c r="C653" t="s">
        <v>34</v>
      </c>
      <c r="D653" t="s">
        <v>48</v>
      </c>
      <c r="E653" t="s">
        <v>19</v>
      </c>
      <c r="F653" s="1">
        <v>45511</v>
      </c>
      <c r="G653">
        <v>6</v>
      </c>
      <c r="H653">
        <v>7243.4</v>
      </c>
      <c r="I653">
        <v>10</v>
      </c>
      <c r="J653" t="s">
        <v>20</v>
      </c>
      <c r="K653">
        <v>4346.04</v>
      </c>
      <c r="L653">
        <v>43460.4</v>
      </c>
      <c r="M653">
        <v>39114.36</v>
      </c>
      <c r="N653" t="s">
        <v>21</v>
      </c>
      <c r="O653">
        <v>2024</v>
      </c>
    </row>
    <row r="654" spans="1:15" x14ac:dyDescent="0.3">
      <c r="A654" t="s">
        <v>739</v>
      </c>
      <c r="B654" t="s">
        <v>65</v>
      </c>
      <c r="C654" t="s">
        <v>54</v>
      </c>
      <c r="D654" t="s">
        <v>77</v>
      </c>
      <c r="E654" t="s">
        <v>81</v>
      </c>
      <c r="F654" s="1">
        <v>45388</v>
      </c>
      <c r="G654">
        <v>1</v>
      </c>
      <c r="H654">
        <v>5075.46</v>
      </c>
      <c r="I654">
        <v>5</v>
      </c>
      <c r="J654" t="s">
        <v>36</v>
      </c>
      <c r="K654">
        <v>253.77</v>
      </c>
      <c r="L654">
        <v>5075.46</v>
      </c>
      <c r="M654">
        <v>4821.6899999999996</v>
      </c>
      <c r="N654" t="s">
        <v>27</v>
      </c>
      <c r="O654">
        <v>2024</v>
      </c>
    </row>
    <row r="655" spans="1:15" x14ac:dyDescent="0.3">
      <c r="A655" t="s">
        <v>740</v>
      </c>
      <c r="B655" t="s">
        <v>33</v>
      </c>
      <c r="C655" t="s">
        <v>34</v>
      </c>
      <c r="D655" t="s">
        <v>48</v>
      </c>
      <c r="E655" t="s">
        <v>81</v>
      </c>
      <c r="F655" s="1">
        <v>45530</v>
      </c>
      <c r="G655">
        <v>5</v>
      </c>
      <c r="H655">
        <v>8822.15</v>
      </c>
      <c r="I655">
        <v>0</v>
      </c>
      <c r="J655" t="s">
        <v>20</v>
      </c>
      <c r="K655">
        <v>0</v>
      </c>
      <c r="L655">
        <v>44110.75</v>
      </c>
      <c r="M655">
        <v>44110.75</v>
      </c>
      <c r="N655" t="s">
        <v>21</v>
      </c>
      <c r="O655">
        <v>2024</v>
      </c>
    </row>
    <row r="656" spans="1:15" x14ac:dyDescent="0.3">
      <c r="A656" t="s">
        <v>741</v>
      </c>
      <c r="B656" t="s">
        <v>93</v>
      </c>
      <c r="C656" t="s">
        <v>54</v>
      </c>
      <c r="D656" t="s">
        <v>68</v>
      </c>
      <c r="E656" t="s">
        <v>50</v>
      </c>
      <c r="F656" s="1">
        <v>45624</v>
      </c>
      <c r="G656">
        <v>8</v>
      </c>
      <c r="H656">
        <v>4668.97</v>
      </c>
      <c r="I656">
        <v>20</v>
      </c>
      <c r="J656" t="s">
        <v>82</v>
      </c>
      <c r="K656">
        <v>7470.35</v>
      </c>
      <c r="L656">
        <v>37351.760000000002</v>
      </c>
      <c r="M656">
        <v>29881.41</v>
      </c>
      <c r="N656" t="s">
        <v>96</v>
      </c>
      <c r="O656">
        <v>2024</v>
      </c>
    </row>
    <row r="657" spans="1:15" x14ac:dyDescent="0.3">
      <c r="A657" t="s">
        <v>742</v>
      </c>
      <c r="B657" t="s">
        <v>61</v>
      </c>
      <c r="C657" t="s">
        <v>17</v>
      </c>
      <c r="D657" t="s">
        <v>24</v>
      </c>
      <c r="E657" t="s">
        <v>19</v>
      </c>
      <c r="F657" s="1">
        <v>45882</v>
      </c>
      <c r="G657">
        <v>7</v>
      </c>
      <c r="H657">
        <v>2758.86</v>
      </c>
      <c r="I657">
        <v>0</v>
      </c>
      <c r="J657" t="s">
        <v>26</v>
      </c>
      <c r="K657">
        <v>0</v>
      </c>
      <c r="L657">
        <v>19312.02</v>
      </c>
      <c r="M657">
        <v>19312.02</v>
      </c>
      <c r="N657" t="s">
        <v>21</v>
      </c>
      <c r="O657">
        <v>2025</v>
      </c>
    </row>
    <row r="658" spans="1:15" x14ac:dyDescent="0.3">
      <c r="A658" t="s">
        <v>743</v>
      </c>
      <c r="B658" t="s">
        <v>114</v>
      </c>
      <c r="C658" t="s">
        <v>62</v>
      </c>
      <c r="D658" t="s">
        <v>119</v>
      </c>
      <c r="E658" t="s">
        <v>44</v>
      </c>
      <c r="F658" s="1">
        <v>45718</v>
      </c>
      <c r="G658">
        <v>2</v>
      </c>
      <c r="H658">
        <v>3911.06</v>
      </c>
      <c r="I658">
        <v>5</v>
      </c>
      <c r="J658" t="s">
        <v>31</v>
      </c>
      <c r="K658">
        <v>391.11</v>
      </c>
      <c r="L658">
        <v>7822.12</v>
      </c>
      <c r="M658">
        <v>7431.01</v>
      </c>
      <c r="N658" t="s">
        <v>83</v>
      </c>
      <c r="O658">
        <v>2025</v>
      </c>
    </row>
    <row r="659" spans="1:15" x14ac:dyDescent="0.3">
      <c r="A659" t="s">
        <v>744</v>
      </c>
      <c r="B659" t="s">
        <v>61</v>
      </c>
      <c r="C659" t="s">
        <v>54</v>
      </c>
      <c r="D659" t="s">
        <v>70</v>
      </c>
      <c r="E659" t="s">
        <v>44</v>
      </c>
      <c r="F659" s="1">
        <v>45347</v>
      </c>
      <c r="G659">
        <v>5</v>
      </c>
      <c r="H659">
        <v>2577.7399999999998</v>
      </c>
      <c r="I659">
        <v>10</v>
      </c>
      <c r="J659" t="s">
        <v>31</v>
      </c>
      <c r="K659">
        <v>1288.8699999999999</v>
      </c>
      <c r="L659">
        <v>12888.7</v>
      </c>
      <c r="M659">
        <v>11599.83</v>
      </c>
      <c r="N659" t="s">
        <v>41</v>
      </c>
      <c r="O659">
        <v>2024</v>
      </c>
    </row>
    <row r="660" spans="1:15" x14ac:dyDescent="0.3">
      <c r="A660" t="s">
        <v>745</v>
      </c>
      <c r="B660" t="s">
        <v>53</v>
      </c>
      <c r="C660" t="s">
        <v>54</v>
      </c>
      <c r="D660" t="s">
        <v>77</v>
      </c>
      <c r="E660" t="s">
        <v>19</v>
      </c>
      <c r="F660" s="1">
        <v>45448</v>
      </c>
      <c r="G660">
        <v>1</v>
      </c>
      <c r="H660">
        <v>5342.04</v>
      </c>
      <c r="I660">
        <v>15</v>
      </c>
      <c r="J660" t="s">
        <v>20</v>
      </c>
      <c r="K660">
        <v>801.31</v>
      </c>
      <c r="L660">
        <v>5342.04</v>
      </c>
      <c r="M660">
        <v>4540.7299999999996</v>
      </c>
      <c r="N660" t="s">
        <v>72</v>
      </c>
      <c r="O660">
        <v>2024</v>
      </c>
    </row>
    <row r="661" spans="1:15" x14ac:dyDescent="0.3">
      <c r="A661" t="s">
        <v>746</v>
      </c>
      <c r="B661" t="s">
        <v>93</v>
      </c>
      <c r="C661" t="s">
        <v>90</v>
      </c>
      <c r="D661" t="s">
        <v>91</v>
      </c>
      <c r="E661" t="s">
        <v>81</v>
      </c>
      <c r="F661" s="1">
        <v>45519</v>
      </c>
      <c r="G661">
        <v>7</v>
      </c>
      <c r="H661">
        <v>1458.67</v>
      </c>
      <c r="I661">
        <v>15</v>
      </c>
      <c r="J661" t="s">
        <v>82</v>
      </c>
      <c r="K661">
        <v>1531.6</v>
      </c>
      <c r="L661">
        <v>10210.69</v>
      </c>
      <c r="M661">
        <v>8679.09</v>
      </c>
      <c r="N661" t="s">
        <v>21</v>
      </c>
      <c r="O661">
        <v>2024</v>
      </c>
    </row>
    <row r="662" spans="1:15" x14ac:dyDescent="0.3">
      <c r="A662" t="s">
        <v>747</v>
      </c>
      <c r="B662" t="s">
        <v>33</v>
      </c>
      <c r="C662" t="s">
        <v>34</v>
      </c>
      <c r="D662" t="s">
        <v>85</v>
      </c>
      <c r="E662" t="s">
        <v>25</v>
      </c>
      <c r="F662" s="1">
        <v>45877</v>
      </c>
      <c r="G662">
        <v>1</v>
      </c>
      <c r="H662">
        <v>12444.46</v>
      </c>
      <c r="I662">
        <v>10</v>
      </c>
      <c r="J662" t="s">
        <v>71</v>
      </c>
      <c r="K662">
        <v>1244.45</v>
      </c>
      <c r="L662">
        <v>12444.46</v>
      </c>
      <c r="M662">
        <v>11200.01</v>
      </c>
      <c r="N662" t="s">
        <v>21</v>
      </c>
      <c r="O662">
        <v>2025</v>
      </c>
    </row>
    <row r="663" spans="1:15" x14ac:dyDescent="0.3">
      <c r="A663" t="s">
        <v>748</v>
      </c>
      <c r="B663" t="s">
        <v>65</v>
      </c>
      <c r="C663" t="s">
        <v>17</v>
      </c>
      <c r="D663" t="s">
        <v>157</v>
      </c>
      <c r="E663" t="s">
        <v>56</v>
      </c>
      <c r="F663" s="1">
        <v>45430</v>
      </c>
      <c r="G663">
        <v>8</v>
      </c>
      <c r="H663">
        <v>7278.77</v>
      </c>
      <c r="I663">
        <v>15</v>
      </c>
      <c r="J663" t="s">
        <v>36</v>
      </c>
      <c r="K663">
        <v>8734.52</v>
      </c>
      <c r="L663">
        <v>58230.16</v>
      </c>
      <c r="M663">
        <v>49495.64</v>
      </c>
      <c r="N663" t="s">
        <v>101</v>
      </c>
      <c r="O663">
        <v>2024</v>
      </c>
    </row>
    <row r="664" spans="1:15" x14ac:dyDescent="0.3">
      <c r="A664" t="s">
        <v>749</v>
      </c>
      <c r="B664" t="s">
        <v>29</v>
      </c>
      <c r="C664" t="s">
        <v>90</v>
      </c>
      <c r="D664" t="s">
        <v>91</v>
      </c>
      <c r="E664" t="s">
        <v>81</v>
      </c>
      <c r="F664" s="1">
        <v>45540</v>
      </c>
      <c r="G664">
        <v>2</v>
      </c>
      <c r="H664">
        <v>1449.85</v>
      </c>
      <c r="I664">
        <v>15</v>
      </c>
      <c r="J664" t="s">
        <v>20</v>
      </c>
      <c r="K664">
        <v>434.95</v>
      </c>
      <c r="L664">
        <v>2899.7</v>
      </c>
      <c r="M664">
        <v>2464.75</v>
      </c>
      <c r="N664" t="s">
        <v>86</v>
      </c>
      <c r="O664">
        <v>2024</v>
      </c>
    </row>
    <row r="665" spans="1:15" x14ac:dyDescent="0.3">
      <c r="A665" t="s">
        <v>750</v>
      </c>
      <c r="B665" t="s">
        <v>47</v>
      </c>
      <c r="C665" t="s">
        <v>62</v>
      </c>
      <c r="D665" t="s">
        <v>132</v>
      </c>
      <c r="E665" t="s">
        <v>25</v>
      </c>
      <c r="F665" s="1">
        <v>45725</v>
      </c>
      <c r="G665">
        <v>6</v>
      </c>
      <c r="H665">
        <v>2467.69</v>
      </c>
      <c r="I665">
        <v>10</v>
      </c>
      <c r="J665" t="s">
        <v>31</v>
      </c>
      <c r="K665">
        <v>1480.61</v>
      </c>
      <c r="L665">
        <v>14806.14</v>
      </c>
      <c r="M665">
        <v>13325.53</v>
      </c>
      <c r="N665" t="s">
        <v>83</v>
      </c>
      <c r="O665">
        <v>2025</v>
      </c>
    </row>
    <row r="666" spans="1:15" x14ac:dyDescent="0.3">
      <c r="A666" t="s">
        <v>751</v>
      </c>
      <c r="B666" t="s">
        <v>61</v>
      </c>
      <c r="C666" t="s">
        <v>62</v>
      </c>
      <c r="D666" t="s">
        <v>132</v>
      </c>
      <c r="E666" t="s">
        <v>25</v>
      </c>
      <c r="F666" s="1">
        <v>45465</v>
      </c>
      <c r="G666">
        <v>6</v>
      </c>
      <c r="H666">
        <v>2635.14</v>
      </c>
      <c r="I666">
        <v>15</v>
      </c>
      <c r="J666" t="s">
        <v>40</v>
      </c>
      <c r="K666">
        <v>2371.63</v>
      </c>
      <c r="L666">
        <v>15810.84</v>
      </c>
      <c r="M666">
        <v>13439.21</v>
      </c>
      <c r="N666" t="s">
        <v>72</v>
      </c>
      <c r="O666">
        <v>2024</v>
      </c>
    </row>
    <row r="667" spans="1:15" x14ac:dyDescent="0.3">
      <c r="A667" t="s">
        <v>752</v>
      </c>
      <c r="B667" t="s">
        <v>89</v>
      </c>
      <c r="C667" t="s">
        <v>54</v>
      </c>
      <c r="D667" t="s">
        <v>55</v>
      </c>
      <c r="E667" t="s">
        <v>25</v>
      </c>
      <c r="F667" s="1">
        <v>45496</v>
      </c>
      <c r="G667">
        <v>6</v>
      </c>
      <c r="H667">
        <v>1126.8</v>
      </c>
      <c r="I667">
        <v>0</v>
      </c>
      <c r="J667" t="s">
        <v>20</v>
      </c>
      <c r="K667">
        <v>0</v>
      </c>
      <c r="L667">
        <v>6760.8</v>
      </c>
      <c r="M667">
        <v>6760.8</v>
      </c>
      <c r="N667" t="s">
        <v>122</v>
      </c>
      <c r="O667">
        <v>2024</v>
      </c>
    </row>
    <row r="668" spans="1:15" x14ac:dyDescent="0.3">
      <c r="A668" t="s">
        <v>753</v>
      </c>
      <c r="B668" t="s">
        <v>29</v>
      </c>
      <c r="C668" t="s">
        <v>17</v>
      </c>
      <c r="D668" t="s">
        <v>18</v>
      </c>
      <c r="E668" t="s">
        <v>81</v>
      </c>
      <c r="F668" s="1">
        <v>45586</v>
      </c>
      <c r="G668">
        <v>1</v>
      </c>
      <c r="H668">
        <v>70485.98</v>
      </c>
      <c r="I668">
        <v>0</v>
      </c>
      <c r="J668" t="s">
        <v>36</v>
      </c>
      <c r="K668">
        <v>0</v>
      </c>
      <c r="L668">
        <v>70485.98</v>
      </c>
      <c r="M668">
        <v>70485.98</v>
      </c>
      <c r="N668" t="s">
        <v>57</v>
      </c>
      <c r="O668">
        <v>2024</v>
      </c>
    </row>
    <row r="669" spans="1:15" x14ac:dyDescent="0.3">
      <c r="A669" t="s">
        <v>754</v>
      </c>
      <c r="B669" t="s">
        <v>89</v>
      </c>
      <c r="C669" t="s">
        <v>62</v>
      </c>
      <c r="D669" t="s">
        <v>99</v>
      </c>
      <c r="E669" t="s">
        <v>25</v>
      </c>
      <c r="F669" s="1">
        <v>45506</v>
      </c>
      <c r="G669">
        <v>9</v>
      </c>
      <c r="H669">
        <v>1429.45</v>
      </c>
      <c r="I669">
        <v>20</v>
      </c>
      <c r="J669" t="s">
        <v>45</v>
      </c>
      <c r="K669">
        <v>2573.0100000000002</v>
      </c>
      <c r="L669">
        <v>12865.05</v>
      </c>
      <c r="M669">
        <v>10292.040000000001</v>
      </c>
      <c r="N669" t="s">
        <v>21</v>
      </c>
      <c r="O669">
        <v>2024</v>
      </c>
    </row>
    <row r="670" spans="1:15" x14ac:dyDescent="0.3">
      <c r="A670" t="s">
        <v>755</v>
      </c>
      <c r="B670" t="s">
        <v>65</v>
      </c>
      <c r="C670" t="s">
        <v>54</v>
      </c>
      <c r="D670" t="s">
        <v>137</v>
      </c>
      <c r="E670" t="s">
        <v>56</v>
      </c>
      <c r="F670" s="1">
        <v>46003</v>
      </c>
      <c r="G670">
        <v>1</v>
      </c>
      <c r="H670">
        <v>984.21</v>
      </c>
      <c r="I670">
        <v>20</v>
      </c>
      <c r="J670" t="s">
        <v>36</v>
      </c>
      <c r="K670">
        <v>196.84</v>
      </c>
      <c r="L670">
        <v>984.21</v>
      </c>
      <c r="M670">
        <v>787.37</v>
      </c>
      <c r="N670" t="s">
        <v>51</v>
      </c>
      <c r="O670">
        <v>2025</v>
      </c>
    </row>
    <row r="671" spans="1:15" x14ac:dyDescent="0.3">
      <c r="A671" t="s">
        <v>756</v>
      </c>
      <c r="B671" t="s">
        <v>53</v>
      </c>
      <c r="C671" t="s">
        <v>17</v>
      </c>
      <c r="D671" t="s">
        <v>39</v>
      </c>
      <c r="E671" t="s">
        <v>25</v>
      </c>
      <c r="F671" s="1">
        <v>45497</v>
      </c>
      <c r="G671">
        <v>10</v>
      </c>
      <c r="H671">
        <v>17420.77</v>
      </c>
      <c r="I671">
        <v>15</v>
      </c>
      <c r="J671" t="s">
        <v>40</v>
      </c>
      <c r="K671">
        <v>26131.16</v>
      </c>
      <c r="L671">
        <v>174207.7</v>
      </c>
      <c r="M671">
        <v>148076.54</v>
      </c>
      <c r="N671" t="s">
        <v>122</v>
      </c>
      <c r="O671">
        <v>2024</v>
      </c>
    </row>
    <row r="672" spans="1:15" x14ac:dyDescent="0.3">
      <c r="A672" t="s">
        <v>757</v>
      </c>
      <c r="B672" t="s">
        <v>23</v>
      </c>
      <c r="C672" t="s">
        <v>17</v>
      </c>
      <c r="D672" t="s">
        <v>18</v>
      </c>
      <c r="E672" t="s">
        <v>30</v>
      </c>
      <c r="F672" s="1">
        <v>45970</v>
      </c>
      <c r="G672">
        <v>6</v>
      </c>
      <c r="H672">
        <v>79799.05</v>
      </c>
      <c r="I672">
        <v>0</v>
      </c>
      <c r="J672" t="s">
        <v>40</v>
      </c>
      <c r="K672">
        <v>0</v>
      </c>
      <c r="L672">
        <v>478794.3</v>
      </c>
      <c r="M672">
        <v>478794.3</v>
      </c>
      <c r="N672" t="s">
        <v>96</v>
      </c>
      <c r="O672">
        <v>2025</v>
      </c>
    </row>
    <row r="673" spans="1:15" x14ac:dyDescent="0.3">
      <c r="A673" t="s">
        <v>758</v>
      </c>
      <c r="B673" t="s">
        <v>29</v>
      </c>
      <c r="C673" t="s">
        <v>62</v>
      </c>
      <c r="D673" t="s">
        <v>99</v>
      </c>
      <c r="E673" t="s">
        <v>56</v>
      </c>
      <c r="F673" s="1">
        <v>45615</v>
      </c>
      <c r="G673">
        <v>8</v>
      </c>
      <c r="H673">
        <v>1842.54</v>
      </c>
      <c r="I673">
        <v>20</v>
      </c>
      <c r="J673" t="s">
        <v>82</v>
      </c>
      <c r="K673">
        <v>2948.06</v>
      </c>
      <c r="L673">
        <v>14740.32</v>
      </c>
      <c r="M673">
        <v>11792.26</v>
      </c>
      <c r="N673" t="s">
        <v>96</v>
      </c>
      <c r="O673">
        <v>2024</v>
      </c>
    </row>
    <row r="674" spans="1:15" x14ac:dyDescent="0.3">
      <c r="A674" t="s">
        <v>759</v>
      </c>
      <c r="B674" t="s">
        <v>29</v>
      </c>
      <c r="C674" t="s">
        <v>17</v>
      </c>
      <c r="D674" t="s">
        <v>59</v>
      </c>
      <c r="E674" t="s">
        <v>81</v>
      </c>
      <c r="F674" s="1">
        <v>45866</v>
      </c>
      <c r="G674">
        <v>1</v>
      </c>
      <c r="H674">
        <v>22748.45</v>
      </c>
      <c r="I674">
        <v>20</v>
      </c>
      <c r="J674" t="s">
        <v>71</v>
      </c>
      <c r="K674">
        <v>4549.6899999999996</v>
      </c>
      <c r="L674">
        <v>22748.45</v>
      </c>
      <c r="M674">
        <v>18198.759999999998</v>
      </c>
      <c r="N674" t="s">
        <v>122</v>
      </c>
      <c r="O674">
        <v>2025</v>
      </c>
    </row>
    <row r="675" spans="1:15" x14ac:dyDescent="0.3">
      <c r="A675" t="s">
        <v>760</v>
      </c>
      <c r="B675" t="s">
        <v>89</v>
      </c>
      <c r="C675" t="s">
        <v>62</v>
      </c>
      <c r="D675" t="s">
        <v>119</v>
      </c>
      <c r="E675" t="s">
        <v>56</v>
      </c>
      <c r="F675" s="1">
        <v>45310</v>
      </c>
      <c r="G675">
        <v>6</v>
      </c>
      <c r="H675">
        <v>3748.77</v>
      </c>
      <c r="I675">
        <v>10</v>
      </c>
      <c r="J675" t="s">
        <v>36</v>
      </c>
      <c r="K675">
        <v>2249.2600000000002</v>
      </c>
      <c r="L675">
        <v>22492.62</v>
      </c>
      <c r="M675">
        <v>20243.36</v>
      </c>
      <c r="N675" t="s">
        <v>116</v>
      </c>
      <c r="O675">
        <v>2024</v>
      </c>
    </row>
    <row r="676" spans="1:15" x14ac:dyDescent="0.3">
      <c r="A676" t="s">
        <v>761</v>
      </c>
      <c r="B676" t="s">
        <v>65</v>
      </c>
      <c r="C676" t="s">
        <v>62</v>
      </c>
      <c r="D676" t="s">
        <v>63</v>
      </c>
      <c r="E676" t="s">
        <v>19</v>
      </c>
      <c r="F676" s="1">
        <v>45932</v>
      </c>
      <c r="G676">
        <v>5</v>
      </c>
      <c r="H676">
        <v>2216.9499999999998</v>
      </c>
      <c r="I676">
        <v>0</v>
      </c>
      <c r="J676" t="s">
        <v>26</v>
      </c>
      <c r="K676">
        <v>0</v>
      </c>
      <c r="L676">
        <v>11084.75</v>
      </c>
      <c r="M676">
        <v>11084.75</v>
      </c>
      <c r="N676" t="s">
        <v>57</v>
      </c>
      <c r="O676">
        <v>2025</v>
      </c>
    </row>
    <row r="677" spans="1:15" x14ac:dyDescent="0.3">
      <c r="A677" t="s">
        <v>762</v>
      </c>
      <c r="B677" t="s">
        <v>29</v>
      </c>
      <c r="C677" t="s">
        <v>54</v>
      </c>
      <c r="D677" t="s">
        <v>137</v>
      </c>
      <c r="E677" t="s">
        <v>50</v>
      </c>
      <c r="F677" s="1">
        <v>45694</v>
      </c>
      <c r="G677">
        <v>3</v>
      </c>
      <c r="H677">
        <v>829.75</v>
      </c>
      <c r="I677">
        <v>15</v>
      </c>
      <c r="J677" t="s">
        <v>45</v>
      </c>
      <c r="K677">
        <v>373.39</v>
      </c>
      <c r="L677">
        <v>2489.25</v>
      </c>
      <c r="M677">
        <v>2115.86</v>
      </c>
      <c r="N677" t="s">
        <v>41</v>
      </c>
      <c r="O677">
        <v>2025</v>
      </c>
    </row>
    <row r="678" spans="1:15" x14ac:dyDescent="0.3">
      <c r="A678" t="s">
        <v>763</v>
      </c>
      <c r="B678" t="s">
        <v>38</v>
      </c>
      <c r="C678" t="s">
        <v>54</v>
      </c>
      <c r="D678" t="s">
        <v>77</v>
      </c>
      <c r="E678" t="s">
        <v>30</v>
      </c>
      <c r="F678" s="1">
        <v>45719</v>
      </c>
      <c r="G678">
        <v>4</v>
      </c>
      <c r="H678">
        <v>5216.12</v>
      </c>
      <c r="I678">
        <v>15</v>
      </c>
      <c r="J678" t="s">
        <v>20</v>
      </c>
      <c r="K678">
        <v>3129.67</v>
      </c>
      <c r="L678">
        <v>20864.48</v>
      </c>
      <c r="M678">
        <v>17734.810000000001</v>
      </c>
      <c r="N678" t="s">
        <v>83</v>
      </c>
      <c r="O678">
        <v>2025</v>
      </c>
    </row>
    <row r="679" spans="1:15" x14ac:dyDescent="0.3">
      <c r="A679" t="s">
        <v>764</v>
      </c>
      <c r="B679" t="s">
        <v>33</v>
      </c>
      <c r="C679" t="s">
        <v>62</v>
      </c>
      <c r="D679" t="s">
        <v>132</v>
      </c>
      <c r="E679" t="s">
        <v>56</v>
      </c>
      <c r="F679" s="1">
        <v>45503</v>
      </c>
      <c r="G679">
        <v>3</v>
      </c>
      <c r="H679">
        <v>2613.14</v>
      </c>
      <c r="I679">
        <v>5</v>
      </c>
      <c r="J679" t="s">
        <v>36</v>
      </c>
      <c r="K679">
        <v>391.97</v>
      </c>
      <c r="L679">
        <v>7839.42</v>
      </c>
      <c r="M679">
        <v>7447.45</v>
      </c>
      <c r="N679" t="s">
        <v>122</v>
      </c>
      <c r="O679">
        <v>2024</v>
      </c>
    </row>
    <row r="680" spans="1:15" x14ac:dyDescent="0.3">
      <c r="A680" t="s">
        <v>765</v>
      </c>
      <c r="B680" t="s">
        <v>16</v>
      </c>
      <c r="C680" t="s">
        <v>34</v>
      </c>
      <c r="D680" t="s">
        <v>48</v>
      </c>
      <c r="E680" t="s">
        <v>30</v>
      </c>
      <c r="F680" s="1">
        <v>45732</v>
      </c>
      <c r="G680">
        <v>3</v>
      </c>
      <c r="H680">
        <v>8512.4599999999991</v>
      </c>
      <c r="I680">
        <v>20</v>
      </c>
      <c r="J680" t="s">
        <v>36</v>
      </c>
      <c r="K680">
        <v>5107.4799999999996</v>
      </c>
      <c r="L680">
        <v>25537.38</v>
      </c>
      <c r="M680">
        <v>20429.900000000001</v>
      </c>
      <c r="N680" t="s">
        <v>83</v>
      </c>
      <c r="O680">
        <v>2025</v>
      </c>
    </row>
    <row r="681" spans="1:15" x14ac:dyDescent="0.3">
      <c r="A681" t="s">
        <v>766</v>
      </c>
      <c r="B681" t="s">
        <v>47</v>
      </c>
      <c r="C681" t="s">
        <v>34</v>
      </c>
      <c r="D681" t="s">
        <v>48</v>
      </c>
      <c r="E681" t="s">
        <v>81</v>
      </c>
      <c r="F681" s="1">
        <v>45480</v>
      </c>
      <c r="G681">
        <v>6</v>
      </c>
      <c r="H681">
        <v>8879.0499999999993</v>
      </c>
      <c r="I681">
        <v>5</v>
      </c>
      <c r="J681" t="s">
        <v>82</v>
      </c>
      <c r="K681">
        <v>2663.72</v>
      </c>
      <c r="L681">
        <v>53274.3</v>
      </c>
      <c r="M681">
        <v>50610.58</v>
      </c>
      <c r="N681" t="s">
        <v>122</v>
      </c>
      <c r="O681">
        <v>2024</v>
      </c>
    </row>
    <row r="682" spans="1:15" x14ac:dyDescent="0.3">
      <c r="A682" t="s">
        <v>767</v>
      </c>
      <c r="B682" t="s">
        <v>114</v>
      </c>
      <c r="C682" t="s">
        <v>17</v>
      </c>
      <c r="D682" t="s">
        <v>39</v>
      </c>
      <c r="E682" t="s">
        <v>56</v>
      </c>
      <c r="F682" s="1">
        <v>45602</v>
      </c>
      <c r="G682">
        <v>8</v>
      </c>
      <c r="H682">
        <v>21510.77</v>
      </c>
      <c r="I682">
        <v>10</v>
      </c>
      <c r="J682" t="s">
        <v>31</v>
      </c>
      <c r="K682">
        <v>17208.62</v>
      </c>
      <c r="L682">
        <v>172086.16</v>
      </c>
      <c r="M682">
        <v>154877.54</v>
      </c>
      <c r="N682" t="s">
        <v>96</v>
      </c>
      <c r="O682">
        <v>2024</v>
      </c>
    </row>
    <row r="683" spans="1:15" x14ac:dyDescent="0.3">
      <c r="A683" t="s">
        <v>768</v>
      </c>
      <c r="B683" t="s">
        <v>47</v>
      </c>
      <c r="C683" t="s">
        <v>34</v>
      </c>
      <c r="D683" t="s">
        <v>85</v>
      </c>
      <c r="E683" t="s">
        <v>50</v>
      </c>
      <c r="F683" s="1">
        <v>45318</v>
      </c>
      <c r="G683">
        <v>10</v>
      </c>
      <c r="H683">
        <v>12650.84</v>
      </c>
      <c r="I683">
        <v>20</v>
      </c>
      <c r="J683" t="s">
        <v>36</v>
      </c>
      <c r="K683">
        <v>25301.68</v>
      </c>
      <c r="L683">
        <v>126508.4</v>
      </c>
      <c r="M683">
        <v>101206.72</v>
      </c>
      <c r="N683" t="s">
        <v>116</v>
      </c>
      <c r="O683">
        <v>2024</v>
      </c>
    </row>
    <row r="684" spans="1:15" x14ac:dyDescent="0.3">
      <c r="A684" t="s">
        <v>769</v>
      </c>
      <c r="B684" t="s">
        <v>29</v>
      </c>
      <c r="C684" t="s">
        <v>54</v>
      </c>
      <c r="D684" t="s">
        <v>77</v>
      </c>
      <c r="E684" t="s">
        <v>81</v>
      </c>
      <c r="F684" s="1">
        <v>45528</v>
      </c>
      <c r="G684">
        <v>1</v>
      </c>
      <c r="H684">
        <v>4949.08</v>
      </c>
      <c r="I684">
        <v>15</v>
      </c>
      <c r="J684" t="s">
        <v>20</v>
      </c>
      <c r="K684">
        <v>742.36</v>
      </c>
      <c r="L684">
        <v>4949.08</v>
      </c>
      <c r="M684">
        <v>4206.72</v>
      </c>
      <c r="N684" t="s">
        <v>21</v>
      </c>
      <c r="O684">
        <v>2024</v>
      </c>
    </row>
    <row r="685" spans="1:15" x14ac:dyDescent="0.3">
      <c r="A685" t="s">
        <v>770</v>
      </c>
      <c r="B685" t="s">
        <v>38</v>
      </c>
      <c r="C685" t="s">
        <v>34</v>
      </c>
      <c r="D685" t="s">
        <v>66</v>
      </c>
      <c r="E685" t="s">
        <v>81</v>
      </c>
      <c r="F685" s="1">
        <v>46021</v>
      </c>
      <c r="G685">
        <v>6</v>
      </c>
      <c r="H685">
        <v>41623.74</v>
      </c>
      <c r="I685">
        <v>15</v>
      </c>
      <c r="J685" t="s">
        <v>71</v>
      </c>
      <c r="K685">
        <v>37461.370000000003</v>
      </c>
      <c r="L685">
        <v>249742.44</v>
      </c>
      <c r="M685">
        <v>212281.07</v>
      </c>
      <c r="N685" t="s">
        <v>51</v>
      </c>
      <c r="O685">
        <v>2025</v>
      </c>
    </row>
    <row r="686" spans="1:15" x14ac:dyDescent="0.3">
      <c r="A686" t="s">
        <v>771</v>
      </c>
      <c r="B686" t="s">
        <v>53</v>
      </c>
      <c r="C686" t="s">
        <v>90</v>
      </c>
      <c r="D686" t="s">
        <v>152</v>
      </c>
      <c r="E686" t="s">
        <v>50</v>
      </c>
      <c r="F686" s="1">
        <v>45523</v>
      </c>
      <c r="G686">
        <v>1</v>
      </c>
      <c r="H686">
        <v>10021.469999999999</v>
      </c>
      <c r="I686">
        <v>0</v>
      </c>
      <c r="J686" t="s">
        <v>20</v>
      </c>
      <c r="K686">
        <v>0</v>
      </c>
      <c r="L686">
        <v>10021.469999999999</v>
      </c>
      <c r="M686">
        <v>10021.469999999999</v>
      </c>
      <c r="N686" t="s">
        <v>21</v>
      </c>
      <c r="O686">
        <v>2024</v>
      </c>
    </row>
    <row r="687" spans="1:15" x14ac:dyDescent="0.3">
      <c r="A687" t="s">
        <v>772</v>
      </c>
      <c r="B687" t="s">
        <v>29</v>
      </c>
      <c r="C687" t="s">
        <v>62</v>
      </c>
      <c r="D687" t="s">
        <v>99</v>
      </c>
      <c r="E687" t="s">
        <v>30</v>
      </c>
      <c r="F687" s="1">
        <v>45501</v>
      </c>
      <c r="G687">
        <v>2</v>
      </c>
      <c r="H687">
        <v>1416.4</v>
      </c>
      <c r="I687">
        <v>15</v>
      </c>
      <c r="J687" t="s">
        <v>20</v>
      </c>
      <c r="K687">
        <v>424.92</v>
      </c>
      <c r="L687">
        <v>2832.8</v>
      </c>
      <c r="M687">
        <v>2407.88</v>
      </c>
      <c r="N687" t="s">
        <v>122</v>
      </c>
      <c r="O687">
        <v>2024</v>
      </c>
    </row>
    <row r="688" spans="1:15" x14ac:dyDescent="0.3">
      <c r="A688" t="s">
        <v>773</v>
      </c>
      <c r="B688" t="s">
        <v>16</v>
      </c>
      <c r="C688" t="s">
        <v>54</v>
      </c>
      <c r="D688" t="s">
        <v>68</v>
      </c>
      <c r="E688" t="s">
        <v>19</v>
      </c>
      <c r="F688" s="1">
        <v>45544</v>
      </c>
      <c r="G688">
        <v>7</v>
      </c>
      <c r="H688">
        <v>4505.4799999999996</v>
      </c>
      <c r="I688">
        <v>0</v>
      </c>
      <c r="J688" t="s">
        <v>71</v>
      </c>
      <c r="K688">
        <v>0</v>
      </c>
      <c r="L688">
        <v>31538.36</v>
      </c>
      <c r="M688">
        <v>31538.36</v>
      </c>
      <c r="N688" t="s">
        <v>86</v>
      </c>
      <c r="O688">
        <v>2024</v>
      </c>
    </row>
    <row r="689" spans="1:15" x14ac:dyDescent="0.3">
      <c r="A689" t="s">
        <v>774</v>
      </c>
      <c r="B689" t="s">
        <v>16</v>
      </c>
      <c r="C689" t="s">
        <v>54</v>
      </c>
      <c r="D689" t="s">
        <v>68</v>
      </c>
      <c r="E689" t="s">
        <v>19</v>
      </c>
      <c r="F689" s="1">
        <v>45918</v>
      </c>
      <c r="G689">
        <v>10</v>
      </c>
      <c r="H689">
        <v>4718.03</v>
      </c>
      <c r="I689">
        <v>20</v>
      </c>
      <c r="J689" t="s">
        <v>31</v>
      </c>
      <c r="K689">
        <v>9436.06</v>
      </c>
      <c r="L689">
        <v>47180.3</v>
      </c>
      <c r="M689">
        <v>37744.239999999998</v>
      </c>
      <c r="N689" t="s">
        <v>86</v>
      </c>
      <c r="O689">
        <v>2025</v>
      </c>
    </row>
    <row r="690" spans="1:15" x14ac:dyDescent="0.3">
      <c r="A690" t="s">
        <v>775</v>
      </c>
      <c r="B690" t="s">
        <v>47</v>
      </c>
      <c r="C690" t="s">
        <v>17</v>
      </c>
      <c r="D690" t="s">
        <v>24</v>
      </c>
      <c r="E690" t="s">
        <v>56</v>
      </c>
      <c r="F690" s="1">
        <v>45335</v>
      </c>
      <c r="G690">
        <v>4</v>
      </c>
      <c r="H690">
        <v>3089.03</v>
      </c>
      <c r="I690">
        <v>15</v>
      </c>
      <c r="J690" t="s">
        <v>71</v>
      </c>
      <c r="K690">
        <v>1853.42</v>
      </c>
      <c r="L690">
        <v>12356.12</v>
      </c>
      <c r="M690">
        <v>10502.7</v>
      </c>
      <c r="N690" t="s">
        <v>41</v>
      </c>
      <c r="O690">
        <v>2024</v>
      </c>
    </row>
    <row r="691" spans="1:15" x14ac:dyDescent="0.3">
      <c r="A691" t="s">
        <v>776</v>
      </c>
      <c r="B691" t="s">
        <v>23</v>
      </c>
      <c r="C691" t="s">
        <v>17</v>
      </c>
      <c r="D691" t="s">
        <v>24</v>
      </c>
      <c r="E691" t="s">
        <v>81</v>
      </c>
      <c r="F691" s="1">
        <v>45486</v>
      </c>
      <c r="G691">
        <v>5</v>
      </c>
      <c r="H691">
        <v>3029.67</v>
      </c>
      <c r="I691">
        <v>10</v>
      </c>
      <c r="J691" t="s">
        <v>26</v>
      </c>
      <c r="K691">
        <v>1514.84</v>
      </c>
      <c r="L691">
        <v>15148.35</v>
      </c>
      <c r="M691">
        <v>13633.51</v>
      </c>
      <c r="N691" t="s">
        <v>122</v>
      </c>
      <c r="O691">
        <v>2024</v>
      </c>
    </row>
    <row r="692" spans="1:15" x14ac:dyDescent="0.3">
      <c r="A692" t="s">
        <v>777</v>
      </c>
      <c r="B692" t="s">
        <v>53</v>
      </c>
      <c r="C692" t="s">
        <v>62</v>
      </c>
      <c r="D692" t="s">
        <v>99</v>
      </c>
      <c r="E692" t="s">
        <v>56</v>
      </c>
      <c r="F692" s="1">
        <v>45919</v>
      </c>
      <c r="G692">
        <v>1</v>
      </c>
      <c r="H692">
        <v>1608.73</v>
      </c>
      <c r="I692">
        <v>5</v>
      </c>
      <c r="J692" t="s">
        <v>40</v>
      </c>
      <c r="K692">
        <v>80.44</v>
      </c>
      <c r="L692">
        <v>1608.73</v>
      </c>
      <c r="M692">
        <v>1528.29</v>
      </c>
      <c r="N692" t="s">
        <v>86</v>
      </c>
      <c r="O692">
        <v>2025</v>
      </c>
    </row>
    <row r="693" spans="1:15" x14ac:dyDescent="0.3">
      <c r="A693" t="s">
        <v>778</v>
      </c>
      <c r="B693" t="s">
        <v>47</v>
      </c>
      <c r="C693" t="s">
        <v>90</v>
      </c>
      <c r="D693" t="s">
        <v>152</v>
      </c>
      <c r="E693" t="s">
        <v>30</v>
      </c>
      <c r="F693" s="1">
        <v>45476</v>
      </c>
      <c r="G693">
        <v>10</v>
      </c>
      <c r="H693">
        <v>11344.61</v>
      </c>
      <c r="I693">
        <v>20</v>
      </c>
      <c r="J693" t="s">
        <v>82</v>
      </c>
      <c r="K693">
        <v>22689.22</v>
      </c>
      <c r="L693">
        <v>113446.1</v>
      </c>
      <c r="M693">
        <v>90756.88</v>
      </c>
      <c r="N693" t="s">
        <v>122</v>
      </c>
      <c r="O693">
        <v>2024</v>
      </c>
    </row>
    <row r="694" spans="1:15" x14ac:dyDescent="0.3">
      <c r="A694" t="s">
        <v>779</v>
      </c>
      <c r="B694" t="s">
        <v>23</v>
      </c>
      <c r="C694" t="s">
        <v>34</v>
      </c>
      <c r="D694" t="s">
        <v>35</v>
      </c>
      <c r="E694" t="s">
        <v>19</v>
      </c>
      <c r="F694" s="1">
        <v>45317</v>
      </c>
      <c r="G694">
        <v>3</v>
      </c>
      <c r="H694">
        <v>25335.5</v>
      </c>
      <c r="I694">
        <v>5</v>
      </c>
      <c r="J694" t="s">
        <v>71</v>
      </c>
      <c r="K694">
        <v>3800.33</v>
      </c>
      <c r="L694">
        <v>76006.5</v>
      </c>
      <c r="M694">
        <v>72206.17</v>
      </c>
      <c r="N694" t="s">
        <v>116</v>
      </c>
      <c r="O694">
        <v>2024</v>
      </c>
    </row>
    <row r="695" spans="1:15" x14ac:dyDescent="0.3">
      <c r="A695" t="s">
        <v>780</v>
      </c>
      <c r="B695" t="s">
        <v>43</v>
      </c>
      <c r="C695" t="s">
        <v>90</v>
      </c>
      <c r="D695" t="s">
        <v>105</v>
      </c>
      <c r="E695" t="s">
        <v>19</v>
      </c>
      <c r="F695" s="1">
        <v>45418</v>
      </c>
      <c r="G695">
        <v>2</v>
      </c>
      <c r="H695">
        <v>3249.89</v>
      </c>
      <c r="I695">
        <v>15</v>
      </c>
      <c r="J695" t="s">
        <v>36</v>
      </c>
      <c r="K695">
        <v>974.97</v>
      </c>
      <c r="L695">
        <v>6499.78</v>
      </c>
      <c r="M695">
        <v>5524.81</v>
      </c>
      <c r="N695" t="s">
        <v>101</v>
      </c>
      <c r="O695">
        <v>2024</v>
      </c>
    </row>
    <row r="696" spans="1:15" x14ac:dyDescent="0.3">
      <c r="A696" t="s">
        <v>781</v>
      </c>
      <c r="B696" t="s">
        <v>65</v>
      </c>
      <c r="C696" t="s">
        <v>62</v>
      </c>
      <c r="D696" t="s">
        <v>95</v>
      </c>
      <c r="E696" t="s">
        <v>30</v>
      </c>
      <c r="F696" s="1">
        <v>45815</v>
      </c>
      <c r="G696">
        <v>10</v>
      </c>
      <c r="H696">
        <v>909.95</v>
      </c>
      <c r="I696">
        <v>15</v>
      </c>
      <c r="J696" t="s">
        <v>31</v>
      </c>
      <c r="K696">
        <v>1364.92</v>
      </c>
      <c r="L696">
        <v>9099.5</v>
      </c>
      <c r="M696">
        <v>7734.58</v>
      </c>
      <c r="N696" t="s">
        <v>72</v>
      </c>
      <c r="O696">
        <v>2025</v>
      </c>
    </row>
    <row r="697" spans="1:15" x14ac:dyDescent="0.3">
      <c r="A697" t="s">
        <v>782</v>
      </c>
      <c r="B697" t="s">
        <v>109</v>
      </c>
      <c r="C697" t="s">
        <v>54</v>
      </c>
      <c r="D697" t="s">
        <v>68</v>
      </c>
      <c r="E697" t="s">
        <v>44</v>
      </c>
      <c r="F697" s="1">
        <v>45635</v>
      </c>
      <c r="G697">
        <v>10</v>
      </c>
      <c r="H697">
        <v>5533.24</v>
      </c>
      <c r="I697">
        <v>5</v>
      </c>
      <c r="J697" t="s">
        <v>36</v>
      </c>
      <c r="K697">
        <v>2766.62</v>
      </c>
      <c r="L697">
        <v>55332.4</v>
      </c>
      <c r="M697">
        <v>52565.78</v>
      </c>
      <c r="N697" t="s">
        <v>51</v>
      </c>
      <c r="O697">
        <v>2024</v>
      </c>
    </row>
    <row r="698" spans="1:15" x14ac:dyDescent="0.3">
      <c r="A698" t="s">
        <v>783</v>
      </c>
      <c r="B698" t="s">
        <v>53</v>
      </c>
      <c r="C698" t="s">
        <v>34</v>
      </c>
      <c r="D698" t="s">
        <v>85</v>
      </c>
      <c r="E698" t="s">
        <v>44</v>
      </c>
      <c r="F698" s="1">
        <v>45721</v>
      </c>
      <c r="G698">
        <v>5</v>
      </c>
      <c r="H698">
        <v>11728.55</v>
      </c>
      <c r="I698">
        <v>15</v>
      </c>
      <c r="J698" t="s">
        <v>26</v>
      </c>
      <c r="K698">
        <v>8796.41</v>
      </c>
      <c r="L698">
        <v>58642.75</v>
      </c>
      <c r="M698">
        <v>49846.34</v>
      </c>
      <c r="N698" t="s">
        <v>83</v>
      </c>
      <c r="O698">
        <v>2025</v>
      </c>
    </row>
    <row r="699" spans="1:15" x14ac:dyDescent="0.3">
      <c r="A699" t="s">
        <v>784</v>
      </c>
      <c r="B699" t="s">
        <v>47</v>
      </c>
      <c r="C699" t="s">
        <v>62</v>
      </c>
      <c r="D699" t="s">
        <v>63</v>
      </c>
      <c r="E699" t="s">
        <v>50</v>
      </c>
      <c r="F699" s="1">
        <v>45295</v>
      </c>
      <c r="G699">
        <v>10</v>
      </c>
      <c r="H699">
        <v>1964.43</v>
      </c>
      <c r="I699">
        <v>0</v>
      </c>
      <c r="J699" t="s">
        <v>20</v>
      </c>
      <c r="K699">
        <v>0</v>
      </c>
      <c r="L699">
        <v>19644.3</v>
      </c>
      <c r="M699">
        <v>19644.3</v>
      </c>
      <c r="N699" t="s">
        <v>116</v>
      </c>
      <c r="O699">
        <v>2024</v>
      </c>
    </row>
    <row r="700" spans="1:15" x14ac:dyDescent="0.3">
      <c r="A700" t="s">
        <v>785</v>
      </c>
      <c r="B700" t="s">
        <v>38</v>
      </c>
      <c r="C700" t="s">
        <v>90</v>
      </c>
      <c r="D700" t="s">
        <v>152</v>
      </c>
      <c r="E700" t="s">
        <v>56</v>
      </c>
      <c r="F700" s="1">
        <v>45914</v>
      </c>
      <c r="G700">
        <v>8</v>
      </c>
      <c r="H700">
        <v>9594.7000000000007</v>
      </c>
      <c r="I700">
        <v>20</v>
      </c>
      <c r="J700" t="s">
        <v>26</v>
      </c>
      <c r="K700">
        <v>15351.52</v>
      </c>
      <c r="L700">
        <v>76757.600000000006</v>
      </c>
      <c r="M700">
        <v>61406.080000000002</v>
      </c>
      <c r="N700" t="s">
        <v>86</v>
      </c>
      <c r="O700">
        <v>2025</v>
      </c>
    </row>
    <row r="701" spans="1:15" x14ac:dyDescent="0.3">
      <c r="A701" t="s">
        <v>786</v>
      </c>
      <c r="B701" t="s">
        <v>23</v>
      </c>
      <c r="C701" t="s">
        <v>90</v>
      </c>
      <c r="D701" t="s">
        <v>152</v>
      </c>
      <c r="E701" t="s">
        <v>56</v>
      </c>
      <c r="F701" s="1">
        <v>45907</v>
      </c>
      <c r="G701">
        <v>10</v>
      </c>
      <c r="H701">
        <v>9016.43</v>
      </c>
      <c r="I701">
        <v>20</v>
      </c>
      <c r="J701" t="s">
        <v>82</v>
      </c>
      <c r="K701">
        <v>18032.86</v>
      </c>
      <c r="L701">
        <v>90164.3</v>
      </c>
      <c r="M701">
        <v>72131.44</v>
      </c>
      <c r="N701" t="s">
        <v>86</v>
      </c>
      <c r="O701">
        <v>2025</v>
      </c>
    </row>
    <row r="702" spans="1:15" x14ac:dyDescent="0.3">
      <c r="A702" t="s">
        <v>787</v>
      </c>
      <c r="B702" t="s">
        <v>61</v>
      </c>
      <c r="C702" t="s">
        <v>62</v>
      </c>
      <c r="D702" t="s">
        <v>132</v>
      </c>
      <c r="E702" t="s">
        <v>81</v>
      </c>
      <c r="F702" s="1">
        <v>45342</v>
      </c>
      <c r="G702">
        <v>3</v>
      </c>
      <c r="H702">
        <v>2342.66</v>
      </c>
      <c r="I702">
        <v>10</v>
      </c>
      <c r="J702" t="s">
        <v>20</v>
      </c>
      <c r="K702">
        <v>702.8</v>
      </c>
      <c r="L702">
        <v>7027.98</v>
      </c>
      <c r="M702">
        <v>6325.18</v>
      </c>
      <c r="N702" t="s">
        <v>41</v>
      </c>
      <c r="O702">
        <v>2024</v>
      </c>
    </row>
    <row r="703" spans="1:15" x14ac:dyDescent="0.3">
      <c r="A703" t="s">
        <v>788</v>
      </c>
      <c r="B703" t="s">
        <v>38</v>
      </c>
      <c r="C703" t="s">
        <v>17</v>
      </c>
      <c r="D703" t="s">
        <v>59</v>
      </c>
      <c r="E703" t="s">
        <v>25</v>
      </c>
      <c r="F703" s="1">
        <v>45631</v>
      </c>
      <c r="G703">
        <v>2</v>
      </c>
      <c r="H703">
        <v>25087.09</v>
      </c>
      <c r="I703">
        <v>15</v>
      </c>
      <c r="J703" t="s">
        <v>40</v>
      </c>
      <c r="K703">
        <v>7526.13</v>
      </c>
      <c r="L703">
        <v>50174.18</v>
      </c>
      <c r="M703">
        <v>42648.05</v>
      </c>
      <c r="N703" t="s">
        <v>51</v>
      </c>
      <c r="O703">
        <v>2024</v>
      </c>
    </row>
    <row r="704" spans="1:15" x14ac:dyDescent="0.3">
      <c r="A704" t="s">
        <v>789</v>
      </c>
      <c r="B704" t="s">
        <v>61</v>
      </c>
      <c r="C704" t="s">
        <v>34</v>
      </c>
      <c r="D704" t="s">
        <v>85</v>
      </c>
      <c r="E704" t="s">
        <v>19</v>
      </c>
      <c r="F704" s="1">
        <v>45758</v>
      </c>
      <c r="G704">
        <v>10</v>
      </c>
      <c r="H704">
        <v>11880.57</v>
      </c>
      <c r="I704">
        <v>0</v>
      </c>
      <c r="J704" t="s">
        <v>36</v>
      </c>
      <c r="K704">
        <v>0</v>
      </c>
      <c r="L704">
        <v>118805.7</v>
      </c>
      <c r="M704">
        <v>118805.7</v>
      </c>
      <c r="N704" t="s">
        <v>27</v>
      </c>
      <c r="O704">
        <v>2025</v>
      </c>
    </row>
    <row r="705" spans="1:15" x14ac:dyDescent="0.3">
      <c r="A705" t="s">
        <v>790</v>
      </c>
      <c r="B705" t="s">
        <v>33</v>
      </c>
      <c r="C705" t="s">
        <v>17</v>
      </c>
      <c r="D705" t="s">
        <v>39</v>
      </c>
      <c r="E705" t="s">
        <v>19</v>
      </c>
      <c r="F705" s="1">
        <v>45361</v>
      </c>
      <c r="G705">
        <v>7</v>
      </c>
      <c r="H705">
        <v>19994.89</v>
      </c>
      <c r="I705">
        <v>0</v>
      </c>
      <c r="J705" t="s">
        <v>31</v>
      </c>
      <c r="K705">
        <v>0</v>
      </c>
      <c r="L705">
        <v>139964.23000000001</v>
      </c>
      <c r="M705">
        <v>139964.23000000001</v>
      </c>
      <c r="N705" t="s">
        <v>83</v>
      </c>
      <c r="O705">
        <v>2024</v>
      </c>
    </row>
    <row r="706" spans="1:15" x14ac:dyDescent="0.3">
      <c r="A706" t="s">
        <v>791</v>
      </c>
      <c r="B706" t="s">
        <v>53</v>
      </c>
      <c r="C706" t="s">
        <v>62</v>
      </c>
      <c r="D706" t="s">
        <v>99</v>
      </c>
      <c r="E706" t="s">
        <v>25</v>
      </c>
      <c r="F706" s="1">
        <v>45629</v>
      </c>
      <c r="G706">
        <v>9</v>
      </c>
      <c r="H706">
        <v>1655.68</v>
      </c>
      <c r="I706">
        <v>5</v>
      </c>
      <c r="J706" t="s">
        <v>40</v>
      </c>
      <c r="K706">
        <v>745.06</v>
      </c>
      <c r="L706">
        <v>14901.12</v>
      </c>
      <c r="M706">
        <v>14156.06</v>
      </c>
      <c r="N706" t="s">
        <v>51</v>
      </c>
      <c r="O706">
        <v>2024</v>
      </c>
    </row>
    <row r="707" spans="1:15" x14ac:dyDescent="0.3">
      <c r="A707" t="s">
        <v>792</v>
      </c>
      <c r="B707" t="s">
        <v>109</v>
      </c>
      <c r="C707" t="s">
        <v>34</v>
      </c>
      <c r="D707" t="s">
        <v>66</v>
      </c>
      <c r="E707" t="s">
        <v>25</v>
      </c>
      <c r="F707" s="1">
        <v>45787</v>
      </c>
      <c r="G707">
        <v>10</v>
      </c>
      <c r="H707">
        <v>45338.92</v>
      </c>
      <c r="I707">
        <v>10</v>
      </c>
      <c r="J707" t="s">
        <v>82</v>
      </c>
      <c r="K707">
        <v>45338.92</v>
      </c>
      <c r="L707">
        <v>453389.2</v>
      </c>
      <c r="M707">
        <v>408050.28</v>
      </c>
      <c r="N707" t="s">
        <v>101</v>
      </c>
      <c r="O707">
        <v>2025</v>
      </c>
    </row>
    <row r="708" spans="1:15" x14ac:dyDescent="0.3">
      <c r="A708" t="s">
        <v>793</v>
      </c>
      <c r="B708" t="s">
        <v>38</v>
      </c>
      <c r="C708" t="s">
        <v>90</v>
      </c>
      <c r="D708" t="s">
        <v>91</v>
      </c>
      <c r="E708" t="s">
        <v>19</v>
      </c>
      <c r="F708" s="1">
        <v>45830</v>
      </c>
      <c r="G708">
        <v>10</v>
      </c>
      <c r="H708">
        <v>1723.13</v>
      </c>
      <c r="I708">
        <v>10</v>
      </c>
      <c r="J708" t="s">
        <v>40</v>
      </c>
      <c r="K708">
        <v>1723.13</v>
      </c>
      <c r="L708">
        <v>17231.3</v>
      </c>
      <c r="M708">
        <v>15508.17</v>
      </c>
      <c r="N708" t="s">
        <v>72</v>
      </c>
      <c r="O708">
        <v>2025</v>
      </c>
    </row>
    <row r="709" spans="1:15" x14ac:dyDescent="0.3">
      <c r="A709" t="s">
        <v>794</v>
      </c>
      <c r="B709" t="s">
        <v>93</v>
      </c>
      <c r="C709" t="s">
        <v>34</v>
      </c>
      <c r="D709" t="s">
        <v>66</v>
      </c>
      <c r="E709" t="s">
        <v>56</v>
      </c>
      <c r="F709" s="1">
        <v>45796</v>
      </c>
      <c r="G709">
        <v>3</v>
      </c>
      <c r="H709">
        <v>44836.639999999999</v>
      </c>
      <c r="I709">
        <v>5</v>
      </c>
      <c r="J709" t="s">
        <v>71</v>
      </c>
      <c r="K709">
        <v>6725.5</v>
      </c>
      <c r="L709">
        <v>134509.92000000001</v>
      </c>
      <c r="M709">
        <v>127784.42</v>
      </c>
      <c r="N709" t="s">
        <v>101</v>
      </c>
      <c r="O709">
        <v>2025</v>
      </c>
    </row>
    <row r="710" spans="1:15" x14ac:dyDescent="0.3">
      <c r="A710" t="s">
        <v>795</v>
      </c>
      <c r="B710" t="s">
        <v>109</v>
      </c>
      <c r="C710" t="s">
        <v>62</v>
      </c>
      <c r="D710" t="s">
        <v>63</v>
      </c>
      <c r="E710" t="s">
        <v>25</v>
      </c>
      <c r="F710" s="1">
        <v>45768</v>
      </c>
      <c r="G710">
        <v>2</v>
      </c>
      <c r="H710">
        <v>1951.86</v>
      </c>
      <c r="I710">
        <v>5</v>
      </c>
      <c r="J710" t="s">
        <v>26</v>
      </c>
      <c r="K710">
        <v>195.19</v>
      </c>
      <c r="L710">
        <v>3903.72</v>
      </c>
      <c r="M710">
        <v>3708.53</v>
      </c>
      <c r="N710" t="s">
        <v>27</v>
      </c>
      <c r="O710">
        <v>2025</v>
      </c>
    </row>
    <row r="711" spans="1:15" x14ac:dyDescent="0.3">
      <c r="A711" t="s">
        <v>796</v>
      </c>
      <c r="B711" t="s">
        <v>23</v>
      </c>
      <c r="C711" t="s">
        <v>54</v>
      </c>
      <c r="D711" t="s">
        <v>68</v>
      </c>
      <c r="E711" t="s">
        <v>25</v>
      </c>
      <c r="F711" s="1">
        <v>45650</v>
      </c>
      <c r="G711">
        <v>9</v>
      </c>
      <c r="H711">
        <v>5452.48</v>
      </c>
      <c r="I711">
        <v>5</v>
      </c>
      <c r="J711" t="s">
        <v>45</v>
      </c>
      <c r="K711">
        <v>2453.62</v>
      </c>
      <c r="L711">
        <v>49072.32</v>
      </c>
      <c r="M711">
        <v>46618.7</v>
      </c>
      <c r="N711" t="s">
        <v>51</v>
      </c>
      <c r="O711">
        <v>2024</v>
      </c>
    </row>
    <row r="712" spans="1:15" x14ac:dyDescent="0.3">
      <c r="A712" t="s">
        <v>797</v>
      </c>
      <c r="B712" t="s">
        <v>16</v>
      </c>
      <c r="C712" t="s">
        <v>17</v>
      </c>
      <c r="D712" t="s">
        <v>59</v>
      </c>
      <c r="E712" t="s">
        <v>19</v>
      </c>
      <c r="F712" s="1">
        <v>45361</v>
      </c>
      <c r="G712">
        <v>5</v>
      </c>
      <c r="H712">
        <v>24376.77</v>
      </c>
      <c r="I712">
        <v>20</v>
      </c>
      <c r="J712" t="s">
        <v>40</v>
      </c>
      <c r="K712">
        <v>24376.77</v>
      </c>
      <c r="L712">
        <v>121883.85</v>
      </c>
      <c r="M712">
        <v>97507.08</v>
      </c>
      <c r="N712" t="s">
        <v>83</v>
      </c>
      <c r="O712">
        <v>2024</v>
      </c>
    </row>
    <row r="713" spans="1:15" x14ac:dyDescent="0.3">
      <c r="A713" t="s">
        <v>798</v>
      </c>
      <c r="B713" t="s">
        <v>47</v>
      </c>
      <c r="C713" t="s">
        <v>62</v>
      </c>
      <c r="D713" t="s">
        <v>95</v>
      </c>
      <c r="E713" t="s">
        <v>30</v>
      </c>
      <c r="F713" s="1">
        <v>45641</v>
      </c>
      <c r="G713">
        <v>7</v>
      </c>
      <c r="H713">
        <v>951.37</v>
      </c>
      <c r="I713">
        <v>20</v>
      </c>
      <c r="J713" t="s">
        <v>45</v>
      </c>
      <c r="K713">
        <v>1331.92</v>
      </c>
      <c r="L713">
        <v>6659.59</v>
      </c>
      <c r="M713">
        <v>5327.67</v>
      </c>
      <c r="N713" t="s">
        <v>51</v>
      </c>
      <c r="O713">
        <v>2024</v>
      </c>
    </row>
    <row r="714" spans="1:15" x14ac:dyDescent="0.3">
      <c r="A714" t="s">
        <v>799</v>
      </c>
      <c r="B714" t="s">
        <v>29</v>
      </c>
      <c r="C714" t="s">
        <v>17</v>
      </c>
      <c r="D714" t="s">
        <v>59</v>
      </c>
      <c r="E714" t="s">
        <v>19</v>
      </c>
      <c r="F714" s="1">
        <v>45980</v>
      </c>
      <c r="G714">
        <v>8</v>
      </c>
      <c r="H714">
        <v>31048.62</v>
      </c>
      <c r="I714">
        <v>0</v>
      </c>
      <c r="J714" t="s">
        <v>45</v>
      </c>
      <c r="K714">
        <v>0</v>
      </c>
      <c r="L714">
        <v>248388.96</v>
      </c>
      <c r="M714">
        <v>248388.96</v>
      </c>
      <c r="N714" t="s">
        <v>96</v>
      </c>
      <c r="O714">
        <v>2025</v>
      </c>
    </row>
    <row r="715" spans="1:15" x14ac:dyDescent="0.3">
      <c r="A715" t="s">
        <v>800</v>
      </c>
      <c r="B715" t="s">
        <v>53</v>
      </c>
      <c r="C715" t="s">
        <v>34</v>
      </c>
      <c r="D715" t="s">
        <v>35</v>
      </c>
      <c r="E715" t="s">
        <v>30</v>
      </c>
      <c r="F715" s="1">
        <v>45841</v>
      </c>
      <c r="G715">
        <v>6</v>
      </c>
      <c r="H715">
        <v>25390.44</v>
      </c>
      <c r="I715">
        <v>15</v>
      </c>
      <c r="J715" t="s">
        <v>71</v>
      </c>
      <c r="K715">
        <v>22851.4</v>
      </c>
      <c r="L715">
        <v>152342.64000000001</v>
      </c>
      <c r="M715">
        <v>129491.24</v>
      </c>
      <c r="N715" t="s">
        <v>122</v>
      </c>
      <c r="O715">
        <v>2025</v>
      </c>
    </row>
    <row r="716" spans="1:15" x14ac:dyDescent="0.3">
      <c r="A716" t="s">
        <v>801</v>
      </c>
      <c r="B716" t="s">
        <v>43</v>
      </c>
      <c r="C716" t="s">
        <v>17</v>
      </c>
      <c r="D716" t="s">
        <v>24</v>
      </c>
      <c r="E716" t="s">
        <v>81</v>
      </c>
      <c r="F716" s="1">
        <v>45860</v>
      </c>
      <c r="G716">
        <v>9</v>
      </c>
      <c r="H716">
        <v>2714.04</v>
      </c>
      <c r="I716">
        <v>20</v>
      </c>
      <c r="J716" t="s">
        <v>45</v>
      </c>
      <c r="K716">
        <v>4885.2700000000004</v>
      </c>
      <c r="L716">
        <v>24426.36</v>
      </c>
      <c r="M716">
        <v>19541.09</v>
      </c>
      <c r="N716" t="s">
        <v>122</v>
      </c>
      <c r="O716">
        <v>2025</v>
      </c>
    </row>
    <row r="717" spans="1:15" x14ac:dyDescent="0.3">
      <c r="A717" t="s">
        <v>802</v>
      </c>
      <c r="B717" t="s">
        <v>47</v>
      </c>
      <c r="C717" t="s">
        <v>62</v>
      </c>
      <c r="D717" t="s">
        <v>119</v>
      </c>
      <c r="E717" t="s">
        <v>50</v>
      </c>
      <c r="F717" s="1">
        <v>45323</v>
      </c>
      <c r="G717">
        <v>6</v>
      </c>
      <c r="H717">
        <v>4010.67</v>
      </c>
      <c r="I717">
        <v>20</v>
      </c>
      <c r="J717" t="s">
        <v>40</v>
      </c>
      <c r="K717">
        <v>4812.8</v>
      </c>
      <c r="L717">
        <v>24064.02</v>
      </c>
      <c r="M717">
        <v>19251.22</v>
      </c>
      <c r="N717" t="s">
        <v>41</v>
      </c>
      <c r="O717">
        <v>2024</v>
      </c>
    </row>
    <row r="718" spans="1:15" x14ac:dyDescent="0.3">
      <c r="A718" t="s">
        <v>803</v>
      </c>
      <c r="B718" t="s">
        <v>93</v>
      </c>
      <c r="C718" t="s">
        <v>34</v>
      </c>
      <c r="D718" t="s">
        <v>66</v>
      </c>
      <c r="E718" t="s">
        <v>56</v>
      </c>
      <c r="F718" s="1">
        <v>45901</v>
      </c>
      <c r="G718">
        <v>2</v>
      </c>
      <c r="H718">
        <v>44645.94</v>
      </c>
      <c r="I718">
        <v>10</v>
      </c>
      <c r="J718" t="s">
        <v>36</v>
      </c>
      <c r="K718">
        <v>8929.19</v>
      </c>
      <c r="L718">
        <v>89291.88</v>
      </c>
      <c r="M718">
        <v>80362.69</v>
      </c>
      <c r="N718" t="s">
        <v>86</v>
      </c>
      <c r="O718">
        <v>2025</v>
      </c>
    </row>
    <row r="719" spans="1:15" x14ac:dyDescent="0.3">
      <c r="A719" t="s">
        <v>804</v>
      </c>
      <c r="B719" t="s">
        <v>43</v>
      </c>
      <c r="C719" t="s">
        <v>62</v>
      </c>
      <c r="D719" t="s">
        <v>95</v>
      </c>
      <c r="E719" t="s">
        <v>56</v>
      </c>
      <c r="F719" s="1">
        <v>45800</v>
      </c>
      <c r="G719">
        <v>4</v>
      </c>
      <c r="H719">
        <v>794.32</v>
      </c>
      <c r="I719">
        <v>10</v>
      </c>
      <c r="J719" t="s">
        <v>82</v>
      </c>
      <c r="K719">
        <v>317.73</v>
      </c>
      <c r="L719">
        <v>3177.28</v>
      </c>
      <c r="M719">
        <v>2859.55</v>
      </c>
      <c r="N719" t="s">
        <v>101</v>
      </c>
      <c r="O719">
        <v>2025</v>
      </c>
    </row>
    <row r="720" spans="1:15" x14ac:dyDescent="0.3">
      <c r="A720" t="s">
        <v>805</v>
      </c>
      <c r="B720" t="s">
        <v>43</v>
      </c>
      <c r="C720" t="s">
        <v>34</v>
      </c>
      <c r="D720" t="s">
        <v>66</v>
      </c>
      <c r="E720" t="s">
        <v>50</v>
      </c>
      <c r="F720" s="1">
        <v>45675</v>
      </c>
      <c r="G720">
        <v>1</v>
      </c>
      <c r="H720">
        <v>43777.9</v>
      </c>
      <c r="I720">
        <v>0</v>
      </c>
      <c r="J720" t="s">
        <v>82</v>
      </c>
      <c r="K720">
        <v>0</v>
      </c>
      <c r="L720">
        <v>43777.9</v>
      </c>
      <c r="M720">
        <v>43777.9</v>
      </c>
      <c r="N720" t="s">
        <v>116</v>
      </c>
      <c r="O720">
        <v>2025</v>
      </c>
    </row>
    <row r="721" spans="1:15" x14ac:dyDescent="0.3">
      <c r="A721" t="s">
        <v>806</v>
      </c>
      <c r="B721" t="s">
        <v>109</v>
      </c>
      <c r="C721" t="s">
        <v>90</v>
      </c>
      <c r="D721" t="s">
        <v>91</v>
      </c>
      <c r="E721" t="s">
        <v>44</v>
      </c>
      <c r="F721" s="1">
        <v>45804</v>
      </c>
      <c r="G721">
        <v>3</v>
      </c>
      <c r="H721">
        <v>1421.33</v>
      </c>
      <c r="I721">
        <v>15</v>
      </c>
      <c r="J721" t="s">
        <v>71</v>
      </c>
      <c r="K721">
        <v>639.6</v>
      </c>
      <c r="L721">
        <v>4263.99</v>
      </c>
      <c r="M721">
        <v>3624.39</v>
      </c>
      <c r="N721" t="s">
        <v>101</v>
      </c>
      <c r="O721">
        <v>2025</v>
      </c>
    </row>
    <row r="722" spans="1:15" x14ac:dyDescent="0.3">
      <c r="A722" t="s">
        <v>807</v>
      </c>
      <c r="B722" t="s">
        <v>74</v>
      </c>
      <c r="C722" t="s">
        <v>54</v>
      </c>
      <c r="D722" t="s">
        <v>137</v>
      </c>
      <c r="E722" t="s">
        <v>19</v>
      </c>
      <c r="F722" s="1">
        <v>45392</v>
      </c>
      <c r="G722">
        <v>9</v>
      </c>
      <c r="H722">
        <v>962.26</v>
      </c>
      <c r="I722">
        <v>5</v>
      </c>
      <c r="J722" t="s">
        <v>36</v>
      </c>
      <c r="K722">
        <v>433.02</v>
      </c>
      <c r="L722">
        <v>8660.34</v>
      </c>
      <c r="M722">
        <v>8227.32</v>
      </c>
      <c r="N722" t="s">
        <v>27</v>
      </c>
      <c r="O722">
        <v>2024</v>
      </c>
    </row>
    <row r="723" spans="1:15" x14ac:dyDescent="0.3">
      <c r="A723" t="s">
        <v>808</v>
      </c>
      <c r="B723" t="s">
        <v>89</v>
      </c>
      <c r="C723" t="s">
        <v>34</v>
      </c>
      <c r="D723" t="s">
        <v>80</v>
      </c>
      <c r="E723" t="s">
        <v>56</v>
      </c>
      <c r="F723" s="1">
        <v>45296</v>
      </c>
      <c r="G723">
        <v>5</v>
      </c>
      <c r="H723">
        <v>6798.51</v>
      </c>
      <c r="I723">
        <v>20</v>
      </c>
      <c r="J723" t="s">
        <v>82</v>
      </c>
      <c r="K723">
        <v>6798.51</v>
      </c>
      <c r="L723">
        <v>33992.550000000003</v>
      </c>
      <c r="M723">
        <v>27194.04</v>
      </c>
      <c r="N723" t="s">
        <v>116</v>
      </c>
      <c r="O723">
        <v>2024</v>
      </c>
    </row>
    <row r="724" spans="1:15" x14ac:dyDescent="0.3">
      <c r="A724" t="s">
        <v>809</v>
      </c>
      <c r="B724" t="s">
        <v>89</v>
      </c>
      <c r="C724" t="s">
        <v>17</v>
      </c>
      <c r="D724" t="s">
        <v>39</v>
      </c>
      <c r="E724" t="s">
        <v>25</v>
      </c>
      <c r="F724" s="1">
        <v>45825</v>
      </c>
      <c r="G724">
        <v>5</v>
      </c>
      <c r="H724">
        <v>16301.16</v>
      </c>
      <c r="I724">
        <v>10</v>
      </c>
      <c r="J724" t="s">
        <v>82</v>
      </c>
      <c r="K724">
        <v>8150.58</v>
      </c>
      <c r="L724">
        <v>81505.8</v>
      </c>
      <c r="M724">
        <v>73355.22</v>
      </c>
      <c r="N724" t="s">
        <v>72</v>
      </c>
      <c r="O724">
        <v>2025</v>
      </c>
    </row>
    <row r="725" spans="1:15" x14ac:dyDescent="0.3">
      <c r="A725" t="s">
        <v>810</v>
      </c>
      <c r="B725" t="s">
        <v>29</v>
      </c>
      <c r="C725" t="s">
        <v>34</v>
      </c>
      <c r="D725" t="s">
        <v>48</v>
      </c>
      <c r="E725" t="s">
        <v>50</v>
      </c>
      <c r="F725" s="1">
        <v>45575</v>
      </c>
      <c r="G725">
        <v>9</v>
      </c>
      <c r="H725">
        <v>8622.1299999999992</v>
      </c>
      <c r="I725">
        <v>15</v>
      </c>
      <c r="J725" t="s">
        <v>40</v>
      </c>
      <c r="K725">
        <v>11639.88</v>
      </c>
      <c r="L725">
        <v>77599.17</v>
      </c>
      <c r="M725">
        <v>65959.289999999994</v>
      </c>
      <c r="N725" t="s">
        <v>57</v>
      </c>
      <c r="O725">
        <v>2024</v>
      </c>
    </row>
    <row r="726" spans="1:15" x14ac:dyDescent="0.3">
      <c r="A726" t="s">
        <v>811</v>
      </c>
      <c r="B726" t="s">
        <v>53</v>
      </c>
      <c r="C726" t="s">
        <v>17</v>
      </c>
      <c r="D726" t="s">
        <v>39</v>
      </c>
      <c r="E726" t="s">
        <v>50</v>
      </c>
      <c r="F726" s="1">
        <v>45409</v>
      </c>
      <c r="G726">
        <v>1</v>
      </c>
      <c r="H726">
        <v>20512.34</v>
      </c>
      <c r="I726">
        <v>20</v>
      </c>
      <c r="J726" t="s">
        <v>40</v>
      </c>
      <c r="K726">
        <v>4102.47</v>
      </c>
      <c r="L726">
        <v>20512.34</v>
      </c>
      <c r="M726">
        <v>16409.87</v>
      </c>
      <c r="N726" t="s">
        <v>27</v>
      </c>
      <c r="O726">
        <v>2024</v>
      </c>
    </row>
    <row r="727" spans="1:15" x14ac:dyDescent="0.3">
      <c r="A727" t="s">
        <v>812</v>
      </c>
      <c r="B727" t="s">
        <v>29</v>
      </c>
      <c r="C727" t="s">
        <v>54</v>
      </c>
      <c r="D727" t="s">
        <v>70</v>
      </c>
      <c r="E727" t="s">
        <v>81</v>
      </c>
      <c r="F727" s="1">
        <v>45854</v>
      </c>
      <c r="G727">
        <v>6</v>
      </c>
      <c r="H727">
        <v>2419.41</v>
      </c>
      <c r="I727">
        <v>10</v>
      </c>
      <c r="J727" t="s">
        <v>45</v>
      </c>
      <c r="K727">
        <v>1451.65</v>
      </c>
      <c r="L727">
        <v>14516.46</v>
      </c>
      <c r="M727">
        <v>13064.81</v>
      </c>
      <c r="N727" t="s">
        <v>122</v>
      </c>
      <c r="O727">
        <v>2025</v>
      </c>
    </row>
    <row r="728" spans="1:15" x14ac:dyDescent="0.3">
      <c r="A728" t="s">
        <v>813</v>
      </c>
      <c r="B728" t="s">
        <v>53</v>
      </c>
      <c r="C728" t="s">
        <v>54</v>
      </c>
      <c r="D728" t="s">
        <v>55</v>
      </c>
      <c r="E728" t="s">
        <v>25</v>
      </c>
      <c r="F728" s="1">
        <v>45919</v>
      </c>
      <c r="G728">
        <v>6</v>
      </c>
      <c r="H728">
        <v>1242.17</v>
      </c>
      <c r="I728">
        <v>0</v>
      </c>
      <c r="J728" t="s">
        <v>40</v>
      </c>
      <c r="K728">
        <v>0</v>
      </c>
      <c r="L728">
        <v>7453.02</v>
      </c>
      <c r="M728">
        <v>7453.02</v>
      </c>
      <c r="N728" t="s">
        <v>86</v>
      </c>
      <c r="O728">
        <v>2025</v>
      </c>
    </row>
    <row r="729" spans="1:15" x14ac:dyDescent="0.3">
      <c r="A729" t="s">
        <v>814</v>
      </c>
      <c r="B729" t="s">
        <v>89</v>
      </c>
      <c r="C729" t="s">
        <v>34</v>
      </c>
      <c r="D729" t="s">
        <v>80</v>
      </c>
      <c r="E729" t="s">
        <v>30</v>
      </c>
      <c r="F729" s="1">
        <v>45400</v>
      </c>
      <c r="G729">
        <v>7</v>
      </c>
      <c r="H729">
        <v>5480.7</v>
      </c>
      <c r="I729">
        <v>15</v>
      </c>
      <c r="J729" t="s">
        <v>26</v>
      </c>
      <c r="K729">
        <v>5754.73</v>
      </c>
      <c r="L729">
        <v>38364.9</v>
      </c>
      <c r="M729">
        <v>32610.17</v>
      </c>
      <c r="N729" t="s">
        <v>27</v>
      </c>
      <c r="O729">
        <v>2024</v>
      </c>
    </row>
    <row r="730" spans="1:15" x14ac:dyDescent="0.3">
      <c r="A730" t="s">
        <v>815</v>
      </c>
      <c r="B730" t="s">
        <v>16</v>
      </c>
      <c r="C730" t="s">
        <v>90</v>
      </c>
      <c r="D730" t="s">
        <v>107</v>
      </c>
      <c r="E730" t="s">
        <v>81</v>
      </c>
      <c r="F730" s="1">
        <v>45923</v>
      </c>
      <c r="G730">
        <v>6</v>
      </c>
      <c r="H730">
        <v>11737.32</v>
      </c>
      <c r="I730">
        <v>5</v>
      </c>
      <c r="J730" t="s">
        <v>71</v>
      </c>
      <c r="K730">
        <v>3521.2</v>
      </c>
      <c r="L730">
        <v>70423.92</v>
      </c>
      <c r="M730">
        <v>66902.720000000001</v>
      </c>
      <c r="N730" t="s">
        <v>86</v>
      </c>
      <c r="O730">
        <v>2025</v>
      </c>
    </row>
    <row r="731" spans="1:15" x14ac:dyDescent="0.3">
      <c r="A731" t="s">
        <v>816</v>
      </c>
      <c r="B731" t="s">
        <v>114</v>
      </c>
      <c r="C731" t="s">
        <v>54</v>
      </c>
      <c r="D731" t="s">
        <v>70</v>
      </c>
      <c r="E731" t="s">
        <v>44</v>
      </c>
      <c r="F731" s="1">
        <v>45873</v>
      </c>
      <c r="G731">
        <v>3</v>
      </c>
      <c r="H731">
        <v>2308.0700000000002</v>
      </c>
      <c r="I731">
        <v>15</v>
      </c>
      <c r="J731" t="s">
        <v>71</v>
      </c>
      <c r="K731">
        <v>1038.6300000000001</v>
      </c>
      <c r="L731">
        <v>6924.21</v>
      </c>
      <c r="M731">
        <v>5885.58</v>
      </c>
      <c r="N731" t="s">
        <v>21</v>
      </c>
      <c r="O731">
        <v>2025</v>
      </c>
    </row>
    <row r="732" spans="1:15" x14ac:dyDescent="0.3">
      <c r="A732" t="s">
        <v>817</v>
      </c>
      <c r="B732" t="s">
        <v>43</v>
      </c>
      <c r="C732" t="s">
        <v>17</v>
      </c>
      <c r="D732" t="s">
        <v>157</v>
      </c>
      <c r="E732" t="s">
        <v>30</v>
      </c>
      <c r="F732" s="1">
        <v>45773</v>
      </c>
      <c r="G732">
        <v>4</v>
      </c>
      <c r="H732">
        <v>7958.03</v>
      </c>
      <c r="I732">
        <v>5</v>
      </c>
      <c r="J732" t="s">
        <v>71</v>
      </c>
      <c r="K732">
        <v>1591.61</v>
      </c>
      <c r="L732">
        <v>31832.12</v>
      </c>
      <c r="M732">
        <v>30240.51</v>
      </c>
      <c r="N732" t="s">
        <v>27</v>
      </c>
      <c r="O732">
        <v>2025</v>
      </c>
    </row>
    <row r="733" spans="1:15" x14ac:dyDescent="0.3">
      <c r="A733" t="s">
        <v>818</v>
      </c>
      <c r="B733" t="s">
        <v>114</v>
      </c>
      <c r="C733" t="s">
        <v>54</v>
      </c>
      <c r="D733" t="s">
        <v>137</v>
      </c>
      <c r="E733" t="s">
        <v>19</v>
      </c>
      <c r="F733" s="1">
        <v>45479</v>
      </c>
      <c r="G733">
        <v>6</v>
      </c>
      <c r="H733">
        <v>987.48</v>
      </c>
      <c r="I733">
        <v>10</v>
      </c>
      <c r="J733" t="s">
        <v>31</v>
      </c>
      <c r="K733">
        <v>592.49</v>
      </c>
      <c r="L733">
        <v>5924.88</v>
      </c>
      <c r="M733">
        <v>5332.39</v>
      </c>
      <c r="N733" t="s">
        <v>122</v>
      </c>
      <c r="O733">
        <v>2024</v>
      </c>
    </row>
    <row r="734" spans="1:15" x14ac:dyDescent="0.3">
      <c r="A734" t="s">
        <v>819</v>
      </c>
      <c r="B734" t="s">
        <v>109</v>
      </c>
      <c r="C734" t="s">
        <v>90</v>
      </c>
      <c r="D734" t="s">
        <v>152</v>
      </c>
      <c r="E734" t="s">
        <v>25</v>
      </c>
      <c r="F734" s="1">
        <v>45407</v>
      </c>
      <c r="G734">
        <v>6</v>
      </c>
      <c r="H734">
        <v>10196.629999999999</v>
      </c>
      <c r="I734">
        <v>5</v>
      </c>
      <c r="J734" t="s">
        <v>71</v>
      </c>
      <c r="K734">
        <v>3058.99</v>
      </c>
      <c r="L734">
        <v>61179.78</v>
      </c>
      <c r="M734">
        <v>58120.79</v>
      </c>
      <c r="N734" t="s">
        <v>27</v>
      </c>
      <c r="O734">
        <v>2024</v>
      </c>
    </row>
    <row r="735" spans="1:15" x14ac:dyDescent="0.3">
      <c r="A735" t="s">
        <v>820</v>
      </c>
      <c r="B735" t="s">
        <v>93</v>
      </c>
      <c r="C735" t="s">
        <v>62</v>
      </c>
      <c r="D735" t="s">
        <v>119</v>
      </c>
      <c r="E735" t="s">
        <v>81</v>
      </c>
      <c r="F735" s="1">
        <v>45812</v>
      </c>
      <c r="G735">
        <v>2</v>
      </c>
      <c r="H735">
        <v>3504.98</v>
      </c>
      <c r="I735">
        <v>0</v>
      </c>
      <c r="J735" t="s">
        <v>36</v>
      </c>
      <c r="K735">
        <v>0</v>
      </c>
      <c r="L735">
        <v>7009.96</v>
      </c>
      <c r="M735">
        <v>7009.96</v>
      </c>
      <c r="N735" t="s">
        <v>72</v>
      </c>
      <c r="O735">
        <v>2025</v>
      </c>
    </row>
    <row r="736" spans="1:15" x14ac:dyDescent="0.3">
      <c r="A736" t="s">
        <v>821</v>
      </c>
      <c r="B736" t="s">
        <v>61</v>
      </c>
      <c r="C736" t="s">
        <v>62</v>
      </c>
      <c r="D736" t="s">
        <v>132</v>
      </c>
      <c r="E736" t="s">
        <v>25</v>
      </c>
      <c r="F736" s="1">
        <v>45837</v>
      </c>
      <c r="G736">
        <v>8</v>
      </c>
      <c r="H736">
        <v>2500.5100000000002</v>
      </c>
      <c r="I736">
        <v>15</v>
      </c>
      <c r="J736" t="s">
        <v>40</v>
      </c>
      <c r="K736">
        <v>3000.61</v>
      </c>
      <c r="L736">
        <v>20004.080000000002</v>
      </c>
      <c r="M736">
        <v>17003.47</v>
      </c>
      <c r="N736" t="s">
        <v>72</v>
      </c>
      <c r="O736">
        <v>2025</v>
      </c>
    </row>
    <row r="737" spans="1:15" x14ac:dyDescent="0.3">
      <c r="A737" t="s">
        <v>822</v>
      </c>
      <c r="B737" t="s">
        <v>29</v>
      </c>
      <c r="C737" t="s">
        <v>34</v>
      </c>
      <c r="D737" t="s">
        <v>66</v>
      </c>
      <c r="E737" t="s">
        <v>81</v>
      </c>
      <c r="F737" s="1">
        <v>45785</v>
      </c>
      <c r="G737">
        <v>7</v>
      </c>
      <c r="H737">
        <v>36660.6</v>
      </c>
      <c r="I737">
        <v>5</v>
      </c>
      <c r="J737" t="s">
        <v>36</v>
      </c>
      <c r="K737">
        <v>12831.21</v>
      </c>
      <c r="L737">
        <v>256624.2</v>
      </c>
      <c r="M737">
        <v>243792.99</v>
      </c>
      <c r="N737" t="s">
        <v>101</v>
      </c>
      <c r="O737">
        <v>2025</v>
      </c>
    </row>
    <row r="738" spans="1:15" x14ac:dyDescent="0.3">
      <c r="A738" t="s">
        <v>823</v>
      </c>
      <c r="B738" t="s">
        <v>74</v>
      </c>
      <c r="C738" t="s">
        <v>54</v>
      </c>
      <c r="D738" t="s">
        <v>68</v>
      </c>
      <c r="E738" t="s">
        <v>56</v>
      </c>
      <c r="F738" s="1">
        <v>45849</v>
      </c>
      <c r="G738">
        <v>4</v>
      </c>
      <c r="H738">
        <v>4244.72</v>
      </c>
      <c r="I738">
        <v>0</v>
      </c>
      <c r="J738" t="s">
        <v>45</v>
      </c>
      <c r="K738">
        <v>0</v>
      </c>
      <c r="L738">
        <v>16978.88</v>
      </c>
      <c r="M738">
        <v>16978.88</v>
      </c>
      <c r="N738" t="s">
        <v>122</v>
      </c>
      <c r="O738">
        <v>2025</v>
      </c>
    </row>
    <row r="739" spans="1:15" x14ac:dyDescent="0.3">
      <c r="A739" t="s">
        <v>824</v>
      </c>
      <c r="B739" t="s">
        <v>47</v>
      </c>
      <c r="C739" t="s">
        <v>54</v>
      </c>
      <c r="D739" t="s">
        <v>68</v>
      </c>
      <c r="E739" t="s">
        <v>81</v>
      </c>
      <c r="F739" s="1">
        <v>45625</v>
      </c>
      <c r="G739">
        <v>9</v>
      </c>
      <c r="H739">
        <v>4575.8500000000004</v>
      </c>
      <c r="I739">
        <v>15</v>
      </c>
      <c r="J739" t="s">
        <v>71</v>
      </c>
      <c r="K739">
        <v>6177.4</v>
      </c>
      <c r="L739">
        <v>41182.65</v>
      </c>
      <c r="M739">
        <v>35005.25</v>
      </c>
      <c r="N739" t="s">
        <v>96</v>
      </c>
      <c r="O739">
        <v>2024</v>
      </c>
    </row>
    <row r="740" spans="1:15" x14ac:dyDescent="0.3">
      <c r="A740" t="s">
        <v>825</v>
      </c>
      <c r="B740" t="s">
        <v>23</v>
      </c>
      <c r="C740" t="s">
        <v>34</v>
      </c>
      <c r="D740" t="s">
        <v>48</v>
      </c>
      <c r="E740" t="s">
        <v>25</v>
      </c>
      <c r="F740" s="1">
        <v>45993</v>
      </c>
      <c r="G740">
        <v>10</v>
      </c>
      <c r="H740">
        <v>9616.9599999999991</v>
      </c>
      <c r="I740">
        <v>15</v>
      </c>
      <c r="J740" t="s">
        <v>82</v>
      </c>
      <c r="K740">
        <v>14425.44</v>
      </c>
      <c r="L740">
        <v>96169.600000000006</v>
      </c>
      <c r="M740">
        <v>81744.160000000003</v>
      </c>
      <c r="N740" t="s">
        <v>51</v>
      </c>
      <c r="O740">
        <v>2025</v>
      </c>
    </row>
    <row r="741" spans="1:15" x14ac:dyDescent="0.3">
      <c r="A741" t="s">
        <v>826</v>
      </c>
      <c r="B741" t="s">
        <v>61</v>
      </c>
      <c r="C741" t="s">
        <v>62</v>
      </c>
      <c r="D741" t="s">
        <v>99</v>
      </c>
      <c r="E741" t="s">
        <v>30</v>
      </c>
      <c r="F741" s="1">
        <v>45384</v>
      </c>
      <c r="G741">
        <v>4</v>
      </c>
      <c r="H741">
        <v>1656.39</v>
      </c>
      <c r="I741">
        <v>20</v>
      </c>
      <c r="J741" t="s">
        <v>26</v>
      </c>
      <c r="K741">
        <v>1325.11</v>
      </c>
      <c r="L741">
        <v>6625.56</v>
      </c>
      <c r="M741">
        <v>5300.45</v>
      </c>
      <c r="N741" t="s">
        <v>27</v>
      </c>
      <c r="O741">
        <v>2024</v>
      </c>
    </row>
    <row r="742" spans="1:15" x14ac:dyDescent="0.3">
      <c r="A742" t="s">
        <v>827</v>
      </c>
      <c r="B742" t="s">
        <v>61</v>
      </c>
      <c r="C742" t="s">
        <v>17</v>
      </c>
      <c r="D742" t="s">
        <v>59</v>
      </c>
      <c r="E742" t="s">
        <v>50</v>
      </c>
      <c r="F742" s="1">
        <v>45836</v>
      </c>
      <c r="G742">
        <v>5</v>
      </c>
      <c r="H742">
        <v>24937.39</v>
      </c>
      <c r="I742">
        <v>20</v>
      </c>
      <c r="J742" t="s">
        <v>71</v>
      </c>
      <c r="K742">
        <v>24937.39</v>
      </c>
      <c r="L742">
        <v>124686.95</v>
      </c>
      <c r="M742">
        <v>99749.56</v>
      </c>
      <c r="N742" t="s">
        <v>72</v>
      </c>
      <c r="O742">
        <v>2025</v>
      </c>
    </row>
    <row r="743" spans="1:15" x14ac:dyDescent="0.3">
      <c r="A743" t="s">
        <v>828</v>
      </c>
      <c r="B743" t="s">
        <v>29</v>
      </c>
      <c r="C743" t="s">
        <v>90</v>
      </c>
      <c r="D743" t="s">
        <v>107</v>
      </c>
      <c r="E743" t="s">
        <v>30</v>
      </c>
      <c r="F743" s="1">
        <v>45598</v>
      </c>
      <c r="G743">
        <v>10</v>
      </c>
      <c r="H743">
        <v>14501.34</v>
      </c>
      <c r="I743">
        <v>10</v>
      </c>
      <c r="J743" t="s">
        <v>45</v>
      </c>
      <c r="K743">
        <v>14501.34</v>
      </c>
      <c r="L743">
        <v>145013.4</v>
      </c>
      <c r="M743">
        <v>130512.06</v>
      </c>
      <c r="N743" t="s">
        <v>96</v>
      </c>
      <c r="O743">
        <v>2024</v>
      </c>
    </row>
    <row r="744" spans="1:15" x14ac:dyDescent="0.3">
      <c r="A744" t="s">
        <v>829</v>
      </c>
      <c r="B744" t="s">
        <v>47</v>
      </c>
      <c r="C744" t="s">
        <v>90</v>
      </c>
      <c r="D744" t="s">
        <v>115</v>
      </c>
      <c r="E744" t="s">
        <v>81</v>
      </c>
      <c r="F744" s="1">
        <v>45918</v>
      </c>
      <c r="G744">
        <v>9</v>
      </c>
      <c r="H744">
        <v>8008.39</v>
      </c>
      <c r="I744">
        <v>5</v>
      </c>
      <c r="J744" t="s">
        <v>26</v>
      </c>
      <c r="K744">
        <v>3603.78</v>
      </c>
      <c r="L744">
        <v>72075.509999999995</v>
      </c>
      <c r="M744">
        <v>68471.73</v>
      </c>
      <c r="N744" t="s">
        <v>86</v>
      </c>
      <c r="O744">
        <v>2025</v>
      </c>
    </row>
    <row r="745" spans="1:15" x14ac:dyDescent="0.3">
      <c r="A745" t="s">
        <v>830</v>
      </c>
      <c r="B745" t="s">
        <v>33</v>
      </c>
      <c r="C745" t="s">
        <v>62</v>
      </c>
      <c r="D745" t="s">
        <v>95</v>
      </c>
      <c r="E745" t="s">
        <v>81</v>
      </c>
      <c r="F745" s="1">
        <v>45292</v>
      </c>
      <c r="G745">
        <v>9</v>
      </c>
      <c r="H745">
        <v>884.15</v>
      </c>
      <c r="I745">
        <v>10</v>
      </c>
      <c r="J745" t="s">
        <v>26</v>
      </c>
      <c r="K745">
        <v>795.74</v>
      </c>
      <c r="L745">
        <v>7957.35</v>
      </c>
      <c r="M745">
        <v>7161.61</v>
      </c>
      <c r="N745" t="s">
        <v>116</v>
      </c>
      <c r="O745">
        <v>2024</v>
      </c>
    </row>
    <row r="746" spans="1:15" x14ac:dyDescent="0.3">
      <c r="A746" t="s">
        <v>831</v>
      </c>
      <c r="B746" t="s">
        <v>38</v>
      </c>
      <c r="C746" t="s">
        <v>17</v>
      </c>
      <c r="D746" t="s">
        <v>39</v>
      </c>
      <c r="E746" t="s">
        <v>25</v>
      </c>
      <c r="F746" s="1">
        <v>45734</v>
      </c>
      <c r="G746">
        <v>10</v>
      </c>
      <c r="H746">
        <v>17974.21</v>
      </c>
      <c r="I746">
        <v>10</v>
      </c>
      <c r="J746" t="s">
        <v>20</v>
      </c>
      <c r="K746">
        <v>17974.21</v>
      </c>
      <c r="L746">
        <v>179742.1</v>
      </c>
      <c r="M746">
        <v>161767.89000000001</v>
      </c>
      <c r="N746" t="s">
        <v>83</v>
      </c>
      <c r="O746">
        <v>2025</v>
      </c>
    </row>
    <row r="747" spans="1:15" x14ac:dyDescent="0.3">
      <c r="A747" t="s">
        <v>832</v>
      </c>
      <c r="B747" t="s">
        <v>23</v>
      </c>
      <c r="C747" t="s">
        <v>90</v>
      </c>
      <c r="D747" t="s">
        <v>152</v>
      </c>
      <c r="E747" t="s">
        <v>56</v>
      </c>
      <c r="F747" s="1">
        <v>45970</v>
      </c>
      <c r="G747">
        <v>3</v>
      </c>
      <c r="H747">
        <v>11205.9</v>
      </c>
      <c r="I747">
        <v>5</v>
      </c>
      <c r="J747" t="s">
        <v>20</v>
      </c>
      <c r="K747">
        <v>1680.88</v>
      </c>
      <c r="L747">
        <v>33617.699999999997</v>
      </c>
      <c r="M747">
        <v>31936.82</v>
      </c>
      <c r="N747" t="s">
        <v>96</v>
      </c>
      <c r="O747">
        <v>2025</v>
      </c>
    </row>
    <row r="748" spans="1:15" x14ac:dyDescent="0.3">
      <c r="A748" t="s">
        <v>833</v>
      </c>
      <c r="B748" t="s">
        <v>38</v>
      </c>
      <c r="C748" t="s">
        <v>54</v>
      </c>
      <c r="D748" t="s">
        <v>68</v>
      </c>
      <c r="E748" t="s">
        <v>19</v>
      </c>
      <c r="F748" s="1">
        <v>45449</v>
      </c>
      <c r="G748">
        <v>5</v>
      </c>
      <c r="H748">
        <v>5172.1400000000003</v>
      </c>
      <c r="I748">
        <v>5</v>
      </c>
      <c r="J748" t="s">
        <v>31</v>
      </c>
      <c r="K748">
        <v>1293.04</v>
      </c>
      <c r="L748">
        <v>25860.7</v>
      </c>
      <c r="M748">
        <v>24567.66</v>
      </c>
      <c r="N748" t="s">
        <v>72</v>
      </c>
      <c r="O748">
        <v>2024</v>
      </c>
    </row>
    <row r="749" spans="1:15" x14ac:dyDescent="0.3">
      <c r="A749" t="s">
        <v>834</v>
      </c>
      <c r="B749" t="s">
        <v>47</v>
      </c>
      <c r="C749" t="s">
        <v>34</v>
      </c>
      <c r="D749" t="s">
        <v>80</v>
      </c>
      <c r="E749" t="s">
        <v>30</v>
      </c>
      <c r="F749" s="1">
        <v>45439</v>
      </c>
      <c r="G749">
        <v>8</v>
      </c>
      <c r="H749">
        <v>6386.89</v>
      </c>
      <c r="I749">
        <v>5</v>
      </c>
      <c r="J749" t="s">
        <v>26</v>
      </c>
      <c r="K749">
        <v>2554.7600000000002</v>
      </c>
      <c r="L749">
        <v>51095.12</v>
      </c>
      <c r="M749">
        <v>48540.36</v>
      </c>
      <c r="N749" t="s">
        <v>101</v>
      </c>
      <c r="O749">
        <v>2024</v>
      </c>
    </row>
    <row r="750" spans="1:15" x14ac:dyDescent="0.3">
      <c r="A750" t="s">
        <v>835</v>
      </c>
      <c r="B750" t="s">
        <v>61</v>
      </c>
      <c r="C750" t="s">
        <v>17</v>
      </c>
      <c r="D750" t="s">
        <v>59</v>
      </c>
      <c r="E750" t="s">
        <v>44</v>
      </c>
      <c r="F750" s="1">
        <v>45758</v>
      </c>
      <c r="G750">
        <v>10</v>
      </c>
      <c r="H750">
        <v>28314.44</v>
      </c>
      <c r="I750">
        <v>20</v>
      </c>
      <c r="J750" t="s">
        <v>31</v>
      </c>
      <c r="K750">
        <v>56628.88</v>
      </c>
      <c r="L750">
        <v>283144.40000000002</v>
      </c>
      <c r="M750">
        <v>226515.52</v>
      </c>
      <c r="N750" t="s">
        <v>27</v>
      </c>
      <c r="O750">
        <v>2025</v>
      </c>
    </row>
    <row r="751" spans="1:15" x14ac:dyDescent="0.3">
      <c r="A751" t="s">
        <v>836</v>
      </c>
      <c r="B751" t="s">
        <v>65</v>
      </c>
      <c r="C751" t="s">
        <v>34</v>
      </c>
      <c r="D751" t="s">
        <v>35</v>
      </c>
      <c r="E751" t="s">
        <v>56</v>
      </c>
      <c r="F751" s="1">
        <v>45685</v>
      </c>
      <c r="G751">
        <v>6</v>
      </c>
      <c r="H751">
        <v>23910.880000000001</v>
      </c>
      <c r="I751">
        <v>15</v>
      </c>
      <c r="J751" t="s">
        <v>71</v>
      </c>
      <c r="K751">
        <v>21519.79</v>
      </c>
      <c r="L751">
        <v>143465.28</v>
      </c>
      <c r="M751">
        <v>121945.49</v>
      </c>
      <c r="N751" t="s">
        <v>116</v>
      </c>
      <c r="O751">
        <v>2025</v>
      </c>
    </row>
    <row r="752" spans="1:15" x14ac:dyDescent="0.3">
      <c r="A752" t="s">
        <v>837</v>
      </c>
      <c r="B752" t="s">
        <v>93</v>
      </c>
      <c r="C752" t="s">
        <v>54</v>
      </c>
      <c r="D752" t="s">
        <v>70</v>
      </c>
      <c r="E752" t="s">
        <v>56</v>
      </c>
      <c r="F752" s="1">
        <v>46021</v>
      </c>
      <c r="G752">
        <v>9</v>
      </c>
      <c r="H752">
        <v>2660.11</v>
      </c>
      <c r="I752">
        <v>20</v>
      </c>
      <c r="J752" t="s">
        <v>20</v>
      </c>
      <c r="K752">
        <v>4788.2</v>
      </c>
      <c r="L752">
        <v>23940.99</v>
      </c>
      <c r="M752">
        <v>19152.79</v>
      </c>
      <c r="N752" t="s">
        <v>51</v>
      </c>
      <c r="O752">
        <v>2025</v>
      </c>
    </row>
    <row r="753" spans="1:15" x14ac:dyDescent="0.3">
      <c r="A753" t="s">
        <v>838</v>
      </c>
      <c r="B753" t="s">
        <v>109</v>
      </c>
      <c r="C753" t="s">
        <v>54</v>
      </c>
      <c r="D753" t="s">
        <v>137</v>
      </c>
      <c r="E753" t="s">
        <v>25</v>
      </c>
      <c r="F753" s="1">
        <v>46013</v>
      </c>
      <c r="G753">
        <v>6</v>
      </c>
      <c r="H753">
        <v>919.01</v>
      </c>
      <c r="I753">
        <v>15</v>
      </c>
      <c r="J753" t="s">
        <v>71</v>
      </c>
      <c r="K753">
        <v>827.11</v>
      </c>
      <c r="L753">
        <v>5514.06</v>
      </c>
      <c r="M753">
        <v>4686.95</v>
      </c>
      <c r="N753" t="s">
        <v>51</v>
      </c>
      <c r="O753">
        <v>2025</v>
      </c>
    </row>
    <row r="754" spans="1:15" x14ac:dyDescent="0.3">
      <c r="A754" t="s">
        <v>839</v>
      </c>
      <c r="B754" t="s">
        <v>16</v>
      </c>
      <c r="C754" t="s">
        <v>17</v>
      </c>
      <c r="D754" t="s">
        <v>59</v>
      </c>
      <c r="E754" t="s">
        <v>30</v>
      </c>
      <c r="F754" s="1">
        <v>45768</v>
      </c>
      <c r="G754">
        <v>9</v>
      </c>
      <c r="H754">
        <v>22988.97</v>
      </c>
      <c r="I754">
        <v>20</v>
      </c>
      <c r="J754" t="s">
        <v>40</v>
      </c>
      <c r="K754">
        <v>41380.15</v>
      </c>
      <c r="L754">
        <v>206900.73</v>
      </c>
      <c r="M754">
        <v>165520.57999999999</v>
      </c>
      <c r="N754" t="s">
        <v>27</v>
      </c>
      <c r="O754">
        <v>2025</v>
      </c>
    </row>
    <row r="755" spans="1:15" x14ac:dyDescent="0.3">
      <c r="A755" t="s">
        <v>840</v>
      </c>
      <c r="B755" t="s">
        <v>89</v>
      </c>
      <c r="C755" t="s">
        <v>17</v>
      </c>
      <c r="D755" t="s">
        <v>59</v>
      </c>
      <c r="E755" t="s">
        <v>30</v>
      </c>
      <c r="F755" s="1">
        <v>45992</v>
      </c>
      <c r="G755">
        <v>9</v>
      </c>
      <c r="H755">
        <v>30236.93</v>
      </c>
      <c r="I755">
        <v>10</v>
      </c>
      <c r="J755" t="s">
        <v>82</v>
      </c>
      <c r="K755">
        <v>27213.24</v>
      </c>
      <c r="L755">
        <v>272132.37</v>
      </c>
      <c r="M755">
        <v>244919.13</v>
      </c>
      <c r="N755" t="s">
        <v>51</v>
      </c>
      <c r="O755">
        <v>2025</v>
      </c>
    </row>
    <row r="756" spans="1:15" x14ac:dyDescent="0.3">
      <c r="A756" t="s">
        <v>841</v>
      </c>
      <c r="B756" t="s">
        <v>114</v>
      </c>
      <c r="C756" t="s">
        <v>54</v>
      </c>
      <c r="D756" t="s">
        <v>70</v>
      </c>
      <c r="E756" t="s">
        <v>19</v>
      </c>
      <c r="F756" s="1">
        <v>45772</v>
      </c>
      <c r="G756">
        <v>8</v>
      </c>
      <c r="H756">
        <v>2570.41</v>
      </c>
      <c r="I756">
        <v>15</v>
      </c>
      <c r="J756" t="s">
        <v>26</v>
      </c>
      <c r="K756">
        <v>3084.49</v>
      </c>
      <c r="L756">
        <v>20563.28</v>
      </c>
      <c r="M756">
        <v>17478.79</v>
      </c>
      <c r="N756" t="s">
        <v>27</v>
      </c>
      <c r="O756">
        <v>2025</v>
      </c>
    </row>
    <row r="757" spans="1:15" x14ac:dyDescent="0.3">
      <c r="A757" t="s">
        <v>842</v>
      </c>
      <c r="B757" t="s">
        <v>23</v>
      </c>
      <c r="C757" t="s">
        <v>54</v>
      </c>
      <c r="D757" t="s">
        <v>137</v>
      </c>
      <c r="E757" t="s">
        <v>19</v>
      </c>
      <c r="F757" s="1">
        <v>45588</v>
      </c>
      <c r="G757">
        <v>3</v>
      </c>
      <c r="H757">
        <v>899.74</v>
      </c>
      <c r="I757">
        <v>20</v>
      </c>
      <c r="J757" t="s">
        <v>40</v>
      </c>
      <c r="K757">
        <v>539.84</v>
      </c>
      <c r="L757">
        <v>2699.22</v>
      </c>
      <c r="M757">
        <v>2159.38</v>
      </c>
      <c r="N757" t="s">
        <v>57</v>
      </c>
      <c r="O757">
        <v>2024</v>
      </c>
    </row>
    <row r="758" spans="1:15" x14ac:dyDescent="0.3">
      <c r="A758" t="s">
        <v>843</v>
      </c>
      <c r="B758" t="s">
        <v>43</v>
      </c>
      <c r="C758" t="s">
        <v>62</v>
      </c>
      <c r="D758" t="s">
        <v>132</v>
      </c>
      <c r="E758" t="s">
        <v>25</v>
      </c>
      <c r="F758" s="1">
        <v>45884</v>
      </c>
      <c r="G758">
        <v>3</v>
      </c>
      <c r="H758">
        <v>2608.04</v>
      </c>
      <c r="I758">
        <v>10</v>
      </c>
      <c r="J758" t="s">
        <v>71</v>
      </c>
      <c r="K758">
        <v>782.41</v>
      </c>
      <c r="L758">
        <v>7824.12</v>
      </c>
      <c r="M758">
        <v>7041.71</v>
      </c>
      <c r="N758" t="s">
        <v>21</v>
      </c>
      <c r="O758">
        <v>2025</v>
      </c>
    </row>
    <row r="759" spans="1:15" x14ac:dyDescent="0.3">
      <c r="A759" t="s">
        <v>844</v>
      </c>
      <c r="B759" t="s">
        <v>43</v>
      </c>
      <c r="C759" t="s">
        <v>54</v>
      </c>
      <c r="D759" t="s">
        <v>70</v>
      </c>
      <c r="E759" t="s">
        <v>56</v>
      </c>
      <c r="F759" s="1">
        <v>45421</v>
      </c>
      <c r="G759">
        <v>9</v>
      </c>
      <c r="H759">
        <v>2298.04</v>
      </c>
      <c r="I759">
        <v>10</v>
      </c>
      <c r="J759" t="s">
        <v>82</v>
      </c>
      <c r="K759">
        <v>2068.2399999999998</v>
      </c>
      <c r="L759">
        <v>20682.36</v>
      </c>
      <c r="M759">
        <v>18614.12</v>
      </c>
      <c r="N759" t="s">
        <v>101</v>
      </c>
      <c r="O759">
        <v>2024</v>
      </c>
    </row>
    <row r="760" spans="1:15" x14ac:dyDescent="0.3">
      <c r="A760" t="s">
        <v>845</v>
      </c>
      <c r="B760" t="s">
        <v>93</v>
      </c>
      <c r="C760" t="s">
        <v>62</v>
      </c>
      <c r="D760" t="s">
        <v>63</v>
      </c>
      <c r="E760" t="s">
        <v>19</v>
      </c>
      <c r="F760" s="1">
        <v>45555</v>
      </c>
      <c r="G760">
        <v>1</v>
      </c>
      <c r="H760">
        <v>1953.64</v>
      </c>
      <c r="I760">
        <v>20</v>
      </c>
      <c r="J760" t="s">
        <v>40</v>
      </c>
      <c r="K760">
        <v>390.73</v>
      </c>
      <c r="L760">
        <v>1953.64</v>
      </c>
      <c r="M760">
        <v>1562.91</v>
      </c>
      <c r="N760" t="s">
        <v>86</v>
      </c>
      <c r="O760">
        <v>2024</v>
      </c>
    </row>
    <row r="761" spans="1:15" x14ac:dyDescent="0.3">
      <c r="A761" t="s">
        <v>846</v>
      </c>
      <c r="B761" t="s">
        <v>16</v>
      </c>
      <c r="C761" t="s">
        <v>34</v>
      </c>
      <c r="D761" t="s">
        <v>66</v>
      </c>
      <c r="E761" t="s">
        <v>50</v>
      </c>
      <c r="F761" s="1">
        <v>45670</v>
      </c>
      <c r="G761">
        <v>3</v>
      </c>
      <c r="H761">
        <v>38612.53</v>
      </c>
      <c r="I761">
        <v>5</v>
      </c>
      <c r="J761" t="s">
        <v>71</v>
      </c>
      <c r="K761">
        <v>5791.88</v>
      </c>
      <c r="L761">
        <v>115837.59</v>
      </c>
      <c r="M761">
        <v>110045.71</v>
      </c>
      <c r="N761" t="s">
        <v>116</v>
      </c>
      <c r="O761">
        <v>2025</v>
      </c>
    </row>
    <row r="762" spans="1:15" x14ac:dyDescent="0.3">
      <c r="A762" t="s">
        <v>847</v>
      </c>
      <c r="B762" t="s">
        <v>74</v>
      </c>
      <c r="C762" t="s">
        <v>90</v>
      </c>
      <c r="D762" t="s">
        <v>107</v>
      </c>
      <c r="E762" t="s">
        <v>81</v>
      </c>
      <c r="F762" s="1">
        <v>45643</v>
      </c>
      <c r="G762">
        <v>2</v>
      </c>
      <c r="H762">
        <v>15072.24</v>
      </c>
      <c r="I762">
        <v>20</v>
      </c>
      <c r="J762" t="s">
        <v>26</v>
      </c>
      <c r="K762">
        <v>6028.9</v>
      </c>
      <c r="L762">
        <v>30144.48</v>
      </c>
      <c r="M762">
        <v>24115.58</v>
      </c>
      <c r="N762" t="s">
        <v>51</v>
      </c>
      <c r="O762">
        <v>2024</v>
      </c>
    </row>
    <row r="763" spans="1:15" x14ac:dyDescent="0.3">
      <c r="A763" t="s">
        <v>848</v>
      </c>
      <c r="B763" t="s">
        <v>74</v>
      </c>
      <c r="C763" t="s">
        <v>34</v>
      </c>
      <c r="D763" t="s">
        <v>35</v>
      </c>
      <c r="E763" t="s">
        <v>56</v>
      </c>
      <c r="F763" s="1">
        <v>45535</v>
      </c>
      <c r="G763">
        <v>8</v>
      </c>
      <c r="H763">
        <v>27037.49</v>
      </c>
      <c r="I763">
        <v>5</v>
      </c>
      <c r="J763" t="s">
        <v>31</v>
      </c>
      <c r="K763">
        <v>10815</v>
      </c>
      <c r="L763">
        <v>216299.92</v>
      </c>
      <c r="M763">
        <v>205484.92</v>
      </c>
      <c r="N763" t="s">
        <v>21</v>
      </c>
      <c r="O763">
        <v>2024</v>
      </c>
    </row>
    <row r="764" spans="1:15" x14ac:dyDescent="0.3">
      <c r="A764" t="s">
        <v>849</v>
      </c>
      <c r="B764" t="s">
        <v>16</v>
      </c>
      <c r="C764" t="s">
        <v>34</v>
      </c>
      <c r="D764" t="s">
        <v>66</v>
      </c>
      <c r="E764" t="s">
        <v>44</v>
      </c>
      <c r="F764" s="1">
        <v>45347</v>
      </c>
      <c r="G764">
        <v>5</v>
      </c>
      <c r="H764">
        <v>43554.84</v>
      </c>
      <c r="I764">
        <v>0</v>
      </c>
      <c r="J764" t="s">
        <v>45</v>
      </c>
      <c r="K764">
        <v>0</v>
      </c>
      <c r="L764">
        <v>217774.2</v>
      </c>
      <c r="M764">
        <v>217774.2</v>
      </c>
      <c r="N764" t="s">
        <v>41</v>
      </c>
      <c r="O764">
        <v>2024</v>
      </c>
    </row>
    <row r="765" spans="1:15" x14ac:dyDescent="0.3">
      <c r="A765" t="s">
        <v>850</v>
      </c>
      <c r="B765" t="s">
        <v>89</v>
      </c>
      <c r="C765" t="s">
        <v>17</v>
      </c>
      <c r="D765" t="s">
        <v>59</v>
      </c>
      <c r="E765" t="s">
        <v>56</v>
      </c>
      <c r="F765" s="1">
        <v>45600</v>
      </c>
      <c r="G765">
        <v>8</v>
      </c>
      <c r="H765">
        <v>29879.78</v>
      </c>
      <c r="I765">
        <v>20</v>
      </c>
      <c r="J765" t="s">
        <v>71</v>
      </c>
      <c r="K765">
        <v>47807.65</v>
      </c>
      <c r="L765">
        <v>239038.24</v>
      </c>
      <c r="M765">
        <v>191230.59</v>
      </c>
      <c r="N765" t="s">
        <v>96</v>
      </c>
      <c r="O765">
        <v>2024</v>
      </c>
    </row>
    <row r="766" spans="1:15" x14ac:dyDescent="0.3">
      <c r="A766" t="s">
        <v>851</v>
      </c>
      <c r="B766" t="s">
        <v>61</v>
      </c>
      <c r="C766" t="s">
        <v>34</v>
      </c>
      <c r="D766" t="s">
        <v>35</v>
      </c>
      <c r="E766" t="s">
        <v>30</v>
      </c>
      <c r="F766" s="1">
        <v>45777</v>
      </c>
      <c r="G766">
        <v>5</v>
      </c>
      <c r="H766">
        <v>23407.19</v>
      </c>
      <c r="I766">
        <v>15</v>
      </c>
      <c r="J766" t="s">
        <v>31</v>
      </c>
      <c r="K766">
        <v>17555.39</v>
      </c>
      <c r="L766">
        <v>117035.95</v>
      </c>
      <c r="M766">
        <v>99480.56</v>
      </c>
      <c r="N766" t="s">
        <v>27</v>
      </c>
      <c r="O766">
        <v>2025</v>
      </c>
    </row>
    <row r="767" spans="1:15" x14ac:dyDescent="0.3">
      <c r="A767" t="s">
        <v>852</v>
      </c>
      <c r="B767" t="s">
        <v>114</v>
      </c>
      <c r="C767" t="s">
        <v>17</v>
      </c>
      <c r="D767" t="s">
        <v>39</v>
      </c>
      <c r="E767" t="s">
        <v>44</v>
      </c>
      <c r="F767" s="1">
        <v>45683</v>
      </c>
      <c r="G767">
        <v>6</v>
      </c>
      <c r="H767">
        <v>20527.93</v>
      </c>
      <c r="I767">
        <v>0</v>
      </c>
      <c r="J767" t="s">
        <v>71</v>
      </c>
      <c r="K767">
        <v>0</v>
      </c>
      <c r="L767">
        <v>123167.58</v>
      </c>
      <c r="M767">
        <v>123167.58</v>
      </c>
      <c r="N767" t="s">
        <v>116</v>
      </c>
      <c r="O767">
        <v>2025</v>
      </c>
    </row>
    <row r="768" spans="1:15" x14ac:dyDescent="0.3">
      <c r="A768" t="s">
        <v>853</v>
      </c>
      <c r="B768" t="s">
        <v>61</v>
      </c>
      <c r="C768" t="s">
        <v>17</v>
      </c>
      <c r="D768" t="s">
        <v>24</v>
      </c>
      <c r="E768" t="s">
        <v>19</v>
      </c>
      <c r="F768" s="1">
        <v>45917</v>
      </c>
      <c r="G768">
        <v>5</v>
      </c>
      <c r="H768">
        <v>2951.23</v>
      </c>
      <c r="I768">
        <v>10</v>
      </c>
      <c r="J768" t="s">
        <v>31</v>
      </c>
      <c r="K768">
        <v>1475.62</v>
      </c>
      <c r="L768">
        <v>14756.15</v>
      </c>
      <c r="M768">
        <v>13280.53</v>
      </c>
      <c r="N768" t="s">
        <v>86</v>
      </c>
      <c r="O768">
        <v>2025</v>
      </c>
    </row>
    <row r="769" spans="1:15" x14ac:dyDescent="0.3">
      <c r="A769" t="s">
        <v>854</v>
      </c>
      <c r="B769" t="s">
        <v>61</v>
      </c>
      <c r="C769" t="s">
        <v>17</v>
      </c>
      <c r="D769" t="s">
        <v>39</v>
      </c>
      <c r="E769" t="s">
        <v>81</v>
      </c>
      <c r="F769" s="1">
        <v>45764</v>
      </c>
      <c r="G769">
        <v>4</v>
      </c>
      <c r="H769">
        <v>19504.41</v>
      </c>
      <c r="I769">
        <v>20</v>
      </c>
      <c r="J769" t="s">
        <v>31</v>
      </c>
      <c r="K769">
        <v>15603.53</v>
      </c>
      <c r="L769">
        <v>78017.64</v>
      </c>
      <c r="M769">
        <v>62414.11</v>
      </c>
      <c r="N769" t="s">
        <v>27</v>
      </c>
      <c r="O769">
        <v>2025</v>
      </c>
    </row>
    <row r="770" spans="1:15" x14ac:dyDescent="0.3">
      <c r="A770" t="s">
        <v>855</v>
      </c>
      <c r="B770" t="s">
        <v>33</v>
      </c>
      <c r="C770" t="s">
        <v>34</v>
      </c>
      <c r="D770" t="s">
        <v>66</v>
      </c>
      <c r="E770" t="s">
        <v>30</v>
      </c>
      <c r="F770" s="1">
        <v>45612</v>
      </c>
      <c r="G770">
        <v>9</v>
      </c>
      <c r="H770">
        <v>39716.36</v>
      </c>
      <c r="I770">
        <v>0</v>
      </c>
      <c r="J770" t="s">
        <v>36</v>
      </c>
      <c r="K770">
        <v>0</v>
      </c>
      <c r="L770">
        <v>357447.24</v>
      </c>
      <c r="M770">
        <v>357447.24</v>
      </c>
      <c r="N770" t="s">
        <v>96</v>
      </c>
      <c r="O770">
        <v>2024</v>
      </c>
    </row>
    <row r="771" spans="1:15" x14ac:dyDescent="0.3">
      <c r="A771" t="s">
        <v>856</v>
      </c>
      <c r="B771" t="s">
        <v>23</v>
      </c>
      <c r="C771" t="s">
        <v>17</v>
      </c>
      <c r="D771" t="s">
        <v>18</v>
      </c>
      <c r="E771" t="s">
        <v>25</v>
      </c>
      <c r="F771" s="1">
        <v>45993</v>
      </c>
      <c r="G771">
        <v>8</v>
      </c>
      <c r="H771">
        <v>70633.36</v>
      </c>
      <c r="I771">
        <v>10</v>
      </c>
      <c r="J771" t="s">
        <v>82</v>
      </c>
      <c r="K771">
        <v>56506.69</v>
      </c>
      <c r="L771">
        <v>565066.88</v>
      </c>
      <c r="M771">
        <v>508560.19</v>
      </c>
      <c r="N771" t="s">
        <v>51</v>
      </c>
      <c r="O771">
        <v>2025</v>
      </c>
    </row>
    <row r="772" spans="1:15" x14ac:dyDescent="0.3">
      <c r="A772" t="s">
        <v>857</v>
      </c>
      <c r="B772" t="s">
        <v>109</v>
      </c>
      <c r="C772" t="s">
        <v>62</v>
      </c>
      <c r="D772" t="s">
        <v>63</v>
      </c>
      <c r="E772" t="s">
        <v>25</v>
      </c>
      <c r="F772" s="1">
        <v>45350</v>
      </c>
      <c r="G772">
        <v>10</v>
      </c>
      <c r="H772">
        <v>1915.47</v>
      </c>
      <c r="I772">
        <v>5</v>
      </c>
      <c r="J772" t="s">
        <v>82</v>
      </c>
      <c r="K772">
        <v>957.74</v>
      </c>
      <c r="L772">
        <v>19154.7</v>
      </c>
      <c r="M772">
        <v>18196.96</v>
      </c>
      <c r="N772" t="s">
        <v>41</v>
      </c>
      <c r="O772">
        <v>2024</v>
      </c>
    </row>
    <row r="773" spans="1:15" x14ac:dyDescent="0.3">
      <c r="A773" t="s">
        <v>858</v>
      </c>
      <c r="B773" t="s">
        <v>16</v>
      </c>
      <c r="C773" t="s">
        <v>54</v>
      </c>
      <c r="D773" t="s">
        <v>70</v>
      </c>
      <c r="E773" t="s">
        <v>25</v>
      </c>
      <c r="F773" s="1">
        <v>45911</v>
      </c>
      <c r="G773">
        <v>3</v>
      </c>
      <c r="H773">
        <v>2484.9699999999998</v>
      </c>
      <c r="I773">
        <v>20</v>
      </c>
      <c r="J773" t="s">
        <v>82</v>
      </c>
      <c r="K773">
        <v>1490.98</v>
      </c>
      <c r="L773">
        <v>7454.91</v>
      </c>
      <c r="M773">
        <v>5963.93</v>
      </c>
      <c r="N773" t="s">
        <v>86</v>
      </c>
      <c r="O773">
        <v>2025</v>
      </c>
    </row>
    <row r="774" spans="1:15" x14ac:dyDescent="0.3">
      <c r="A774" t="s">
        <v>859</v>
      </c>
      <c r="B774" t="s">
        <v>16</v>
      </c>
      <c r="C774" t="s">
        <v>34</v>
      </c>
      <c r="D774" t="s">
        <v>80</v>
      </c>
      <c r="E774" t="s">
        <v>50</v>
      </c>
      <c r="F774" s="1">
        <v>45593</v>
      </c>
      <c r="G774">
        <v>8</v>
      </c>
      <c r="H774">
        <v>7029.79</v>
      </c>
      <c r="I774">
        <v>0</v>
      </c>
      <c r="J774" t="s">
        <v>40</v>
      </c>
      <c r="K774">
        <v>0</v>
      </c>
      <c r="L774">
        <v>56238.32</v>
      </c>
      <c r="M774">
        <v>56238.32</v>
      </c>
      <c r="N774" t="s">
        <v>57</v>
      </c>
      <c r="O774">
        <v>2024</v>
      </c>
    </row>
    <row r="775" spans="1:15" x14ac:dyDescent="0.3">
      <c r="A775" t="s">
        <v>860</v>
      </c>
      <c r="B775" t="s">
        <v>74</v>
      </c>
      <c r="C775" t="s">
        <v>90</v>
      </c>
      <c r="D775" t="s">
        <v>115</v>
      </c>
      <c r="E775" t="s">
        <v>56</v>
      </c>
      <c r="F775" s="1">
        <v>45555</v>
      </c>
      <c r="G775">
        <v>3</v>
      </c>
      <c r="H775">
        <v>8761.4599999999991</v>
      </c>
      <c r="I775">
        <v>10</v>
      </c>
      <c r="J775" t="s">
        <v>45</v>
      </c>
      <c r="K775">
        <v>2628.44</v>
      </c>
      <c r="L775">
        <v>26284.38</v>
      </c>
      <c r="M775">
        <v>23655.94</v>
      </c>
      <c r="N775" t="s">
        <v>86</v>
      </c>
      <c r="O775">
        <v>2024</v>
      </c>
    </row>
    <row r="776" spans="1:15" x14ac:dyDescent="0.3">
      <c r="A776" t="s">
        <v>861</v>
      </c>
      <c r="B776" t="s">
        <v>23</v>
      </c>
      <c r="C776" t="s">
        <v>17</v>
      </c>
      <c r="D776" t="s">
        <v>157</v>
      </c>
      <c r="E776" t="s">
        <v>19</v>
      </c>
      <c r="F776" s="1">
        <v>45556</v>
      </c>
      <c r="G776">
        <v>5</v>
      </c>
      <c r="H776">
        <v>6611.38</v>
      </c>
      <c r="I776">
        <v>0</v>
      </c>
      <c r="J776" t="s">
        <v>26</v>
      </c>
      <c r="K776">
        <v>0</v>
      </c>
      <c r="L776">
        <v>33056.9</v>
      </c>
      <c r="M776">
        <v>33056.9</v>
      </c>
      <c r="N776" t="s">
        <v>86</v>
      </c>
      <c r="O776">
        <v>2024</v>
      </c>
    </row>
    <row r="777" spans="1:15" x14ac:dyDescent="0.3">
      <c r="A777" t="s">
        <v>862</v>
      </c>
      <c r="B777" t="s">
        <v>93</v>
      </c>
      <c r="C777" t="s">
        <v>90</v>
      </c>
      <c r="D777" t="s">
        <v>107</v>
      </c>
      <c r="E777" t="s">
        <v>56</v>
      </c>
      <c r="F777" s="1">
        <v>45952</v>
      </c>
      <c r="G777">
        <v>8</v>
      </c>
      <c r="H777">
        <v>12237.82</v>
      </c>
      <c r="I777">
        <v>20</v>
      </c>
      <c r="J777" t="s">
        <v>36</v>
      </c>
      <c r="K777">
        <v>19580.509999999998</v>
      </c>
      <c r="L777">
        <v>97902.56</v>
      </c>
      <c r="M777">
        <v>78322.05</v>
      </c>
      <c r="N777" t="s">
        <v>57</v>
      </c>
      <c r="O777">
        <v>2025</v>
      </c>
    </row>
    <row r="778" spans="1:15" x14ac:dyDescent="0.3">
      <c r="A778" t="s">
        <v>863</v>
      </c>
      <c r="B778" t="s">
        <v>93</v>
      </c>
      <c r="C778" t="s">
        <v>90</v>
      </c>
      <c r="D778" t="s">
        <v>107</v>
      </c>
      <c r="E778" t="s">
        <v>30</v>
      </c>
      <c r="F778" s="1">
        <v>45744</v>
      </c>
      <c r="G778">
        <v>5</v>
      </c>
      <c r="H778">
        <v>11109.86</v>
      </c>
      <c r="I778">
        <v>0</v>
      </c>
      <c r="J778" t="s">
        <v>82</v>
      </c>
      <c r="K778">
        <v>0</v>
      </c>
      <c r="L778">
        <v>55549.3</v>
      </c>
      <c r="M778">
        <v>55549.3</v>
      </c>
      <c r="N778" t="s">
        <v>83</v>
      </c>
      <c r="O778">
        <v>2025</v>
      </c>
    </row>
    <row r="779" spans="1:15" x14ac:dyDescent="0.3">
      <c r="A779" t="s">
        <v>864</v>
      </c>
      <c r="B779" t="s">
        <v>16</v>
      </c>
      <c r="C779" t="s">
        <v>17</v>
      </c>
      <c r="D779" t="s">
        <v>24</v>
      </c>
      <c r="E779" t="s">
        <v>19</v>
      </c>
      <c r="F779" s="1">
        <v>45311</v>
      </c>
      <c r="G779">
        <v>8</v>
      </c>
      <c r="H779">
        <v>2811.64</v>
      </c>
      <c r="I779">
        <v>0</v>
      </c>
      <c r="J779" t="s">
        <v>71</v>
      </c>
      <c r="K779">
        <v>0</v>
      </c>
      <c r="L779">
        <v>22493.119999999999</v>
      </c>
      <c r="M779">
        <v>22493.119999999999</v>
      </c>
      <c r="N779" t="s">
        <v>116</v>
      </c>
      <c r="O779">
        <v>2024</v>
      </c>
    </row>
    <row r="780" spans="1:15" x14ac:dyDescent="0.3">
      <c r="A780" t="s">
        <v>865</v>
      </c>
      <c r="B780" t="s">
        <v>43</v>
      </c>
      <c r="C780" t="s">
        <v>17</v>
      </c>
      <c r="D780" t="s">
        <v>157</v>
      </c>
      <c r="E780" t="s">
        <v>50</v>
      </c>
      <c r="F780" s="1">
        <v>45692</v>
      </c>
      <c r="G780">
        <v>10</v>
      </c>
      <c r="H780">
        <v>6306.48</v>
      </c>
      <c r="I780">
        <v>15</v>
      </c>
      <c r="J780" t="s">
        <v>45</v>
      </c>
      <c r="K780">
        <v>9459.7199999999993</v>
      </c>
      <c r="L780">
        <v>63064.800000000003</v>
      </c>
      <c r="M780">
        <v>53605.08</v>
      </c>
      <c r="N780" t="s">
        <v>41</v>
      </c>
      <c r="O780">
        <v>2025</v>
      </c>
    </row>
    <row r="781" spans="1:15" x14ac:dyDescent="0.3">
      <c r="A781" t="s">
        <v>866</v>
      </c>
      <c r="B781" t="s">
        <v>23</v>
      </c>
      <c r="C781" t="s">
        <v>90</v>
      </c>
      <c r="D781" t="s">
        <v>152</v>
      </c>
      <c r="E781" t="s">
        <v>44</v>
      </c>
      <c r="F781" s="1">
        <v>45845</v>
      </c>
      <c r="G781">
        <v>4</v>
      </c>
      <c r="H781">
        <v>9008.27</v>
      </c>
      <c r="I781">
        <v>15</v>
      </c>
      <c r="J781" t="s">
        <v>82</v>
      </c>
      <c r="K781">
        <v>5404.96</v>
      </c>
      <c r="L781">
        <v>36033.08</v>
      </c>
      <c r="M781">
        <v>30628.12</v>
      </c>
      <c r="N781" t="s">
        <v>122</v>
      </c>
      <c r="O781">
        <v>2025</v>
      </c>
    </row>
    <row r="782" spans="1:15" x14ac:dyDescent="0.3">
      <c r="A782" t="s">
        <v>867</v>
      </c>
      <c r="B782" t="s">
        <v>65</v>
      </c>
      <c r="C782" t="s">
        <v>17</v>
      </c>
      <c r="D782" t="s">
        <v>24</v>
      </c>
      <c r="E782" t="s">
        <v>19</v>
      </c>
      <c r="F782" s="1">
        <v>45990</v>
      </c>
      <c r="G782">
        <v>5</v>
      </c>
      <c r="H782">
        <v>3300.51</v>
      </c>
      <c r="I782">
        <v>0</v>
      </c>
      <c r="J782" t="s">
        <v>45</v>
      </c>
      <c r="K782">
        <v>0</v>
      </c>
      <c r="L782">
        <v>16502.55</v>
      </c>
      <c r="M782">
        <v>16502.55</v>
      </c>
      <c r="N782" t="s">
        <v>96</v>
      </c>
      <c r="O782">
        <v>2025</v>
      </c>
    </row>
    <row r="783" spans="1:15" x14ac:dyDescent="0.3">
      <c r="A783" t="s">
        <v>868</v>
      </c>
      <c r="B783" t="s">
        <v>38</v>
      </c>
      <c r="C783" t="s">
        <v>62</v>
      </c>
      <c r="D783" t="s">
        <v>132</v>
      </c>
      <c r="E783" t="s">
        <v>19</v>
      </c>
      <c r="F783" s="1">
        <v>45762</v>
      </c>
      <c r="G783">
        <v>5</v>
      </c>
      <c r="H783">
        <v>2654.87</v>
      </c>
      <c r="I783">
        <v>5</v>
      </c>
      <c r="J783" t="s">
        <v>82</v>
      </c>
      <c r="K783">
        <v>663.72</v>
      </c>
      <c r="L783">
        <v>13274.35</v>
      </c>
      <c r="M783">
        <v>12610.63</v>
      </c>
      <c r="N783" t="s">
        <v>27</v>
      </c>
      <c r="O783">
        <v>2025</v>
      </c>
    </row>
    <row r="784" spans="1:15" x14ac:dyDescent="0.3">
      <c r="A784" t="s">
        <v>869</v>
      </c>
      <c r="B784" t="s">
        <v>23</v>
      </c>
      <c r="C784" t="s">
        <v>54</v>
      </c>
      <c r="D784" t="s">
        <v>70</v>
      </c>
      <c r="E784" t="s">
        <v>30</v>
      </c>
      <c r="F784" s="1">
        <v>45598</v>
      </c>
      <c r="G784">
        <v>7</v>
      </c>
      <c r="H784">
        <v>3091.32</v>
      </c>
      <c r="I784">
        <v>10</v>
      </c>
      <c r="J784" t="s">
        <v>20</v>
      </c>
      <c r="K784">
        <v>2163.92</v>
      </c>
      <c r="L784">
        <v>21639.24</v>
      </c>
      <c r="M784">
        <v>19475.32</v>
      </c>
      <c r="N784" t="s">
        <v>96</v>
      </c>
      <c r="O784">
        <v>2024</v>
      </c>
    </row>
    <row r="785" spans="1:15" x14ac:dyDescent="0.3">
      <c r="A785" t="s">
        <v>870</v>
      </c>
      <c r="B785" t="s">
        <v>114</v>
      </c>
      <c r="C785" t="s">
        <v>90</v>
      </c>
      <c r="D785" t="s">
        <v>105</v>
      </c>
      <c r="E785" t="s">
        <v>30</v>
      </c>
      <c r="F785" s="1">
        <v>45486</v>
      </c>
      <c r="G785">
        <v>3</v>
      </c>
      <c r="H785">
        <v>3181.24</v>
      </c>
      <c r="I785">
        <v>0</v>
      </c>
      <c r="J785" t="s">
        <v>71</v>
      </c>
      <c r="K785">
        <v>0</v>
      </c>
      <c r="L785">
        <v>9543.7199999999993</v>
      </c>
      <c r="M785">
        <v>9543.7199999999993</v>
      </c>
      <c r="N785" t="s">
        <v>122</v>
      </c>
      <c r="O785">
        <v>2024</v>
      </c>
    </row>
    <row r="786" spans="1:15" x14ac:dyDescent="0.3">
      <c r="A786" t="s">
        <v>871</v>
      </c>
      <c r="B786" t="s">
        <v>89</v>
      </c>
      <c r="C786" t="s">
        <v>54</v>
      </c>
      <c r="D786" t="s">
        <v>55</v>
      </c>
      <c r="E786" t="s">
        <v>56</v>
      </c>
      <c r="F786" s="1">
        <v>45845</v>
      </c>
      <c r="G786">
        <v>5</v>
      </c>
      <c r="H786">
        <v>1229.9100000000001</v>
      </c>
      <c r="I786">
        <v>15</v>
      </c>
      <c r="J786" t="s">
        <v>82</v>
      </c>
      <c r="K786">
        <v>922.43</v>
      </c>
      <c r="L786">
        <v>6149.55</v>
      </c>
      <c r="M786">
        <v>5227.12</v>
      </c>
      <c r="N786" t="s">
        <v>122</v>
      </c>
      <c r="O786">
        <v>2025</v>
      </c>
    </row>
    <row r="787" spans="1:15" x14ac:dyDescent="0.3">
      <c r="A787" t="s">
        <v>872</v>
      </c>
      <c r="B787" t="s">
        <v>33</v>
      </c>
      <c r="C787" t="s">
        <v>17</v>
      </c>
      <c r="D787" t="s">
        <v>18</v>
      </c>
      <c r="E787" t="s">
        <v>25</v>
      </c>
      <c r="F787" s="1">
        <v>45335</v>
      </c>
      <c r="G787">
        <v>7</v>
      </c>
      <c r="H787">
        <v>60420.54</v>
      </c>
      <c r="I787">
        <v>20</v>
      </c>
      <c r="J787" t="s">
        <v>45</v>
      </c>
      <c r="K787">
        <v>84588.76</v>
      </c>
      <c r="L787">
        <v>422943.78</v>
      </c>
      <c r="M787">
        <v>338355.02</v>
      </c>
      <c r="N787" t="s">
        <v>41</v>
      </c>
      <c r="O787">
        <v>2024</v>
      </c>
    </row>
    <row r="788" spans="1:15" x14ac:dyDescent="0.3">
      <c r="A788" t="s">
        <v>873</v>
      </c>
      <c r="B788" t="s">
        <v>53</v>
      </c>
      <c r="C788" t="s">
        <v>90</v>
      </c>
      <c r="D788" t="s">
        <v>91</v>
      </c>
      <c r="E788" t="s">
        <v>30</v>
      </c>
      <c r="F788" s="1">
        <v>45365</v>
      </c>
      <c r="G788">
        <v>1</v>
      </c>
      <c r="H788">
        <v>1625.8</v>
      </c>
      <c r="I788">
        <v>15</v>
      </c>
      <c r="J788" t="s">
        <v>20</v>
      </c>
      <c r="K788">
        <v>243.87</v>
      </c>
      <c r="L788">
        <v>1625.8</v>
      </c>
      <c r="M788">
        <v>1381.93</v>
      </c>
      <c r="N788" t="s">
        <v>83</v>
      </c>
      <c r="O788">
        <v>2024</v>
      </c>
    </row>
    <row r="789" spans="1:15" x14ac:dyDescent="0.3">
      <c r="A789" t="s">
        <v>874</v>
      </c>
      <c r="B789" t="s">
        <v>114</v>
      </c>
      <c r="C789" t="s">
        <v>17</v>
      </c>
      <c r="D789" t="s">
        <v>157</v>
      </c>
      <c r="E789" t="s">
        <v>81</v>
      </c>
      <c r="F789" s="1">
        <v>45540</v>
      </c>
      <c r="G789">
        <v>3</v>
      </c>
      <c r="H789">
        <v>6325.14</v>
      </c>
      <c r="I789">
        <v>0</v>
      </c>
      <c r="J789" t="s">
        <v>26</v>
      </c>
      <c r="K789">
        <v>0</v>
      </c>
      <c r="L789">
        <v>18975.419999999998</v>
      </c>
      <c r="M789">
        <v>18975.419999999998</v>
      </c>
      <c r="N789" t="s">
        <v>86</v>
      </c>
      <c r="O789">
        <v>2024</v>
      </c>
    </row>
    <row r="790" spans="1:15" x14ac:dyDescent="0.3">
      <c r="A790" t="s">
        <v>875</v>
      </c>
      <c r="B790" t="s">
        <v>89</v>
      </c>
      <c r="C790" t="s">
        <v>62</v>
      </c>
      <c r="D790" t="s">
        <v>95</v>
      </c>
      <c r="E790" t="s">
        <v>81</v>
      </c>
      <c r="F790" s="1">
        <v>45897</v>
      </c>
      <c r="G790">
        <v>2</v>
      </c>
      <c r="H790">
        <v>883.56</v>
      </c>
      <c r="I790">
        <v>0</v>
      </c>
      <c r="J790" t="s">
        <v>36</v>
      </c>
      <c r="K790">
        <v>0</v>
      </c>
      <c r="L790">
        <v>1767.12</v>
      </c>
      <c r="M790">
        <v>1767.12</v>
      </c>
      <c r="N790" t="s">
        <v>21</v>
      </c>
      <c r="O790">
        <v>2025</v>
      </c>
    </row>
    <row r="791" spans="1:15" x14ac:dyDescent="0.3">
      <c r="A791" t="s">
        <v>876</v>
      </c>
      <c r="B791" t="s">
        <v>93</v>
      </c>
      <c r="C791" t="s">
        <v>17</v>
      </c>
      <c r="D791" t="s">
        <v>157</v>
      </c>
      <c r="E791" t="s">
        <v>44</v>
      </c>
      <c r="F791" s="1">
        <v>45356</v>
      </c>
      <c r="G791">
        <v>4</v>
      </c>
      <c r="H791">
        <v>7045.87</v>
      </c>
      <c r="I791">
        <v>15</v>
      </c>
      <c r="J791" t="s">
        <v>20</v>
      </c>
      <c r="K791">
        <v>4227.5200000000004</v>
      </c>
      <c r="L791">
        <v>28183.48</v>
      </c>
      <c r="M791">
        <v>23955.96</v>
      </c>
      <c r="N791" t="s">
        <v>83</v>
      </c>
      <c r="O791">
        <v>2024</v>
      </c>
    </row>
    <row r="792" spans="1:15" x14ac:dyDescent="0.3">
      <c r="A792" t="s">
        <v>877</v>
      </c>
      <c r="B792" t="s">
        <v>61</v>
      </c>
      <c r="C792" t="s">
        <v>62</v>
      </c>
      <c r="D792" t="s">
        <v>95</v>
      </c>
      <c r="E792" t="s">
        <v>81</v>
      </c>
      <c r="F792" s="1">
        <v>45621</v>
      </c>
      <c r="G792">
        <v>4</v>
      </c>
      <c r="H792">
        <v>960.13</v>
      </c>
      <c r="I792">
        <v>20</v>
      </c>
      <c r="J792" t="s">
        <v>36</v>
      </c>
      <c r="K792">
        <v>768.1</v>
      </c>
      <c r="L792">
        <v>3840.52</v>
      </c>
      <c r="M792">
        <v>3072.42</v>
      </c>
      <c r="N792" t="s">
        <v>96</v>
      </c>
      <c r="O792">
        <v>2024</v>
      </c>
    </row>
    <row r="793" spans="1:15" x14ac:dyDescent="0.3">
      <c r="A793" t="s">
        <v>878</v>
      </c>
      <c r="B793" t="s">
        <v>47</v>
      </c>
      <c r="C793" t="s">
        <v>34</v>
      </c>
      <c r="D793" t="s">
        <v>48</v>
      </c>
      <c r="E793" t="s">
        <v>25</v>
      </c>
      <c r="F793" s="1">
        <v>45436</v>
      </c>
      <c r="G793">
        <v>7</v>
      </c>
      <c r="H793">
        <v>7536.1</v>
      </c>
      <c r="I793">
        <v>10</v>
      </c>
      <c r="J793" t="s">
        <v>40</v>
      </c>
      <c r="K793">
        <v>5275.27</v>
      </c>
      <c r="L793">
        <v>52752.7</v>
      </c>
      <c r="M793">
        <v>47477.43</v>
      </c>
      <c r="N793" t="s">
        <v>101</v>
      </c>
      <c r="O793">
        <v>2024</v>
      </c>
    </row>
    <row r="794" spans="1:15" x14ac:dyDescent="0.3">
      <c r="A794" t="s">
        <v>879</v>
      </c>
      <c r="B794" t="s">
        <v>89</v>
      </c>
      <c r="C794" t="s">
        <v>54</v>
      </c>
      <c r="D794" t="s">
        <v>55</v>
      </c>
      <c r="E794" t="s">
        <v>50</v>
      </c>
      <c r="F794" s="1">
        <v>45428</v>
      </c>
      <c r="G794">
        <v>2</v>
      </c>
      <c r="H794">
        <v>1317.32</v>
      </c>
      <c r="I794">
        <v>20</v>
      </c>
      <c r="J794" t="s">
        <v>26</v>
      </c>
      <c r="K794">
        <v>526.92999999999995</v>
      </c>
      <c r="L794">
        <v>2634.64</v>
      </c>
      <c r="M794">
        <v>2107.71</v>
      </c>
      <c r="N794" t="s">
        <v>101</v>
      </c>
      <c r="O794">
        <v>2024</v>
      </c>
    </row>
    <row r="795" spans="1:15" x14ac:dyDescent="0.3">
      <c r="A795" t="s">
        <v>880</v>
      </c>
      <c r="B795" t="s">
        <v>109</v>
      </c>
      <c r="C795" t="s">
        <v>90</v>
      </c>
      <c r="D795" t="s">
        <v>107</v>
      </c>
      <c r="E795" t="s">
        <v>56</v>
      </c>
      <c r="F795" s="1">
        <v>45298</v>
      </c>
      <c r="G795">
        <v>1</v>
      </c>
      <c r="H795">
        <v>11338.24</v>
      </c>
      <c r="I795">
        <v>0</v>
      </c>
      <c r="J795" t="s">
        <v>82</v>
      </c>
      <c r="K795">
        <v>0</v>
      </c>
      <c r="L795">
        <v>11338.24</v>
      </c>
      <c r="M795">
        <v>11338.24</v>
      </c>
      <c r="N795" t="s">
        <v>116</v>
      </c>
      <c r="O795">
        <v>2024</v>
      </c>
    </row>
    <row r="796" spans="1:15" x14ac:dyDescent="0.3">
      <c r="A796" t="s">
        <v>881</v>
      </c>
      <c r="B796" t="s">
        <v>23</v>
      </c>
      <c r="C796" t="s">
        <v>54</v>
      </c>
      <c r="D796" t="s">
        <v>137</v>
      </c>
      <c r="E796" t="s">
        <v>30</v>
      </c>
      <c r="F796" s="1">
        <v>46000</v>
      </c>
      <c r="G796">
        <v>3</v>
      </c>
      <c r="H796">
        <v>942.02</v>
      </c>
      <c r="I796">
        <v>10</v>
      </c>
      <c r="J796" t="s">
        <v>71</v>
      </c>
      <c r="K796">
        <v>282.61</v>
      </c>
      <c r="L796">
        <v>2826.06</v>
      </c>
      <c r="M796">
        <v>2543.4499999999998</v>
      </c>
      <c r="N796" t="s">
        <v>51</v>
      </c>
      <c r="O796">
        <v>2025</v>
      </c>
    </row>
    <row r="797" spans="1:15" x14ac:dyDescent="0.3">
      <c r="A797" t="s">
        <v>882</v>
      </c>
      <c r="B797" t="s">
        <v>23</v>
      </c>
      <c r="C797" t="s">
        <v>54</v>
      </c>
      <c r="D797" t="s">
        <v>68</v>
      </c>
      <c r="E797" t="s">
        <v>50</v>
      </c>
      <c r="F797" s="1">
        <v>45917</v>
      </c>
      <c r="G797">
        <v>1</v>
      </c>
      <c r="H797">
        <v>4720.8100000000004</v>
      </c>
      <c r="I797">
        <v>15</v>
      </c>
      <c r="J797" t="s">
        <v>36</v>
      </c>
      <c r="K797">
        <v>708.12</v>
      </c>
      <c r="L797">
        <v>4720.8100000000004</v>
      </c>
      <c r="M797">
        <v>4012.69</v>
      </c>
      <c r="N797" t="s">
        <v>86</v>
      </c>
      <c r="O797">
        <v>2025</v>
      </c>
    </row>
    <row r="798" spans="1:15" x14ac:dyDescent="0.3">
      <c r="A798" t="s">
        <v>883</v>
      </c>
      <c r="B798" t="s">
        <v>61</v>
      </c>
      <c r="C798" t="s">
        <v>54</v>
      </c>
      <c r="D798" t="s">
        <v>70</v>
      </c>
      <c r="E798" t="s">
        <v>44</v>
      </c>
      <c r="F798" s="1">
        <v>45648</v>
      </c>
      <c r="G798">
        <v>7</v>
      </c>
      <c r="H798">
        <v>2478.14</v>
      </c>
      <c r="I798">
        <v>5</v>
      </c>
      <c r="J798" t="s">
        <v>40</v>
      </c>
      <c r="K798">
        <v>867.35</v>
      </c>
      <c r="L798">
        <v>17346.98</v>
      </c>
      <c r="M798">
        <v>16479.63</v>
      </c>
      <c r="N798" t="s">
        <v>51</v>
      </c>
      <c r="O798">
        <v>2024</v>
      </c>
    </row>
    <row r="799" spans="1:15" x14ac:dyDescent="0.3">
      <c r="A799" t="s">
        <v>884</v>
      </c>
      <c r="B799" t="s">
        <v>65</v>
      </c>
      <c r="C799" t="s">
        <v>34</v>
      </c>
      <c r="D799" t="s">
        <v>80</v>
      </c>
      <c r="E799" t="s">
        <v>25</v>
      </c>
      <c r="F799" s="1">
        <v>45844</v>
      </c>
      <c r="G799">
        <v>9</v>
      </c>
      <c r="H799">
        <v>5728.91</v>
      </c>
      <c r="I799">
        <v>5</v>
      </c>
      <c r="J799" t="s">
        <v>45</v>
      </c>
      <c r="K799">
        <v>2578.0100000000002</v>
      </c>
      <c r="L799">
        <v>51560.19</v>
      </c>
      <c r="M799">
        <v>48982.18</v>
      </c>
      <c r="N799" t="s">
        <v>122</v>
      </c>
      <c r="O799">
        <v>2025</v>
      </c>
    </row>
    <row r="800" spans="1:15" x14ac:dyDescent="0.3">
      <c r="A800" t="s">
        <v>885</v>
      </c>
      <c r="B800" t="s">
        <v>29</v>
      </c>
      <c r="C800" t="s">
        <v>62</v>
      </c>
      <c r="D800" t="s">
        <v>95</v>
      </c>
      <c r="E800" t="s">
        <v>25</v>
      </c>
      <c r="F800" s="1">
        <v>45993</v>
      </c>
      <c r="G800">
        <v>8</v>
      </c>
      <c r="H800">
        <v>901.45</v>
      </c>
      <c r="I800">
        <v>5</v>
      </c>
      <c r="J800" t="s">
        <v>36</v>
      </c>
      <c r="K800">
        <v>360.58</v>
      </c>
      <c r="L800">
        <v>7211.6</v>
      </c>
      <c r="M800">
        <v>6851.02</v>
      </c>
      <c r="N800" t="s">
        <v>51</v>
      </c>
      <c r="O800">
        <v>2025</v>
      </c>
    </row>
    <row r="801" spans="1:15" x14ac:dyDescent="0.3">
      <c r="A801" t="s">
        <v>886</v>
      </c>
      <c r="B801" t="s">
        <v>61</v>
      </c>
      <c r="C801" t="s">
        <v>17</v>
      </c>
      <c r="D801" t="s">
        <v>18</v>
      </c>
      <c r="E801" t="s">
        <v>19</v>
      </c>
      <c r="F801" s="1">
        <v>45506</v>
      </c>
      <c r="G801">
        <v>7</v>
      </c>
      <c r="H801">
        <v>62584.95</v>
      </c>
      <c r="I801">
        <v>20</v>
      </c>
      <c r="J801" t="s">
        <v>40</v>
      </c>
      <c r="K801">
        <v>87618.93</v>
      </c>
      <c r="L801">
        <v>438094.65</v>
      </c>
      <c r="M801">
        <v>350475.72</v>
      </c>
      <c r="N801" t="s">
        <v>21</v>
      </c>
      <c r="O801">
        <v>2024</v>
      </c>
    </row>
    <row r="802" spans="1:15" x14ac:dyDescent="0.3">
      <c r="A802" t="s">
        <v>887</v>
      </c>
      <c r="B802" t="s">
        <v>47</v>
      </c>
      <c r="C802" t="s">
        <v>90</v>
      </c>
      <c r="D802" t="s">
        <v>105</v>
      </c>
      <c r="E802" t="s">
        <v>30</v>
      </c>
      <c r="F802" s="1">
        <v>45842</v>
      </c>
      <c r="G802">
        <v>3</v>
      </c>
      <c r="H802">
        <v>3288.29</v>
      </c>
      <c r="I802">
        <v>0</v>
      </c>
      <c r="J802" t="s">
        <v>26</v>
      </c>
      <c r="K802">
        <v>0</v>
      </c>
      <c r="L802">
        <v>9864.8700000000008</v>
      </c>
      <c r="M802">
        <v>9864.8700000000008</v>
      </c>
      <c r="N802" t="s">
        <v>122</v>
      </c>
      <c r="O802">
        <v>2025</v>
      </c>
    </row>
    <row r="803" spans="1:15" x14ac:dyDescent="0.3">
      <c r="A803" t="s">
        <v>888</v>
      </c>
      <c r="B803" t="s">
        <v>47</v>
      </c>
      <c r="C803" t="s">
        <v>90</v>
      </c>
      <c r="D803" t="s">
        <v>91</v>
      </c>
      <c r="E803" t="s">
        <v>25</v>
      </c>
      <c r="F803" s="1">
        <v>45747</v>
      </c>
      <c r="G803">
        <v>10</v>
      </c>
      <c r="H803">
        <v>1567.41</v>
      </c>
      <c r="I803">
        <v>15</v>
      </c>
      <c r="J803" t="s">
        <v>20</v>
      </c>
      <c r="K803">
        <v>2351.11</v>
      </c>
      <c r="L803">
        <v>15674.1</v>
      </c>
      <c r="M803">
        <v>13322.99</v>
      </c>
      <c r="N803" t="s">
        <v>83</v>
      </c>
      <c r="O803">
        <v>2025</v>
      </c>
    </row>
    <row r="804" spans="1:15" x14ac:dyDescent="0.3">
      <c r="A804" t="s">
        <v>889</v>
      </c>
      <c r="B804" t="s">
        <v>29</v>
      </c>
      <c r="C804" t="s">
        <v>34</v>
      </c>
      <c r="D804" t="s">
        <v>48</v>
      </c>
      <c r="E804" t="s">
        <v>44</v>
      </c>
      <c r="F804" s="1">
        <v>45625</v>
      </c>
      <c r="G804">
        <v>4</v>
      </c>
      <c r="H804">
        <v>8135.74</v>
      </c>
      <c r="I804">
        <v>15</v>
      </c>
      <c r="J804" t="s">
        <v>82</v>
      </c>
      <c r="K804">
        <v>4881.4399999999996</v>
      </c>
      <c r="L804">
        <v>32542.959999999999</v>
      </c>
      <c r="M804">
        <v>27661.52</v>
      </c>
      <c r="N804" t="s">
        <v>96</v>
      </c>
      <c r="O804">
        <v>2024</v>
      </c>
    </row>
    <row r="805" spans="1:15" x14ac:dyDescent="0.3">
      <c r="A805" t="s">
        <v>890</v>
      </c>
      <c r="B805" t="s">
        <v>114</v>
      </c>
      <c r="C805" t="s">
        <v>34</v>
      </c>
      <c r="D805" t="s">
        <v>35</v>
      </c>
      <c r="E805" t="s">
        <v>50</v>
      </c>
      <c r="F805" s="1">
        <v>45774</v>
      </c>
      <c r="G805">
        <v>10</v>
      </c>
      <c r="H805">
        <v>25527.55</v>
      </c>
      <c r="I805">
        <v>15</v>
      </c>
      <c r="J805" t="s">
        <v>82</v>
      </c>
      <c r="K805">
        <v>38291.32</v>
      </c>
      <c r="L805">
        <v>255275.5</v>
      </c>
      <c r="M805">
        <v>216984.18</v>
      </c>
      <c r="N805" t="s">
        <v>27</v>
      </c>
      <c r="O805">
        <v>2025</v>
      </c>
    </row>
    <row r="806" spans="1:15" x14ac:dyDescent="0.3">
      <c r="A806" t="s">
        <v>891</v>
      </c>
      <c r="B806" t="s">
        <v>114</v>
      </c>
      <c r="C806" t="s">
        <v>34</v>
      </c>
      <c r="D806" t="s">
        <v>85</v>
      </c>
      <c r="E806" t="s">
        <v>81</v>
      </c>
      <c r="F806" s="1">
        <v>45474</v>
      </c>
      <c r="G806">
        <v>7</v>
      </c>
      <c r="H806">
        <v>11920.46</v>
      </c>
      <c r="I806">
        <v>15</v>
      </c>
      <c r="J806" t="s">
        <v>71</v>
      </c>
      <c r="K806">
        <v>12516.48</v>
      </c>
      <c r="L806">
        <v>83443.22</v>
      </c>
      <c r="M806">
        <v>70926.740000000005</v>
      </c>
      <c r="N806" t="s">
        <v>122</v>
      </c>
      <c r="O806">
        <v>2024</v>
      </c>
    </row>
    <row r="807" spans="1:15" x14ac:dyDescent="0.3">
      <c r="A807" t="s">
        <v>892</v>
      </c>
      <c r="B807" t="s">
        <v>43</v>
      </c>
      <c r="C807" t="s">
        <v>34</v>
      </c>
      <c r="D807" t="s">
        <v>48</v>
      </c>
      <c r="E807" t="s">
        <v>50</v>
      </c>
      <c r="F807" s="1">
        <v>45422</v>
      </c>
      <c r="G807">
        <v>1</v>
      </c>
      <c r="H807">
        <v>8584.42</v>
      </c>
      <c r="I807">
        <v>0</v>
      </c>
      <c r="J807" t="s">
        <v>45</v>
      </c>
      <c r="K807">
        <v>0</v>
      </c>
      <c r="L807">
        <v>8584.42</v>
      </c>
      <c r="M807">
        <v>8584.42</v>
      </c>
      <c r="N807" t="s">
        <v>101</v>
      </c>
      <c r="O807">
        <v>2024</v>
      </c>
    </row>
    <row r="808" spans="1:15" x14ac:dyDescent="0.3">
      <c r="A808" t="s">
        <v>893</v>
      </c>
      <c r="B808" t="s">
        <v>47</v>
      </c>
      <c r="C808" t="s">
        <v>62</v>
      </c>
      <c r="D808" t="s">
        <v>63</v>
      </c>
      <c r="E808" t="s">
        <v>44</v>
      </c>
      <c r="F808" s="1">
        <v>45761</v>
      </c>
      <c r="G808">
        <v>7</v>
      </c>
      <c r="H808">
        <v>1697.04</v>
      </c>
      <c r="I808">
        <v>10</v>
      </c>
      <c r="J808" t="s">
        <v>71</v>
      </c>
      <c r="K808">
        <v>1187.93</v>
      </c>
      <c r="L808">
        <v>11879.28</v>
      </c>
      <c r="M808">
        <v>10691.35</v>
      </c>
      <c r="N808" t="s">
        <v>27</v>
      </c>
      <c r="O808">
        <v>2025</v>
      </c>
    </row>
    <row r="809" spans="1:15" x14ac:dyDescent="0.3">
      <c r="A809" t="s">
        <v>894</v>
      </c>
      <c r="B809" t="s">
        <v>93</v>
      </c>
      <c r="C809" t="s">
        <v>34</v>
      </c>
      <c r="D809" t="s">
        <v>48</v>
      </c>
      <c r="E809" t="s">
        <v>50</v>
      </c>
      <c r="F809" s="1">
        <v>45883</v>
      </c>
      <c r="G809">
        <v>9</v>
      </c>
      <c r="H809">
        <v>8910.01</v>
      </c>
      <c r="I809">
        <v>0</v>
      </c>
      <c r="J809" t="s">
        <v>36</v>
      </c>
      <c r="K809">
        <v>0</v>
      </c>
      <c r="L809">
        <v>80190.09</v>
      </c>
      <c r="M809">
        <v>80190.09</v>
      </c>
      <c r="N809" t="s">
        <v>21</v>
      </c>
      <c r="O809">
        <v>2025</v>
      </c>
    </row>
    <row r="810" spans="1:15" x14ac:dyDescent="0.3">
      <c r="A810" t="s">
        <v>895</v>
      </c>
      <c r="B810" t="s">
        <v>89</v>
      </c>
      <c r="C810" t="s">
        <v>90</v>
      </c>
      <c r="D810" t="s">
        <v>91</v>
      </c>
      <c r="E810" t="s">
        <v>44</v>
      </c>
      <c r="F810" s="1">
        <v>45897</v>
      </c>
      <c r="G810">
        <v>8</v>
      </c>
      <c r="H810">
        <v>1663.87</v>
      </c>
      <c r="I810">
        <v>10</v>
      </c>
      <c r="J810" t="s">
        <v>20</v>
      </c>
      <c r="K810">
        <v>1331.1</v>
      </c>
      <c r="L810">
        <v>13310.96</v>
      </c>
      <c r="M810">
        <v>11979.86</v>
      </c>
      <c r="N810" t="s">
        <v>21</v>
      </c>
      <c r="O810">
        <v>2025</v>
      </c>
    </row>
    <row r="811" spans="1:15" x14ac:dyDescent="0.3">
      <c r="A811" t="s">
        <v>896</v>
      </c>
      <c r="B811" t="s">
        <v>16</v>
      </c>
      <c r="C811" t="s">
        <v>17</v>
      </c>
      <c r="D811" t="s">
        <v>157</v>
      </c>
      <c r="E811" t="s">
        <v>44</v>
      </c>
      <c r="F811" s="1">
        <v>45545</v>
      </c>
      <c r="G811">
        <v>6</v>
      </c>
      <c r="H811">
        <v>7059.94</v>
      </c>
      <c r="I811">
        <v>5</v>
      </c>
      <c r="J811" t="s">
        <v>20</v>
      </c>
      <c r="K811">
        <v>2117.98</v>
      </c>
      <c r="L811">
        <v>42359.64</v>
      </c>
      <c r="M811">
        <v>40241.660000000003</v>
      </c>
      <c r="N811" t="s">
        <v>86</v>
      </c>
      <c r="O811">
        <v>2024</v>
      </c>
    </row>
    <row r="812" spans="1:15" x14ac:dyDescent="0.3">
      <c r="A812" t="s">
        <v>897</v>
      </c>
      <c r="B812" t="s">
        <v>114</v>
      </c>
      <c r="C812" t="s">
        <v>54</v>
      </c>
      <c r="D812" t="s">
        <v>55</v>
      </c>
      <c r="E812" t="s">
        <v>81</v>
      </c>
      <c r="F812" s="1">
        <v>45719</v>
      </c>
      <c r="G812">
        <v>1</v>
      </c>
      <c r="H812">
        <v>1092.02</v>
      </c>
      <c r="I812">
        <v>15</v>
      </c>
      <c r="J812" t="s">
        <v>26</v>
      </c>
      <c r="K812">
        <v>163.80000000000001</v>
      </c>
      <c r="L812">
        <v>1092.02</v>
      </c>
      <c r="M812">
        <v>928.22</v>
      </c>
      <c r="N812" t="s">
        <v>83</v>
      </c>
      <c r="O812">
        <v>2025</v>
      </c>
    </row>
    <row r="813" spans="1:15" x14ac:dyDescent="0.3">
      <c r="A813" t="s">
        <v>898</v>
      </c>
      <c r="B813" t="s">
        <v>23</v>
      </c>
      <c r="C813" t="s">
        <v>54</v>
      </c>
      <c r="D813" t="s">
        <v>70</v>
      </c>
      <c r="E813" t="s">
        <v>81</v>
      </c>
      <c r="F813" s="1">
        <v>45782</v>
      </c>
      <c r="G813">
        <v>2</v>
      </c>
      <c r="H813">
        <v>2532.7800000000002</v>
      </c>
      <c r="I813">
        <v>5</v>
      </c>
      <c r="J813" t="s">
        <v>31</v>
      </c>
      <c r="K813">
        <v>253.28</v>
      </c>
      <c r="L813">
        <v>5065.5600000000004</v>
      </c>
      <c r="M813">
        <v>4812.28</v>
      </c>
      <c r="N813" t="s">
        <v>101</v>
      </c>
      <c r="O813">
        <v>2025</v>
      </c>
    </row>
    <row r="814" spans="1:15" x14ac:dyDescent="0.3">
      <c r="A814" t="s">
        <v>899</v>
      </c>
      <c r="B814" t="s">
        <v>74</v>
      </c>
      <c r="C814" t="s">
        <v>17</v>
      </c>
      <c r="D814" t="s">
        <v>24</v>
      </c>
      <c r="E814" t="s">
        <v>25</v>
      </c>
      <c r="F814" s="1">
        <v>45515</v>
      </c>
      <c r="G814">
        <v>3</v>
      </c>
      <c r="H814">
        <v>2968.8</v>
      </c>
      <c r="I814">
        <v>5</v>
      </c>
      <c r="J814" t="s">
        <v>31</v>
      </c>
      <c r="K814">
        <v>445.32</v>
      </c>
      <c r="L814">
        <v>8906.4</v>
      </c>
      <c r="M814">
        <v>8461.08</v>
      </c>
      <c r="N814" t="s">
        <v>21</v>
      </c>
      <c r="O814">
        <v>2024</v>
      </c>
    </row>
    <row r="815" spans="1:15" x14ac:dyDescent="0.3">
      <c r="A815" t="s">
        <v>900</v>
      </c>
      <c r="B815" t="s">
        <v>89</v>
      </c>
      <c r="C815" t="s">
        <v>17</v>
      </c>
      <c r="D815" t="s">
        <v>18</v>
      </c>
      <c r="E815" t="s">
        <v>30</v>
      </c>
      <c r="F815" s="1">
        <v>45457</v>
      </c>
      <c r="G815">
        <v>8</v>
      </c>
      <c r="H815">
        <v>72441.23</v>
      </c>
      <c r="I815">
        <v>20</v>
      </c>
      <c r="J815" t="s">
        <v>40</v>
      </c>
      <c r="K815">
        <v>115905.97</v>
      </c>
      <c r="L815">
        <v>579529.84</v>
      </c>
      <c r="M815">
        <v>463623.87</v>
      </c>
      <c r="N815" t="s">
        <v>72</v>
      </c>
      <c r="O815">
        <v>2024</v>
      </c>
    </row>
    <row r="816" spans="1:15" x14ac:dyDescent="0.3">
      <c r="A816" t="s">
        <v>901</v>
      </c>
      <c r="B816" t="s">
        <v>89</v>
      </c>
      <c r="C816" t="s">
        <v>17</v>
      </c>
      <c r="D816" t="s">
        <v>157</v>
      </c>
      <c r="E816" t="s">
        <v>44</v>
      </c>
      <c r="F816" s="1">
        <v>46012</v>
      </c>
      <c r="G816">
        <v>7</v>
      </c>
      <c r="H816">
        <v>7286.02</v>
      </c>
      <c r="I816">
        <v>10</v>
      </c>
      <c r="J816" t="s">
        <v>36</v>
      </c>
      <c r="K816">
        <v>5100.21</v>
      </c>
      <c r="L816">
        <v>51002.14</v>
      </c>
      <c r="M816">
        <v>45901.93</v>
      </c>
      <c r="N816" t="s">
        <v>51</v>
      </c>
      <c r="O816">
        <v>2025</v>
      </c>
    </row>
    <row r="817" spans="1:15" x14ac:dyDescent="0.3">
      <c r="A817" t="s">
        <v>902</v>
      </c>
      <c r="B817" t="s">
        <v>38</v>
      </c>
      <c r="C817" t="s">
        <v>90</v>
      </c>
      <c r="D817" t="s">
        <v>105</v>
      </c>
      <c r="E817" t="s">
        <v>30</v>
      </c>
      <c r="F817" s="1">
        <v>45686</v>
      </c>
      <c r="G817">
        <v>6</v>
      </c>
      <c r="H817">
        <v>3614.56</v>
      </c>
      <c r="I817">
        <v>10</v>
      </c>
      <c r="J817" t="s">
        <v>82</v>
      </c>
      <c r="K817">
        <v>2168.7399999999998</v>
      </c>
      <c r="L817">
        <v>21687.360000000001</v>
      </c>
      <c r="M817">
        <v>19518.62</v>
      </c>
      <c r="N817" t="s">
        <v>116</v>
      </c>
      <c r="O817">
        <v>2025</v>
      </c>
    </row>
    <row r="818" spans="1:15" x14ac:dyDescent="0.3">
      <c r="A818" t="s">
        <v>903</v>
      </c>
      <c r="B818" t="s">
        <v>16</v>
      </c>
      <c r="C818" t="s">
        <v>90</v>
      </c>
      <c r="D818" t="s">
        <v>115</v>
      </c>
      <c r="E818" t="s">
        <v>81</v>
      </c>
      <c r="F818" s="1">
        <v>45993</v>
      </c>
      <c r="G818">
        <v>2</v>
      </c>
      <c r="H818">
        <v>9285</v>
      </c>
      <c r="I818">
        <v>10</v>
      </c>
      <c r="J818" t="s">
        <v>20</v>
      </c>
      <c r="K818">
        <v>1857</v>
      </c>
      <c r="L818">
        <v>18570</v>
      </c>
      <c r="M818">
        <v>16713</v>
      </c>
      <c r="N818" t="s">
        <v>51</v>
      </c>
      <c r="O818">
        <v>2025</v>
      </c>
    </row>
    <row r="819" spans="1:15" x14ac:dyDescent="0.3">
      <c r="A819" t="s">
        <v>904</v>
      </c>
      <c r="B819" t="s">
        <v>114</v>
      </c>
      <c r="C819" t="s">
        <v>17</v>
      </c>
      <c r="D819" t="s">
        <v>24</v>
      </c>
      <c r="E819" t="s">
        <v>30</v>
      </c>
      <c r="F819" s="1">
        <v>45344</v>
      </c>
      <c r="G819">
        <v>2</v>
      </c>
      <c r="H819">
        <v>2987.22</v>
      </c>
      <c r="I819">
        <v>15</v>
      </c>
      <c r="J819" t="s">
        <v>45</v>
      </c>
      <c r="K819">
        <v>896.17</v>
      </c>
      <c r="L819">
        <v>5974.44</v>
      </c>
      <c r="M819">
        <v>5078.2700000000004</v>
      </c>
      <c r="N819" t="s">
        <v>41</v>
      </c>
      <c r="O819">
        <v>2024</v>
      </c>
    </row>
    <row r="820" spans="1:15" x14ac:dyDescent="0.3">
      <c r="A820" t="s">
        <v>905</v>
      </c>
      <c r="B820" t="s">
        <v>33</v>
      </c>
      <c r="C820" t="s">
        <v>54</v>
      </c>
      <c r="D820" t="s">
        <v>70</v>
      </c>
      <c r="E820" t="s">
        <v>19</v>
      </c>
      <c r="F820" s="1">
        <v>45955</v>
      </c>
      <c r="G820">
        <v>9</v>
      </c>
      <c r="H820">
        <v>2959.6</v>
      </c>
      <c r="I820">
        <v>20</v>
      </c>
      <c r="J820" t="s">
        <v>36</v>
      </c>
      <c r="K820">
        <v>5327.28</v>
      </c>
      <c r="L820">
        <v>26636.400000000001</v>
      </c>
      <c r="M820">
        <v>21309.119999999999</v>
      </c>
      <c r="N820" t="s">
        <v>57</v>
      </c>
      <c r="O820">
        <v>2025</v>
      </c>
    </row>
    <row r="821" spans="1:15" x14ac:dyDescent="0.3">
      <c r="A821" t="s">
        <v>906</v>
      </c>
      <c r="B821" t="s">
        <v>33</v>
      </c>
      <c r="C821" t="s">
        <v>34</v>
      </c>
      <c r="D821" t="s">
        <v>85</v>
      </c>
      <c r="E821" t="s">
        <v>50</v>
      </c>
      <c r="F821" s="1">
        <v>45956</v>
      </c>
      <c r="G821">
        <v>8</v>
      </c>
      <c r="H821">
        <v>14313.35</v>
      </c>
      <c r="I821">
        <v>20</v>
      </c>
      <c r="J821" t="s">
        <v>82</v>
      </c>
      <c r="K821">
        <v>22901.360000000001</v>
      </c>
      <c r="L821">
        <v>114506.8</v>
      </c>
      <c r="M821">
        <v>91605.440000000002</v>
      </c>
      <c r="N821" t="s">
        <v>57</v>
      </c>
      <c r="O821">
        <v>2025</v>
      </c>
    </row>
    <row r="822" spans="1:15" x14ac:dyDescent="0.3">
      <c r="A822" t="s">
        <v>907</v>
      </c>
      <c r="B822" t="s">
        <v>33</v>
      </c>
      <c r="C822" t="s">
        <v>34</v>
      </c>
      <c r="D822" t="s">
        <v>85</v>
      </c>
      <c r="E822" t="s">
        <v>19</v>
      </c>
      <c r="F822" s="1">
        <v>45807</v>
      </c>
      <c r="G822">
        <v>7</v>
      </c>
      <c r="H822">
        <v>11631.44</v>
      </c>
      <c r="I822">
        <v>0</v>
      </c>
      <c r="J822" t="s">
        <v>40</v>
      </c>
      <c r="K822">
        <v>0</v>
      </c>
      <c r="L822">
        <v>81420.08</v>
      </c>
      <c r="M822">
        <v>81420.08</v>
      </c>
      <c r="N822" t="s">
        <v>101</v>
      </c>
      <c r="O822">
        <v>2025</v>
      </c>
    </row>
    <row r="823" spans="1:15" x14ac:dyDescent="0.3">
      <c r="A823" t="s">
        <v>908</v>
      </c>
      <c r="B823" t="s">
        <v>89</v>
      </c>
      <c r="C823" t="s">
        <v>62</v>
      </c>
      <c r="D823" t="s">
        <v>119</v>
      </c>
      <c r="E823" t="s">
        <v>56</v>
      </c>
      <c r="F823" s="1">
        <v>45773</v>
      </c>
      <c r="G823">
        <v>9</v>
      </c>
      <c r="H823">
        <v>3743.52</v>
      </c>
      <c r="I823">
        <v>20</v>
      </c>
      <c r="J823" t="s">
        <v>82</v>
      </c>
      <c r="K823">
        <v>6738.34</v>
      </c>
      <c r="L823">
        <v>33691.68</v>
      </c>
      <c r="M823">
        <v>26953.34</v>
      </c>
      <c r="N823" t="s">
        <v>27</v>
      </c>
      <c r="O823">
        <v>2025</v>
      </c>
    </row>
    <row r="824" spans="1:15" x14ac:dyDescent="0.3">
      <c r="A824" t="s">
        <v>909</v>
      </c>
      <c r="B824" t="s">
        <v>93</v>
      </c>
      <c r="C824" t="s">
        <v>62</v>
      </c>
      <c r="D824" t="s">
        <v>99</v>
      </c>
      <c r="E824" t="s">
        <v>19</v>
      </c>
      <c r="F824" s="1">
        <v>45484</v>
      </c>
      <c r="G824">
        <v>8</v>
      </c>
      <c r="H824">
        <v>1382.74</v>
      </c>
      <c r="I824">
        <v>15</v>
      </c>
      <c r="J824" t="s">
        <v>82</v>
      </c>
      <c r="K824">
        <v>1659.29</v>
      </c>
      <c r="L824">
        <v>11061.92</v>
      </c>
      <c r="M824">
        <v>9402.6299999999992</v>
      </c>
      <c r="N824" t="s">
        <v>122</v>
      </c>
      <c r="O824">
        <v>2024</v>
      </c>
    </row>
    <row r="825" spans="1:15" x14ac:dyDescent="0.3">
      <c r="A825" t="s">
        <v>910</v>
      </c>
      <c r="B825" t="s">
        <v>47</v>
      </c>
      <c r="C825" t="s">
        <v>34</v>
      </c>
      <c r="D825" t="s">
        <v>48</v>
      </c>
      <c r="E825" t="s">
        <v>25</v>
      </c>
      <c r="F825" s="1">
        <v>45574</v>
      </c>
      <c r="G825">
        <v>2</v>
      </c>
      <c r="H825">
        <v>9453.58</v>
      </c>
      <c r="I825">
        <v>15</v>
      </c>
      <c r="J825" t="s">
        <v>36</v>
      </c>
      <c r="K825">
        <v>2836.07</v>
      </c>
      <c r="L825">
        <v>18907.16</v>
      </c>
      <c r="M825">
        <v>16071.09</v>
      </c>
      <c r="N825" t="s">
        <v>57</v>
      </c>
      <c r="O825">
        <v>2024</v>
      </c>
    </row>
    <row r="826" spans="1:15" x14ac:dyDescent="0.3">
      <c r="A826" t="s">
        <v>911</v>
      </c>
      <c r="B826" t="s">
        <v>65</v>
      </c>
      <c r="C826" t="s">
        <v>34</v>
      </c>
      <c r="D826" t="s">
        <v>85</v>
      </c>
      <c r="E826" t="s">
        <v>30</v>
      </c>
      <c r="F826" s="1">
        <v>45592</v>
      </c>
      <c r="G826">
        <v>7</v>
      </c>
      <c r="H826">
        <v>15079.6</v>
      </c>
      <c r="I826">
        <v>20</v>
      </c>
      <c r="J826" t="s">
        <v>26</v>
      </c>
      <c r="K826">
        <v>21111.439999999999</v>
      </c>
      <c r="L826">
        <v>105557.2</v>
      </c>
      <c r="M826">
        <v>84445.759999999995</v>
      </c>
      <c r="N826" t="s">
        <v>57</v>
      </c>
      <c r="O826">
        <v>2024</v>
      </c>
    </row>
    <row r="827" spans="1:15" x14ac:dyDescent="0.3">
      <c r="A827" t="s">
        <v>912</v>
      </c>
      <c r="B827" t="s">
        <v>33</v>
      </c>
      <c r="C827" t="s">
        <v>34</v>
      </c>
      <c r="D827" t="s">
        <v>35</v>
      </c>
      <c r="E827" t="s">
        <v>56</v>
      </c>
      <c r="F827" s="1">
        <v>45952</v>
      </c>
      <c r="G827">
        <v>1</v>
      </c>
      <c r="H827">
        <v>26754.18</v>
      </c>
      <c r="I827">
        <v>0</v>
      </c>
      <c r="J827" t="s">
        <v>71</v>
      </c>
      <c r="K827">
        <v>0</v>
      </c>
      <c r="L827">
        <v>26754.18</v>
      </c>
      <c r="M827">
        <v>26754.18</v>
      </c>
      <c r="N827" t="s">
        <v>57</v>
      </c>
      <c r="O827">
        <v>2025</v>
      </c>
    </row>
    <row r="828" spans="1:15" x14ac:dyDescent="0.3">
      <c r="A828" t="s">
        <v>913</v>
      </c>
      <c r="B828" t="s">
        <v>38</v>
      </c>
      <c r="C828" t="s">
        <v>17</v>
      </c>
      <c r="D828" t="s">
        <v>59</v>
      </c>
      <c r="E828" t="s">
        <v>81</v>
      </c>
      <c r="F828" s="1">
        <v>45713</v>
      </c>
      <c r="G828">
        <v>10</v>
      </c>
      <c r="H828">
        <v>24642.45</v>
      </c>
      <c r="I828">
        <v>10</v>
      </c>
      <c r="J828" t="s">
        <v>45</v>
      </c>
      <c r="K828">
        <v>24642.45</v>
      </c>
      <c r="L828">
        <v>246424.5</v>
      </c>
      <c r="M828">
        <v>221782.05</v>
      </c>
      <c r="N828" t="s">
        <v>41</v>
      </c>
      <c r="O828">
        <v>2025</v>
      </c>
    </row>
    <row r="829" spans="1:15" x14ac:dyDescent="0.3">
      <c r="A829" t="s">
        <v>914</v>
      </c>
      <c r="B829" t="s">
        <v>61</v>
      </c>
      <c r="C829" t="s">
        <v>90</v>
      </c>
      <c r="D829" t="s">
        <v>91</v>
      </c>
      <c r="E829" t="s">
        <v>30</v>
      </c>
      <c r="F829" s="1">
        <v>45760</v>
      </c>
      <c r="G829">
        <v>5</v>
      </c>
      <c r="H829">
        <v>1562.72</v>
      </c>
      <c r="I829">
        <v>10</v>
      </c>
      <c r="J829" t="s">
        <v>71</v>
      </c>
      <c r="K829">
        <v>781.36</v>
      </c>
      <c r="L829">
        <v>7813.6</v>
      </c>
      <c r="M829">
        <v>7032.24</v>
      </c>
      <c r="N829" t="s">
        <v>27</v>
      </c>
      <c r="O829">
        <v>2025</v>
      </c>
    </row>
    <row r="830" spans="1:15" x14ac:dyDescent="0.3">
      <c r="A830" t="s">
        <v>915</v>
      </c>
      <c r="B830" t="s">
        <v>29</v>
      </c>
      <c r="C830" t="s">
        <v>34</v>
      </c>
      <c r="D830" t="s">
        <v>48</v>
      </c>
      <c r="E830" t="s">
        <v>56</v>
      </c>
      <c r="F830" s="1">
        <v>45587</v>
      </c>
      <c r="G830">
        <v>1</v>
      </c>
      <c r="H830">
        <v>8246.34</v>
      </c>
      <c r="I830">
        <v>10</v>
      </c>
      <c r="J830" t="s">
        <v>45</v>
      </c>
      <c r="K830">
        <v>824.63</v>
      </c>
      <c r="L830">
        <v>8246.34</v>
      </c>
      <c r="M830">
        <v>7421.71</v>
      </c>
      <c r="N830" t="s">
        <v>57</v>
      </c>
      <c r="O830">
        <v>2024</v>
      </c>
    </row>
    <row r="831" spans="1:15" x14ac:dyDescent="0.3">
      <c r="A831" t="s">
        <v>916</v>
      </c>
      <c r="B831" t="s">
        <v>93</v>
      </c>
      <c r="C831" t="s">
        <v>90</v>
      </c>
      <c r="D831" t="s">
        <v>107</v>
      </c>
      <c r="E831" t="s">
        <v>50</v>
      </c>
      <c r="F831" s="1">
        <v>45478</v>
      </c>
      <c r="G831">
        <v>3</v>
      </c>
      <c r="H831">
        <v>13318</v>
      </c>
      <c r="I831">
        <v>5</v>
      </c>
      <c r="J831" t="s">
        <v>40</v>
      </c>
      <c r="K831">
        <v>1997.7</v>
      </c>
      <c r="L831">
        <v>39954</v>
      </c>
      <c r="M831">
        <v>37956.300000000003</v>
      </c>
      <c r="N831" t="s">
        <v>122</v>
      </c>
      <c r="O831">
        <v>2024</v>
      </c>
    </row>
    <row r="832" spans="1:15" x14ac:dyDescent="0.3">
      <c r="A832" t="s">
        <v>917</v>
      </c>
      <c r="B832" t="s">
        <v>47</v>
      </c>
      <c r="C832" t="s">
        <v>34</v>
      </c>
      <c r="D832" t="s">
        <v>85</v>
      </c>
      <c r="E832" t="s">
        <v>25</v>
      </c>
      <c r="F832" s="1">
        <v>45880</v>
      </c>
      <c r="G832">
        <v>3</v>
      </c>
      <c r="H832">
        <v>12122.67</v>
      </c>
      <c r="I832">
        <v>10</v>
      </c>
      <c r="J832" t="s">
        <v>45</v>
      </c>
      <c r="K832">
        <v>3636.8</v>
      </c>
      <c r="L832">
        <v>36368.01</v>
      </c>
      <c r="M832">
        <v>32731.21</v>
      </c>
      <c r="N832" t="s">
        <v>21</v>
      </c>
      <c r="O832">
        <v>2025</v>
      </c>
    </row>
    <row r="833" spans="1:15" x14ac:dyDescent="0.3">
      <c r="A833" t="s">
        <v>918</v>
      </c>
      <c r="B833" t="s">
        <v>65</v>
      </c>
      <c r="C833" t="s">
        <v>34</v>
      </c>
      <c r="D833" t="s">
        <v>85</v>
      </c>
      <c r="E833" t="s">
        <v>30</v>
      </c>
      <c r="F833" s="1">
        <v>45973</v>
      </c>
      <c r="G833">
        <v>6</v>
      </c>
      <c r="H833">
        <v>15107.47</v>
      </c>
      <c r="I833">
        <v>5</v>
      </c>
      <c r="J833" t="s">
        <v>26</v>
      </c>
      <c r="K833">
        <v>4532.24</v>
      </c>
      <c r="L833">
        <v>90644.82</v>
      </c>
      <c r="M833">
        <v>86112.58</v>
      </c>
      <c r="N833" t="s">
        <v>96</v>
      </c>
      <c r="O833">
        <v>2025</v>
      </c>
    </row>
    <row r="834" spans="1:15" x14ac:dyDescent="0.3">
      <c r="A834" t="s">
        <v>919</v>
      </c>
      <c r="B834" t="s">
        <v>65</v>
      </c>
      <c r="C834" t="s">
        <v>62</v>
      </c>
      <c r="D834" t="s">
        <v>99</v>
      </c>
      <c r="E834" t="s">
        <v>50</v>
      </c>
      <c r="F834" s="1">
        <v>45416</v>
      </c>
      <c r="G834">
        <v>1</v>
      </c>
      <c r="H834">
        <v>1501.71</v>
      </c>
      <c r="I834">
        <v>15</v>
      </c>
      <c r="J834" t="s">
        <v>40</v>
      </c>
      <c r="K834">
        <v>225.26</v>
      </c>
      <c r="L834">
        <v>1501.71</v>
      </c>
      <c r="M834">
        <v>1276.45</v>
      </c>
      <c r="N834" t="s">
        <v>101</v>
      </c>
      <c r="O834">
        <v>2024</v>
      </c>
    </row>
    <row r="835" spans="1:15" x14ac:dyDescent="0.3">
      <c r="A835" t="s">
        <v>920</v>
      </c>
      <c r="B835" t="s">
        <v>114</v>
      </c>
      <c r="C835" t="s">
        <v>34</v>
      </c>
      <c r="D835" t="s">
        <v>35</v>
      </c>
      <c r="E835" t="s">
        <v>19</v>
      </c>
      <c r="F835" s="1">
        <v>45296</v>
      </c>
      <c r="G835">
        <v>9</v>
      </c>
      <c r="H835">
        <v>28597.51</v>
      </c>
      <c r="I835">
        <v>10</v>
      </c>
      <c r="J835" t="s">
        <v>36</v>
      </c>
      <c r="K835">
        <v>25737.759999999998</v>
      </c>
      <c r="L835">
        <v>257377.59</v>
      </c>
      <c r="M835">
        <v>231639.83</v>
      </c>
      <c r="N835" t="s">
        <v>116</v>
      </c>
      <c r="O835">
        <v>2024</v>
      </c>
    </row>
    <row r="836" spans="1:15" x14ac:dyDescent="0.3">
      <c r="A836" t="s">
        <v>921</v>
      </c>
      <c r="B836" t="s">
        <v>114</v>
      </c>
      <c r="C836" t="s">
        <v>62</v>
      </c>
      <c r="D836" t="s">
        <v>99</v>
      </c>
      <c r="E836" t="s">
        <v>19</v>
      </c>
      <c r="F836" s="1">
        <v>45870</v>
      </c>
      <c r="G836">
        <v>8</v>
      </c>
      <c r="H836">
        <v>1477.01</v>
      </c>
      <c r="I836">
        <v>0</v>
      </c>
      <c r="J836" t="s">
        <v>36</v>
      </c>
      <c r="K836">
        <v>0</v>
      </c>
      <c r="L836">
        <v>11816.08</v>
      </c>
      <c r="M836">
        <v>11816.08</v>
      </c>
      <c r="N836" t="s">
        <v>21</v>
      </c>
      <c r="O836">
        <v>2025</v>
      </c>
    </row>
    <row r="837" spans="1:15" x14ac:dyDescent="0.3">
      <c r="A837" t="s">
        <v>922</v>
      </c>
      <c r="B837" t="s">
        <v>53</v>
      </c>
      <c r="C837" t="s">
        <v>90</v>
      </c>
      <c r="D837" t="s">
        <v>105</v>
      </c>
      <c r="E837" t="s">
        <v>30</v>
      </c>
      <c r="F837" s="1">
        <v>45607</v>
      </c>
      <c r="G837">
        <v>1</v>
      </c>
      <c r="H837">
        <v>3851.57</v>
      </c>
      <c r="I837">
        <v>5</v>
      </c>
      <c r="J837" t="s">
        <v>82</v>
      </c>
      <c r="K837">
        <v>192.58</v>
      </c>
      <c r="L837">
        <v>3851.57</v>
      </c>
      <c r="M837">
        <v>3658.99</v>
      </c>
      <c r="N837" t="s">
        <v>96</v>
      </c>
      <c r="O837">
        <v>2024</v>
      </c>
    </row>
    <row r="838" spans="1:15" x14ac:dyDescent="0.3">
      <c r="A838" t="s">
        <v>923</v>
      </c>
      <c r="B838" t="s">
        <v>47</v>
      </c>
      <c r="C838" t="s">
        <v>90</v>
      </c>
      <c r="D838" t="s">
        <v>115</v>
      </c>
      <c r="E838" t="s">
        <v>19</v>
      </c>
      <c r="F838" s="1">
        <v>45914</v>
      </c>
      <c r="G838">
        <v>4</v>
      </c>
      <c r="H838">
        <v>8366.86</v>
      </c>
      <c r="I838">
        <v>5</v>
      </c>
      <c r="J838" t="s">
        <v>26</v>
      </c>
      <c r="K838">
        <v>1673.37</v>
      </c>
      <c r="L838">
        <v>33467.440000000002</v>
      </c>
      <c r="M838">
        <v>31794.07</v>
      </c>
      <c r="N838" t="s">
        <v>86</v>
      </c>
      <c r="O838">
        <v>2025</v>
      </c>
    </row>
    <row r="839" spans="1:15" x14ac:dyDescent="0.3">
      <c r="A839" t="s">
        <v>924</v>
      </c>
      <c r="B839" t="s">
        <v>109</v>
      </c>
      <c r="C839" t="s">
        <v>62</v>
      </c>
      <c r="D839" t="s">
        <v>63</v>
      </c>
      <c r="E839" t="s">
        <v>25</v>
      </c>
      <c r="F839" s="1">
        <v>45985</v>
      </c>
      <c r="G839">
        <v>2</v>
      </c>
      <c r="H839">
        <v>2265.04</v>
      </c>
      <c r="I839">
        <v>15</v>
      </c>
      <c r="J839" t="s">
        <v>71</v>
      </c>
      <c r="K839">
        <v>679.51</v>
      </c>
      <c r="L839">
        <v>4530.08</v>
      </c>
      <c r="M839">
        <v>3850.57</v>
      </c>
      <c r="N839" t="s">
        <v>96</v>
      </c>
      <c r="O839">
        <v>2025</v>
      </c>
    </row>
    <row r="840" spans="1:15" x14ac:dyDescent="0.3">
      <c r="A840" t="s">
        <v>925</v>
      </c>
      <c r="B840" t="s">
        <v>33</v>
      </c>
      <c r="C840" t="s">
        <v>34</v>
      </c>
      <c r="D840" t="s">
        <v>35</v>
      </c>
      <c r="E840" t="s">
        <v>81</v>
      </c>
      <c r="F840" s="1">
        <v>45974</v>
      </c>
      <c r="G840">
        <v>6</v>
      </c>
      <c r="H840">
        <v>27483.21</v>
      </c>
      <c r="I840">
        <v>15</v>
      </c>
      <c r="J840" t="s">
        <v>26</v>
      </c>
      <c r="K840">
        <v>24734.89</v>
      </c>
      <c r="L840">
        <v>164899.26</v>
      </c>
      <c r="M840">
        <v>140164.37</v>
      </c>
      <c r="N840" t="s">
        <v>96</v>
      </c>
      <c r="O840">
        <v>2025</v>
      </c>
    </row>
    <row r="841" spans="1:15" x14ac:dyDescent="0.3">
      <c r="A841" t="s">
        <v>926</v>
      </c>
      <c r="B841" t="s">
        <v>33</v>
      </c>
      <c r="C841" t="s">
        <v>62</v>
      </c>
      <c r="D841" t="s">
        <v>99</v>
      </c>
      <c r="E841" t="s">
        <v>25</v>
      </c>
      <c r="F841" s="1">
        <v>45645</v>
      </c>
      <c r="G841">
        <v>6</v>
      </c>
      <c r="H841">
        <v>1612.09</v>
      </c>
      <c r="I841">
        <v>15</v>
      </c>
      <c r="J841" t="s">
        <v>40</v>
      </c>
      <c r="K841">
        <v>1450.88</v>
      </c>
      <c r="L841">
        <v>9672.5400000000009</v>
      </c>
      <c r="M841">
        <v>8221.66</v>
      </c>
      <c r="N841" t="s">
        <v>51</v>
      </c>
      <c r="O841">
        <v>2024</v>
      </c>
    </row>
    <row r="842" spans="1:15" x14ac:dyDescent="0.3">
      <c r="A842" t="s">
        <v>927</v>
      </c>
      <c r="B842" t="s">
        <v>29</v>
      </c>
      <c r="C842" t="s">
        <v>54</v>
      </c>
      <c r="D842" t="s">
        <v>70</v>
      </c>
      <c r="E842" t="s">
        <v>30</v>
      </c>
      <c r="F842" s="1">
        <v>45717</v>
      </c>
      <c r="G842">
        <v>8</v>
      </c>
      <c r="H842">
        <v>2430.4</v>
      </c>
      <c r="I842">
        <v>15</v>
      </c>
      <c r="J842" t="s">
        <v>71</v>
      </c>
      <c r="K842">
        <v>2916.48</v>
      </c>
      <c r="L842">
        <v>19443.2</v>
      </c>
      <c r="M842">
        <v>16526.72</v>
      </c>
      <c r="N842" t="s">
        <v>83</v>
      </c>
      <c r="O842">
        <v>2025</v>
      </c>
    </row>
    <row r="843" spans="1:15" x14ac:dyDescent="0.3">
      <c r="A843" t="s">
        <v>928</v>
      </c>
      <c r="B843" t="s">
        <v>38</v>
      </c>
      <c r="C843" t="s">
        <v>90</v>
      </c>
      <c r="D843" t="s">
        <v>107</v>
      </c>
      <c r="E843" t="s">
        <v>81</v>
      </c>
      <c r="F843" s="1">
        <v>45439</v>
      </c>
      <c r="G843">
        <v>4</v>
      </c>
      <c r="H843">
        <v>11709.69</v>
      </c>
      <c r="I843">
        <v>20</v>
      </c>
      <c r="J843" t="s">
        <v>82</v>
      </c>
      <c r="K843">
        <v>9367.75</v>
      </c>
      <c r="L843">
        <v>46838.76</v>
      </c>
      <c r="M843">
        <v>37471.01</v>
      </c>
      <c r="N843" t="s">
        <v>101</v>
      </c>
      <c r="O843">
        <v>2024</v>
      </c>
    </row>
    <row r="844" spans="1:15" x14ac:dyDescent="0.3">
      <c r="A844" t="s">
        <v>929</v>
      </c>
      <c r="B844" t="s">
        <v>114</v>
      </c>
      <c r="C844" t="s">
        <v>62</v>
      </c>
      <c r="D844" t="s">
        <v>95</v>
      </c>
      <c r="E844" t="s">
        <v>81</v>
      </c>
      <c r="F844" s="1">
        <v>45382</v>
      </c>
      <c r="G844">
        <v>1</v>
      </c>
      <c r="H844">
        <v>801.89</v>
      </c>
      <c r="I844">
        <v>10</v>
      </c>
      <c r="J844" t="s">
        <v>31</v>
      </c>
      <c r="K844">
        <v>80.19</v>
      </c>
      <c r="L844">
        <v>801.89</v>
      </c>
      <c r="M844">
        <v>721.7</v>
      </c>
      <c r="N844" t="s">
        <v>83</v>
      </c>
      <c r="O844">
        <v>2024</v>
      </c>
    </row>
    <row r="845" spans="1:15" x14ac:dyDescent="0.3">
      <c r="A845" t="s">
        <v>930</v>
      </c>
      <c r="B845" t="s">
        <v>65</v>
      </c>
      <c r="C845" t="s">
        <v>90</v>
      </c>
      <c r="D845" t="s">
        <v>107</v>
      </c>
      <c r="E845" t="s">
        <v>56</v>
      </c>
      <c r="F845" s="1">
        <v>45496</v>
      </c>
      <c r="G845">
        <v>3</v>
      </c>
      <c r="H845">
        <v>13296.85</v>
      </c>
      <c r="I845">
        <v>10</v>
      </c>
      <c r="J845" t="s">
        <v>36</v>
      </c>
      <c r="K845">
        <v>3989.06</v>
      </c>
      <c r="L845">
        <v>39890.550000000003</v>
      </c>
      <c r="M845">
        <v>35901.49</v>
      </c>
      <c r="N845" t="s">
        <v>122</v>
      </c>
      <c r="O845">
        <v>2024</v>
      </c>
    </row>
    <row r="846" spans="1:15" x14ac:dyDescent="0.3">
      <c r="A846" t="s">
        <v>931</v>
      </c>
      <c r="B846" t="s">
        <v>109</v>
      </c>
      <c r="C846" t="s">
        <v>54</v>
      </c>
      <c r="D846" t="s">
        <v>68</v>
      </c>
      <c r="E846" t="s">
        <v>44</v>
      </c>
      <c r="F846" s="1">
        <v>45891</v>
      </c>
      <c r="G846">
        <v>5</v>
      </c>
      <c r="H846">
        <v>4605.8599999999997</v>
      </c>
      <c r="I846">
        <v>15</v>
      </c>
      <c r="J846" t="s">
        <v>40</v>
      </c>
      <c r="K846">
        <v>3454.39</v>
      </c>
      <c r="L846">
        <v>23029.3</v>
      </c>
      <c r="M846">
        <v>19574.91</v>
      </c>
      <c r="N846" t="s">
        <v>21</v>
      </c>
      <c r="O846">
        <v>2025</v>
      </c>
    </row>
    <row r="847" spans="1:15" x14ac:dyDescent="0.3">
      <c r="A847" t="s">
        <v>932</v>
      </c>
      <c r="B847" t="s">
        <v>74</v>
      </c>
      <c r="C847" t="s">
        <v>34</v>
      </c>
      <c r="D847" t="s">
        <v>80</v>
      </c>
      <c r="E847" t="s">
        <v>25</v>
      </c>
      <c r="F847" s="1">
        <v>45560</v>
      </c>
      <c r="G847">
        <v>5</v>
      </c>
      <c r="H847">
        <v>6834.04</v>
      </c>
      <c r="I847">
        <v>15</v>
      </c>
      <c r="J847" t="s">
        <v>36</v>
      </c>
      <c r="K847">
        <v>5125.53</v>
      </c>
      <c r="L847">
        <v>34170.199999999997</v>
      </c>
      <c r="M847">
        <v>29044.67</v>
      </c>
      <c r="N847" t="s">
        <v>86</v>
      </c>
      <c r="O847">
        <v>2024</v>
      </c>
    </row>
    <row r="848" spans="1:15" x14ac:dyDescent="0.3">
      <c r="A848" t="s">
        <v>933</v>
      </c>
      <c r="B848" t="s">
        <v>23</v>
      </c>
      <c r="C848" t="s">
        <v>17</v>
      </c>
      <c r="D848" t="s">
        <v>39</v>
      </c>
      <c r="E848" t="s">
        <v>50</v>
      </c>
      <c r="F848" s="1">
        <v>45996</v>
      </c>
      <c r="G848">
        <v>4</v>
      </c>
      <c r="H848">
        <v>17960.79</v>
      </c>
      <c r="I848">
        <v>10</v>
      </c>
      <c r="J848" t="s">
        <v>71</v>
      </c>
      <c r="K848">
        <v>7184.32</v>
      </c>
      <c r="L848">
        <v>71843.16</v>
      </c>
      <c r="M848">
        <v>64658.84</v>
      </c>
      <c r="N848" t="s">
        <v>51</v>
      </c>
      <c r="O848">
        <v>2025</v>
      </c>
    </row>
    <row r="849" spans="1:15" x14ac:dyDescent="0.3">
      <c r="A849" t="s">
        <v>934</v>
      </c>
      <c r="B849" t="s">
        <v>93</v>
      </c>
      <c r="C849" t="s">
        <v>90</v>
      </c>
      <c r="D849" t="s">
        <v>105</v>
      </c>
      <c r="E849" t="s">
        <v>30</v>
      </c>
      <c r="F849" s="1">
        <v>45887</v>
      </c>
      <c r="G849">
        <v>8</v>
      </c>
      <c r="H849">
        <v>3644.88</v>
      </c>
      <c r="I849">
        <v>10</v>
      </c>
      <c r="J849" t="s">
        <v>45</v>
      </c>
      <c r="K849">
        <v>2915.9</v>
      </c>
      <c r="L849">
        <v>29159.040000000001</v>
      </c>
      <c r="M849">
        <v>26243.14</v>
      </c>
      <c r="N849" t="s">
        <v>21</v>
      </c>
      <c r="O849">
        <v>2025</v>
      </c>
    </row>
    <row r="850" spans="1:15" x14ac:dyDescent="0.3">
      <c r="A850" t="s">
        <v>935</v>
      </c>
      <c r="B850" t="s">
        <v>33</v>
      </c>
      <c r="C850" t="s">
        <v>90</v>
      </c>
      <c r="D850" t="s">
        <v>105</v>
      </c>
      <c r="E850" t="s">
        <v>81</v>
      </c>
      <c r="F850" s="1">
        <v>45557</v>
      </c>
      <c r="G850">
        <v>3</v>
      </c>
      <c r="H850">
        <v>3658.95</v>
      </c>
      <c r="I850">
        <v>5</v>
      </c>
      <c r="J850" t="s">
        <v>26</v>
      </c>
      <c r="K850">
        <v>548.84</v>
      </c>
      <c r="L850">
        <v>10976.85</v>
      </c>
      <c r="M850">
        <v>10428.01</v>
      </c>
      <c r="N850" t="s">
        <v>86</v>
      </c>
      <c r="O850">
        <v>2024</v>
      </c>
    </row>
    <row r="851" spans="1:15" x14ac:dyDescent="0.3">
      <c r="A851" t="s">
        <v>936</v>
      </c>
      <c r="B851" t="s">
        <v>114</v>
      </c>
      <c r="C851" t="s">
        <v>62</v>
      </c>
      <c r="D851" t="s">
        <v>99</v>
      </c>
      <c r="E851" t="s">
        <v>30</v>
      </c>
      <c r="F851" s="1">
        <v>45657</v>
      </c>
      <c r="G851">
        <v>3</v>
      </c>
      <c r="H851">
        <v>1506.82</v>
      </c>
      <c r="I851">
        <v>10</v>
      </c>
      <c r="J851" t="s">
        <v>36</v>
      </c>
      <c r="K851">
        <v>452.05</v>
      </c>
      <c r="L851">
        <v>4520.46</v>
      </c>
      <c r="M851">
        <v>4068.41</v>
      </c>
      <c r="N851" t="s">
        <v>51</v>
      </c>
      <c r="O851">
        <v>2024</v>
      </c>
    </row>
    <row r="852" spans="1:15" x14ac:dyDescent="0.3">
      <c r="A852" t="s">
        <v>937</v>
      </c>
      <c r="B852" t="s">
        <v>109</v>
      </c>
      <c r="C852" t="s">
        <v>90</v>
      </c>
      <c r="D852" t="s">
        <v>115</v>
      </c>
      <c r="E852" t="s">
        <v>19</v>
      </c>
      <c r="F852" s="1">
        <v>45834</v>
      </c>
      <c r="G852">
        <v>2</v>
      </c>
      <c r="H852">
        <v>8227.73</v>
      </c>
      <c r="I852">
        <v>5</v>
      </c>
      <c r="J852" t="s">
        <v>40</v>
      </c>
      <c r="K852">
        <v>822.77</v>
      </c>
      <c r="L852">
        <v>16455.46</v>
      </c>
      <c r="M852">
        <v>15632.69</v>
      </c>
      <c r="N852" t="s">
        <v>72</v>
      </c>
      <c r="O852">
        <v>2025</v>
      </c>
    </row>
    <row r="853" spans="1:15" x14ac:dyDescent="0.3">
      <c r="A853" t="s">
        <v>938</v>
      </c>
      <c r="B853" t="s">
        <v>74</v>
      </c>
      <c r="C853" t="s">
        <v>17</v>
      </c>
      <c r="D853" t="s">
        <v>24</v>
      </c>
      <c r="E853" t="s">
        <v>50</v>
      </c>
      <c r="F853" s="1">
        <v>45615</v>
      </c>
      <c r="G853">
        <v>5</v>
      </c>
      <c r="H853">
        <v>3193.95</v>
      </c>
      <c r="I853">
        <v>10</v>
      </c>
      <c r="J853" t="s">
        <v>45</v>
      </c>
      <c r="K853">
        <v>1596.98</v>
      </c>
      <c r="L853">
        <v>15969.75</v>
      </c>
      <c r="M853">
        <v>14372.77</v>
      </c>
      <c r="N853" t="s">
        <v>96</v>
      </c>
      <c r="O853">
        <v>2024</v>
      </c>
    </row>
    <row r="854" spans="1:15" x14ac:dyDescent="0.3">
      <c r="A854" t="s">
        <v>939</v>
      </c>
      <c r="B854" t="s">
        <v>93</v>
      </c>
      <c r="C854" t="s">
        <v>17</v>
      </c>
      <c r="D854" t="s">
        <v>24</v>
      </c>
      <c r="E854" t="s">
        <v>19</v>
      </c>
      <c r="F854" s="1">
        <v>45305</v>
      </c>
      <c r="G854">
        <v>3</v>
      </c>
      <c r="H854">
        <v>3088.63</v>
      </c>
      <c r="I854">
        <v>10</v>
      </c>
      <c r="J854" t="s">
        <v>36</v>
      </c>
      <c r="K854">
        <v>926.59</v>
      </c>
      <c r="L854">
        <v>9265.89</v>
      </c>
      <c r="M854">
        <v>8339.2999999999993</v>
      </c>
      <c r="N854" t="s">
        <v>116</v>
      </c>
      <c r="O854">
        <v>2024</v>
      </c>
    </row>
    <row r="855" spans="1:15" x14ac:dyDescent="0.3">
      <c r="A855" t="s">
        <v>940</v>
      </c>
      <c r="B855" t="s">
        <v>33</v>
      </c>
      <c r="C855" t="s">
        <v>90</v>
      </c>
      <c r="D855" t="s">
        <v>152</v>
      </c>
      <c r="E855" t="s">
        <v>50</v>
      </c>
      <c r="F855" s="1">
        <v>45515</v>
      </c>
      <c r="G855">
        <v>3</v>
      </c>
      <c r="H855">
        <v>10258.459999999999</v>
      </c>
      <c r="I855">
        <v>5</v>
      </c>
      <c r="J855" t="s">
        <v>82</v>
      </c>
      <c r="K855">
        <v>1538.77</v>
      </c>
      <c r="L855">
        <v>30775.38</v>
      </c>
      <c r="M855">
        <v>29236.61</v>
      </c>
      <c r="N855" t="s">
        <v>21</v>
      </c>
      <c r="O855">
        <v>2024</v>
      </c>
    </row>
    <row r="856" spans="1:15" x14ac:dyDescent="0.3">
      <c r="A856" t="s">
        <v>941</v>
      </c>
      <c r="B856" t="s">
        <v>16</v>
      </c>
      <c r="C856" t="s">
        <v>54</v>
      </c>
      <c r="D856" t="s">
        <v>77</v>
      </c>
      <c r="E856" t="s">
        <v>44</v>
      </c>
      <c r="F856" s="1">
        <v>45719</v>
      </c>
      <c r="G856">
        <v>8</v>
      </c>
      <c r="H856">
        <v>5645.04</v>
      </c>
      <c r="I856">
        <v>0</v>
      </c>
      <c r="J856" t="s">
        <v>82</v>
      </c>
      <c r="K856">
        <v>0</v>
      </c>
      <c r="L856">
        <v>45160.32</v>
      </c>
      <c r="M856">
        <v>45160.32</v>
      </c>
      <c r="N856" t="s">
        <v>83</v>
      </c>
      <c r="O856">
        <v>2025</v>
      </c>
    </row>
    <row r="857" spans="1:15" x14ac:dyDescent="0.3">
      <c r="A857" t="s">
        <v>942</v>
      </c>
      <c r="B857" t="s">
        <v>89</v>
      </c>
      <c r="C857" t="s">
        <v>34</v>
      </c>
      <c r="D857" t="s">
        <v>80</v>
      </c>
      <c r="E857" t="s">
        <v>19</v>
      </c>
      <c r="F857" s="1">
        <v>45999</v>
      </c>
      <c r="G857">
        <v>6</v>
      </c>
      <c r="H857">
        <v>6169.37</v>
      </c>
      <c r="I857">
        <v>15</v>
      </c>
      <c r="J857" t="s">
        <v>40</v>
      </c>
      <c r="K857">
        <v>5552.43</v>
      </c>
      <c r="L857">
        <v>37016.22</v>
      </c>
      <c r="M857">
        <v>31463.79</v>
      </c>
      <c r="N857" t="s">
        <v>51</v>
      </c>
      <c r="O857">
        <v>2025</v>
      </c>
    </row>
    <row r="858" spans="1:15" x14ac:dyDescent="0.3">
      <c r="A858" t="s">
        <v>943</v>
      </c>
      <c r="B858" t="s">
        <v>74</v>
      </c>
      <c r="C858" t="s">
        <v>54</v>
      </c>
      <c r="D858" t="s">
        <v>77</v>
      </c>
      <c r="E858" t="s">
        <v>19</v>
      </c>
      <c r="F858" s="1">
        <v>46018</v>
      </c>
      <c r="G858">
        <v>5</v>
      </c>
      <c r="H858">
        <v>4989.54</v>
      </c>
      <c r="I858">
        <v>0</v>
      </c>
      <c r="J858" t="s">
        <v>36</v>
      </c>
      <c r="K858">
        <v>0</v>
      </c>
      <c r="L858">
        <v>24947.7</v>
      </c>
      <c r="M858">
        <v>24947.7</v>
      </c>
      <c r="N858" t="s">
        <v>51</v>
      </c>
      <c r="O858">
        <v>2025</v>
      </c>
    </row>
    <row r="859" spans="1:15" x14ac:dyDescent="0.3">
      <c r="A859" t="s">
        <v>944</v>
      </c>
      <c r="B859" t="s">
        <v>38</v>
      </c>
      <c r="C859" t="s">
        <v>34</v>
      </c>
      <c r="D859" t="s">
        <v>85</v>
      </c>
      <c r="E859" t="s">
        <v>30</v>
      </c>
      <c r="F859" s="1">
        <v>45996</v>
      </c>
      <c r="G859">
        <v>4</v>
      </c>
      <c r="H859">
        <v>12894.51</v>
      </c>
      <c r="I859">
        <v>5</v>
      </c>
      <c r="J859" t="s">
        <v>36</v>
      </c>
      <c r="K859">
        <v>2578.9</v>
      </c>
      <c r="L859">
        <v>51578.04</v>
      </c>
      <c r="M859">
        <v>48999.14</v>
      </c>
      <c r="N859" t="s">
        <v>51</v>
      </c>
      <c r="O859">
        <v>2025</v>
      </c>
    </row>
    <row r="860" spans="1:15" x14ac:dyDescent="0.3">
      <c r="A860" t="s">
        <v>945</v>
      </c>
      <c r="B860" t="s">
        <v>23</v>
      </c>
      <c r="C860" t="s">
        <v>34</v>
      </c>
      <c r="D860" t="s">
        <v>80</v>
      </c>
      <c r="E860" t="s">
        <v>30</v>
      </c>
      <c r="F860" s="1">
        <v>45371</v>
      </c>
      <c r="G860">
        <v>1</v>
      </c>
      <c r="H860">
        <v>6562.04</v>
      </c>
      <c r="I860">
        <v>15</v>
      </c>
      <c r="J860" t="s">
        <v>82</v>
      </c>
      <c r="K860">
        <v>984.31</v>
      </c>
      <c r="L860">
        <v>6562.04</v>
      </c>
      <c r="M860">
        <v>5577.73</v>
      </c>
      <c r="N860" t="s">
        <v>83</v>
      </c>
      <c r="O860">
        <v>2024</v>
      </c>
    </row>
    <row r="861" spans="1:15" x14ac:dyDescent="0.3">
      <c r="A861" t="s">
        <v>946</v>
      </c>
      <c r="B861" t="s">
        <v>47</v>
      </c>
      <c r="C861" t="s">
        <v>17</v>
      </c>
      <c r="D861" t="s">
        <v>59</v>
      </c>
      <c r="E861" t="s">
        <v>25</v>
      </c>
      <c r="F861" s="1">
        <v>45772</v>
      </c>
      <c r="G861">
        <v>2</v>
      </c>
      <c r="H861">
        <v>28178.31</v>
      </c>
      <c r="I861">
        <v>0</v>
      </c>
      <c r="J861" t="s">
        <v>26</v>
      </c>
      <c r="K861">
        <v>0</v>
      </c>
      <c r="L861">
        <v>56356.62</v>
      </c>
      <c r="M861">
        <v>56356.62</v>
      </c>
      <c r="N861" t="s">
        <v>27</v>
      </c>
      <c r="O861">
        <v>2025</v>
      </c>
    </row>
    <row r="862" spans="1:15" x14ac:dyDescent="0.3">
      <c r="A862" t="s">
        <v>947</v>
      </c>
      <c r="B862" t="s">
        <v>61</v>
      </c>
      <c r="C862" t="s">
        <v>17</v>
      </c>
      <c r="D862" t="s">
        <v>39</v>
      </c>
      <c r="E862" t="s">
        <v>25</v>
      </c>
      <c r="F862" s="1">
        <v>45418</v>
      </c>
      <c r="G862">
        <v>10</v>
      </c>
      <c r="H862">
        <v>17124.310000000001</v>
      </c>
      <c r="I862">
        <v>5</v>
      </c>
      <c r="J862" t="s">
        <v>82</v>
      </c>
      <c r="K862">
        <v>8562.16</v>
      </c>
      <c r="L862">
        <v>171243.1</v>
      </c>
      <c r="M862">
        <v>162680.94</v>
      </c>
      <c r="N862" t="s">
        <v>101</v>
      </c>
      <c r="O862">
        <v>2024</v>
      </c>
    </row>
    <row r="863" spans="1:15" x14ac:dyDescent="0.3">
      <c r="A863" t="s">
        <v>948</v>
      </c>
      <c r="B863" t="s">
        <v>109</v>
      </c>
      <c r="C863" t="s">
        <v>34</v>
      </c>
      <c r="D863" t="s">
        <v>48</v>
      </c>
      <c r="E863" t="s">
        <v>25</v>
      </c>
      <c r="F863" s="1">
        <v>45576</v>
      </c>
      <c r="G863">
        <v>10</v>
      </c>
      <c r="H863">
        <v>8685.24</v>
      </c>
      <c r="I863">
        <v>5</v>
      </c>
      <c r="J863" t="s">
        <v>36</v>
      </c>
      <c r="K863">
        <v>4342.62</v>
      </c>
      <c r="L863">
        <v>86852.4</v>
      </c>
      <c r="M863">
        <v>82509.78</v>
      </c>
      <c r="N863" t="s">
        <v>57</v>
      </c>
      <c r="O863">
        <v>2024</v>
      </c>
    </row>
    <row r="864" spans="1:15" x14ac:dyDescent="0.3">
      <c r="A864" t="s">
        <v>949</v>
      </c>
      <c r="B864" t="s">
        <v>29</v>
      </c>
      <c r="C864" t="s">
        <v>54</v>
      </c>
      <c r="D864" t="s">
        <v>77</v>
      </c>
      <c r="E864" t="s">
        <v>81</v>
      </c>
      <c r="F864" s="1">
        <v>45393</v>
      </c>
      <c r="G864">
        <v>10</v>
      </c>
      <c r="H864">
        <v>5454.06</v>
      </c>
      <c r="I864">
        <v>20</v>
      </c>
      <c r="J864" t="s">
        <v>82</v>
      </c>
      <c r="K864">
        <v>10908.12</v>
      </c>
      <c r="L864">
        <v>54540.6</v>
      </c>
      <c r="M864">
        <v>43632.480000000003</v>
      </c>
      <c r="N864" t="s">
        <v>27</v>
      </c>
      <c r="O864">
        <v>2024</v>
      </c>
    </row>
    <row r="865" spans="1:15" x14ac:dyDescent="0.3">
      <c r="A865" t="s">
        <v>950</v>
      </c>
      <c r="B865" t="s">
        <v>43</v>
      </c>
      <c r="C865" t="s">
        <v>34</v>
      </c>
      <c r="D865" t="s">
        <v>85</v>
      </c>
      <c r="E865" t="s">
        <v>50</v>
      </c>
      <c r="F865" s="1">
        <v>45393</v>
      </c>
      <c r="G865">
        <v>4</v>
      </c>
      <c r="H865">
        <v>13561.43</v>
      </c>
      <c r="I865">
        <v>15</v>
      </c>
      <c r="J865" t="s">
        <v>26</v>
      </c>
      <c r="K865">
        <v>8136.86</v>
      </c>
      <c r="L865">
        <v>54245.72</v>
      </c>
      <c r="M865">
        <v>46108.86</v>
      </c>
      <c r="N865" t="s">
        <v>27</v>
      </c>
      <c r="O865">
        <v>2024</v>
      </c>
    </row>
    <row r="866" spans="1:15" x14ac:dyDescent="0.3">
      <c r="A866" t="s">
        <v>951</v>
      </c>
      <c r="B866" t="s">
        <v>53</v>
      </c>
      <c r="C866" t="s">
        <v>62</v>
      </c>
      <c r="D866" t="s">
        <v>132</v>
      </c>
      <c r="E866" t="s">
        <v>56</v>
      </c>
      <c r="F866" s="1">
        <v>45477</v>
      </c>
      <c r="G866">
        <v>6</v>
      </c>
      <c r="H866">
        <v>2863.31</v>
      </c>
      <c r="I866">
        <v>15</v>
      </c>
      <c r="J866" t="s">
        <v>82</v>
      </c>
      <c r="K866">
        <v>2576.98</v>
      </c>
      <c r="L866">
        <v>17179.86</v>
      </c>
      <c r="M866">
        <v>14602.88</v>
      </c>
      <c r="N866" t="s">
        <v>122</v>
      </c>
      <c r="O866">
        <v>2024</v>
      </c>
    </row>
    <row r="867" spans="1:15" x14ac:dyDescent="0.3">
      <c r="A867" t="s">
        <v>952</v>
      </c>
      <c r="B867" t="s">
        <v>29</v>
      </c>
      <c r="C867" t="s">
        <v>34</v>
      </c>
      <c r="D867" t="s">
        <v>66</v>
      </c>
      <c r="E867" t="s">
        <v>56</v>
      </c>
      <c r="F867" s="1">
        <v>45613</v>
      </c>
      <c r="G867">
        <v>2</v>
      </c>
      <c r="H867">
        <v>44724.92</v>
      </c>
      <c r="I867">
        <v>20</v>
      </c>
      <c r="J867" t="s">
        <v>82</v>
      </c>
      <c r="K867">
        <v>17889.97</v>
      </c>
      <c r="L867">
        <v>89449.84</v>
      </c>
      <c r="M867">
        <v>71559.87</v>
      </c>
      <c r="N867" t="s">
        <v>96</v>
      </c>
      <c r="O867">
        <v>2024</v>
      </c>
    </row>
    <row r="868" spans="1:15" x14ac:dyDescent="0.3">
      <c r="A868" t="s">
        <v>953</v>
      </c>
      <c r="B868" t="s">
        <v>74</v>
      </c>
      <c r="C868" t="s">
        <v>34</v>
      </c>
      <c r="D868" t="s">
        <v>35</v>
      </c>
      <c r="E868" t="s">
        <v>19</v>
      </c>
      <c r="F868" s="1">
        <v>45862</v>
      </c>
      <c r="G868">
        <v>1</v>
      </c>
      <c r="H868">
        <v>23014.05</v>
      </c>
      <c r="I868">
        <v>15</v>
      </c>
      <c r="J868" t="s">
        <v>40</v>
      </c>
      <c r="K868">
        <v>3452.11</v>
      </c>
      <c r="L868">
        <v>23014.05</v>
      </c>
      <c r="M868">
        <v>19561.939999999999</v>
      </c>
      <c r="N868" t="s">
        <v>122</v>
      </c>
      <c r="O868">
        <v>2025</v>
      </c>
    </row>
    <row r="869" spans="1:15" x14ac:dyDescent="0.3">
      <c r="A869" t="s">
        <v>954</v>
      </c>
      <c r="B869" t="s">
        <v>43</v>
      </c>
      <c r="C869" t="s">
        <v>17</v>
      </c>
      <c r="D869" t="s">
        <v>157</v>
      </c>
      <c r="E869" t="s">
        <v>56</v>
      </c>
      <c r="F869" s="1">
        <v>45995</v>
      </c>
      <c r="G869">
        <v>8</v>
      </c>
      <c r="H869">
        <v>7364.81</v>
      </c>
      <c r="I869">
        <v>15</v>
      </c>
      <c r="J869" t="s">
        <v>40</v>
      </c>
      <c r="K869">
        <v>8837.77</v>
      </c>
      <c r="L869">
        <v>58918.48</v>
      </c>
      <c r="M869">
        <v>50080.71</v>
      </c>
      <c r="N869" t="s">
        <v>51</v>
      </c>
      <c r="O869">
        <v>2025</v>
      </c>
    </row>
    <row r="870" spans="1:15" x14ac:dyDescent="0.3">
      <c r="A870" t="s">
        <v>955</v>
      </c>
      <c r="B870" t="s">
        <v>29</v>
      </c>
      <c r="C870" t="s">
        <v>62</v>
      </c>
      <c r="D870" t="s">
        <v>99</v>
      </c>
      <c r="E870" t="s">
        <v>44</v>
      </c>
      <c r="F870" s="1">
        <v>45779</v>
      </c>
      <c r="G870">
        <v>6</v>
      </c>
      <c r="H870">
        <v>1417.24</v>
      </c>
      <c r="I870">
        <v>15</v>
      </c>
      <c r="J870" t="s">
        <v>82</v>
      </c>
      <c r="K870">
        <v>1275.52</v>
      </c>
      <c r="L870">
        <v>8503.44</v>
      </c>
      <c r="M870">
        <v>7227.92</v>
      </c>
      <c r="N870" t="s">
        <v>101</v>
      </c>
      <c r="O870">
        <v>2025</v>
      </c>
    </row>
    <row r="871" spans="1:15" x14ac:dyDescent="0.3">
      <c r="A871" t="s">
        <v>956</v>
      </c>
      <c r="B871" t="s">
        <v>89</v>
      </c>
      <c r="C871" t="s">
        <v>17</v>
      </c>
      <c r="D871" t="s">
        <v>157</v>
      </c>
      <c r="E871" t="s">
        <v>81</v>
      </c>
      <c r="F871" s="1">
        <v>45414</v>
      </c>
      <c r="G871">
        <v>3</v>
      </c>
      <c r="H871">
        <v>6990.92</v>
      </c>
      <c r="I871">
        <v>20</v>
      </c>
      <c r="J871" t="s">
        <v>82</v>
      </c>
      <c r="K871">
        <v>4194.55</v>
      </c>
      <c r="L871">
        <v>20972.76</v>
      </c>
      <c r="M871">
        <v>16778.21</v>
      </c>
      <c r="N871" t="s">
        <v>101</v>
      </c>
      <c r="O871">
        <v>2024</v>
      </c>
    </row>
    <row r="872" spans="1:15" x14ac:dyDescent="0.3">
      <c r="A872" t="s">
        <v>957</v>
      </c>
      <c r="B872" t="s">
        <v>47</v>
      </c>
      <c r="C872" t="s">
        <v>17</v>
      </c>
      <c r="D872" t="s">
        <v>59</v>
      </c>
      <c r="E872" t="s">
        <v>19</v>
      </c>
      <c r="F872" s="1">
        <v>45638</v>
      </c>
      <c r="G872">
        <v>4</v>
      </c>
      <c r="H872">
        <v>28840.36</v>
      </c>
      <c r="I872">
        <v>15</v>
      </c>
      <c r="J872" t="s">
        <v>20</v>
      </c>
      <c r="K872">
        <v>17304.22</v>
      </c>
      <c r="L872">
        <v>115361.44</v>
      </c>
      <c r="M872">
        <v>98057.22</v>
      </c>
      <c r="N872" t="s">
        <v>51</v>
      </c>
      <c r="O872">
        <v>2024</v>
      </c>
    </row>
    <row r="873" spans="1:15" x14ac:dyDescent="0.3">
      <c r="A873" t="s">
        <v>958</v>
      </c>
      <c r="B873" t="s">
        <v>38</v>
      </c>
      <c r="C873" t="s">
        <v>17</v>
      </c>
      <c r="D873" t="s">
        <v>59</v>
      </c>
      <c r="E873" t="s">
        <v>56</v>
      </c>
      <c r="F873" s="1">
        <v>45577</v>
      </c>
      <c r="G873">
        <v>10</v>
      </c>
      <c r="H873">
        <v>28831.34</v>
      </c>
      <c r="I873">
        <v>15</v>
      </c>
      <c r="J873" t="s">
        <v>71</v>
      </c>
      <c r="K873">
        <v>43247.01</v>
      </c>
      <c r="L873">
        <v>288313.40000000002</v>
      </c>
      <c r="M873">
        <v>245066.39</v>
      </c>
      <c r="N873" t="s">
        <v>57</v>
      </c>
      <c r="O873">
        <v>2024</v>
      </c>
    </row>
    <row r="874" spans="1:15" x14ac:dyDescent="0.3">
      <c r="A874" t="s">
        <v>959</v>
      </c>
      <c r="B874" t="s">
        <v>61</v>
      </c>
      <c r="C874" t="s">
        <v>62</v>
      </c>
      <c r="D874" t="s">
        <v>99</v>
      </c>
      <c r="E874" t="s">
        <v>81</v>
      </c>
      <c r="F874" s="1">
        <v>45788</v>
      </c>
      <c r="G874">
        <v>9</v>
      </c>
      <c r="H874">
        <v>1454.58</v>
      </c>
      <c r="I874">
        <v>15</v>
      </c>
      <c r="J874" t="s">
        <v>31</v>
      </c>
      <c r="K874">
        <v>1963.68</v>
      </c>
      <c r="L874">
        <v>13091.22</v>
      </c>
      <c r="M874">
        <v>11127.54</v>
      </c>
      <c r="N874" t="s">
        <v>101</v>
      </c>
      <c r="O874">
        <v>2025</v>
      </c>
    </row>
    <row r="875" spans="1:15" x14ac:dyDescent="0.3">
      <c r="A875" t="s">
        <v>960</v>
      </c>
      <c r="B875" t="s">
        <v>43</v>
      </c>
      <c r="C875" t="s">
        <v>17</v>
      </c>
      <c r="D875" t="s">
        <v>18</v>
      </c>
      <c r="E875" t="s">
        <v>56</v>
      </c>
      <c r="F875" s="1">
        <v>45528</v>
      </c>
      <c r="G875">
        <v>3</v>
      </c>
      <c r="H875">
        <v>58983.01</v>
      </c>
      <c r="I875">
        <v>0</v>
      </c>
      <c r="J875" t="s">
        <v>71</v>
      </c>
      <c r="K875">
        <v>0</v>
      </c>
      <c r="L875">
        <v>176949.03</v>
      </c>
      <c r="M875">
        <v>176949.03</v>
      </c>
      <c r="N875" t="s">
        <v>21</v>
      </c>
      <c r="O875">
        <v>2024</v>
      </c>
    </row>
    <row r="876" spans="1:15" x14ac:dyDescent="0.3">
      <c r="A876" t="s">
        <v>961</v>
      </c>
      <c r="B876" t="s">
        <v>61</v>
      </c>
      <c r="C876" t="s">
        <v>17</v>
      </c>
      <c r="D876" t="s">
        <v>157</v>
      </c>
      <c r="E876" t="s">
        <v>25</v>
      </c>
      <c r="F876" s="1">
        <v>45683</v>
      </c>
      <c r="G876">
        <v>10</v>
      </c>
      <c r="H876">
        <v>7488.61</v>
      </c>
      <c r="I876">
        <v>5</v>
      </c>
      <c r="J876" t="s">
        <v>36</v>
      </c>
      <c r="K876">
        <v>3744.31</v>
      </c>
      <c r="L876">
        <v>74886.100000000006</v>
      </c>
      <c r="M876">
        <v>71141.789999999994</v>
      </c>
      <c r="N876" t="s">
        <v>116</v>
      </c>
      <c r="O876">
        <v>2025</v>
      </c>
    </row>
    <row r="877" spans="1:15" x14ac:dyDescent="0.3">
      <c r="A877" t="s">
        <v>962</v>
      </c>
      <c r="B877" t="s">
        <v>93</v>
      </c>
      <c r="C877" t="s">
        <v>62</v>
      </c>
      <c r="D877" t="s">
        <v>132</v>
      </c>
      <c r="E877" t="s">
        <v>25</v>
      </c>
      <c r="F877" s="1">
        <v>45968</v>
      </c>
      <c r="G877">
        <v>9</v>
      </c>
      <c r="H877">
        <v>3002.71</v>
      </c>
      <c r="I877">
        <v>15</v>
      </c>
      <c r="J877" t="s">
        <v>82</v>
      </c>
      <c r="K877">
        <v>4053.66</v>
      </c>
      <c r="L877">
        <v>27024.39</v>
      </c>
      <c r="M877">
        <v>22970.73</v>
      </c>
      <c r="N877" t="s">
        <v>96</v>
      </c>
      <c r="O877">
        <v>2025</v>
      </c>
    </row>
    <row r="878" spans="1:15" x14ac:dyDescent="0.3">
      <c r="A878" t="s">
        <v>963</v>
      </c>
      <c r="B878" t="s">
        <v>61</v>
      </c>
      <c r="C878" t="s">
        <v>34</v>
      </c>
      <c r="D878" t="s">
        <v>48</v>
      </c>
      <c r="E878" t="s">
        <v>56</v>
      </c>
      <c r="F878" s="1">
        <v>45808</v>
      </c>
      <c r="G878">
        <v>5</v>
      </c>
      <c r="H878">
        <v>8284.8799999999992</v>
      </c>
      <c r="I878">
        <v>20</v>
      </c>
      <c r="J878" t="s">
        <v>71</v>
      </c>
      <c r="K878">
        <v>8284.8799999999992</v>
      </c>
      <c r="L878">
        <v>41424.400000000001</v>
      </c>
      <c r="M878">
        <v>33139.519999999997</v>
      </c>
      <c r="N878" t="s">
        <v>101</v>
      </c>
      <c r="O878">
        <v>2025</v>
      </c>
    </row>
    <row r="879" spans="1:15" x14ac:dyDescent="0.3">
      <c r="A879" t="s">
        <v>964</v>
      </c>
      <c r="B879" t="s">
        <v>74</v>
      </c>
      <c r="C879" t="s">
        <v>54</v>
      </c>
      <c r="D879" t="s">
        <v>70</v>
      </c>
      <c r="E879" t="s">
        <v>25</v>
      </c>
      <c r="F879" s="1">
        <v>45413</v>
      </c>
      <c r="G879">
        <v>7</v>
      </c>
      <c r="H879">
        <v>2531.3200000000002</v>
      </c>
      <c r="I879">
        <v>15</v>
      </c>
      <c r="J879" t="s">
        <v>31</v>
      </c>
      <c r="K879">
        <v>2657.89</v>
      </c>
      <c r="L879">
        <v>17719.240000000002</v>
      </c>
      <c r="M879">
        <v>15061.35</v>
      </c>
      <c r="N879" t="s">
        <v>101</v>
      </c>
      <c r="O879">
        <v>2024</v>
      </c>
    </row>
    <row r="880" spans="1:15" x14ac:dyDescent="0.3">
      <c r="A880" t="s">
        <v>965</v>
      </c>
      <c r="B880" t="s">
        <v>109</v>
      </c>
      <c r="C880" t="s">
        <v>90</v>
      </c>
      <c r="D880" t="s">
        <v>152</v>
      </c>
      <c r="E880" t="s">
        <v>25</v>
      </c>
      <c r="F880" s="1">
        <v>45862</v>
      </c>
      <c r="G880">
        <v>5</v>
      </c>
      <c r="H880">
        <v>11211.75</v>
      </c>
      <c r="I880">
        <v>5</v>
      </c>
      <c r="J880" t="s">
        <v>36</v>
      </c>
      <c r="K880">
        <v>2802.94</v>
      </c>
      <c r="L880">
        <v>56058.75</v>
      </c>
      <c r="M880">
        <v>53255.81</v>
      </c>
      <c r="N880" t="s">
        <v>122</v>
      </c>
      <c r="O880">
        <v>2025</v>
      </c>
    </row>
    <row r="881" spans="1:15" x14ac:dyDescent="0.3">
      <c r="A881" t="s">
        <v>966</v>
      </c>
      <c r="B881" t="s">
        <v>53</v>
      </c>
      <c r="C881" t="s">
        <v>90</v>
      </c>
      <c r="D881" t="s">
        <v>152</v>
      </c>
      <c r="E881" t="s">
        <v>19</v>
      </c>
      <c r="F881" s="1">
        <v>45791</v>
      </c>
      <c r="G881">
        <v>2</v>
      </c>
      <c r="H881">
        <v>10422.14</v>
      </c>
      <c r="I881">
        <v>15</v>
      </c>
      <c r="J881" t="s">
        <v>31</v>
      </c>
      <c r="K881">
        <v>3126.64</v>
      </c>
      <c r="L881">
        <v>20844.28</v>
      </c>
      <c r="M881">
        <v>17717.64</v>
      </c>
      <c r="N881" t="s">
        <v>101</v>
      </c>
      <c r="O881">
        <v>2025</v>
      </c>
    </row>
    <row r="882" spans="1:15" x14ac:dyDescent="0.3">
      <c r="A882" t="s">
        <v>967</v>
      </c>
      <c r="B882" t="s">
        <v>93</v>
      </c>
      <c r="C882" t="s">
        <v>54</v>
      </c>
      <c r="D882" t="s">
        <v>77</v>
      </c>
      <c r="E882" t="s">
        <v>56</v>
      </c>
      <c r="F882" s="1">
        <v>45867</v>
      </c>
      <c r="G882">
        <v>3</v>
      </c>
      <c r="H882">
        <v>5133.3599999999997</v>
      </c>
      <c r="I882">
        <v>15</v>
      </c>
      <c r="J882" t="s">
        <v>71</v>
      </c>
      <c r="K882">
        <v>2310.0100000000002</v>
      </c>
      <c r="L882">
        <v>15400.08</v>
      </c>
      <c r="M882">
        <v>13090.07</v>
      </c>
      <c r="N882" t="s">
        <v>122</v>
      </c>
      <c r="O882">
        <v>2025</v>
      </c>
    </row>
    <row r="883" spans="1:15" x14ac:dyDescent="0.3">
      <c r="A883" t="s">
        <v>968</v>
      </c>
      <c r="B883" t="s">
        <v>93</v>
      </c>
      <c r="C883" t="s">
        <v>62</v>
      </c>
      <c r="D883" t="s">
        <v>99</v>
      </c>
      <c r="E883" t="s">
        <v>56</v>
      </c>
      <c r="F883" s="1">
        <v>45583</v>
      </c>
      <c r="G883">
        <v>6</v>
      </c>
      <c r="H883">
        <v>1510.34</v>
      </c>
      <c r="I883">
        <v>20</v>
      </c>
      <c r="J883" t="s">
        <v>45</v>
      </c>
      <c r="K883">
        <v>1812.41</v>
      </c>
      <c r="L883">
        <v>9062.0400000000009</v>
      </c>
      <c r="M883">
        <v>7249.63</v>
      </c>
      <c r="N883" t="s">
        <v>57</v>
      </c>
      <c r="O883">
        <v>2024</v>
      </c>
    </row>
    <row r="884" spans="1:15" x14ac:dyDescent="0.3">
      <c r="A884" t="s">
        <v>969</v>
      </c>
      <c r="B884" t="s">
        <v>38</v>
      </c>
      <c r="C884" t="s">
        <v>17</v>
      </c>
      <c r="D884" t="s">
        <v>59</v>
      </c>
      <c r="E884" t="s">
        <v>19</v>
      </c>
      <c r="F884" s="1">
        <v>45889</v>
      </c>
      <c r="G884">
        <v>1</v>
      </c>
      <c r="H884">
        <v>27282.46</v>
      </c>
      <c r="I884">
        <v>10</v>
      </c>
      <c r="J884" t="s">
        <v>45</v>
      </c>
      <c r="K884">
        <v>2728.25</v>
      </c>
      <c r="L884">
        <v>27282.46</v>
      </c>
      <c r="M884">
        <v>24554.21</v>
      </c>
      <c r="N884" t="s">
        <v>21</v>
      </c>
      <c r="O884">
        <v>2025</v>
      </c>
    </row>
    <row r="885" spans="1:15" x14ac:dyDescent="0.3">
      <c r="A885" t="s">
        <v>970</v>
      </c>
      <c r="B885" t="s">
        <v>23</v>
      </c>
      <c r="C885" t="s">
        <v>90</v>
      </c>
      <c r="D885" t="s">
        <v>105</v>
      </c>
      <c r="E885" t="s">
        <v>19</v>
      </c>
      <c r="F885" s="1">
        <v>45713</v>
      </c>
      <c r="G885">
        <v>6</v>
      </c>
      <c r="H885">
        <v>3199.39</v>
      </c>
      <c r="I885">
        <v>5</v>
      </c>
      <c r="J885" t="s">
        <v>45</v>
      </c>
      <c r="K885">
        <v>959.82</v>
      </c>
      <c r="L885">
        <v>19196.34</v>
      </c>
      <c r="M885">
        <v>18236.52</v>
      </c>
      <c r="N885" t="s">
        <v>41</v>
      </c>
      <c r="O885">
        <v>2025</v>
      </c>
    </row>
    <row r="886" spans="1:15" x14ac:dyDescent="0.3">
      <c r="A886" t="s">
        <v>971</v>
      </c>
      <c r="B886" t="s">
        <v>61</v>
      </c>
      <c r="C886" t="s">
        <v>34</v>
      </c>
      <c r="D886" t="s">
        <v>85</v>
      </c>
      <c r="E886" t="s">
        <v>19</v>
      </c>
      <c r="F886" s="1">
        <v>45996</v>
      </c>
      <c r="G886">
        <v>2</v>
      </c>
      <c r="H886">
        <v>14747.5</v>
      </c>
      <c r="I886">
        <v>0</v>
      </c>
      <c r="J886" t="s">
        <v>82</v>
      </c>
      <c r="K886">
        <v>0</v>
      </c>
      <c r="L886">
        <v>29495</v>
      </c>
      <c r="M886">
        <v>29495</v>
      </c>
      <c r="N886" t="s">
        <v>51</v>
      </c>
      <c r="O886">
        <v>2025</v>
      </c>
    </row>
    <row r="887" spans="1:15" x14ac:dyDescent="0.3">
      <c r="A887" t="s">
        <v>972</v>
      </c>
      <c r="B887" t="s">
        <v>109</v>
      </c>
      <c r="C887" t="s">
        <v>62</v>
      </c>
      <c r="D887" t="s">
        <v>63</v>
      </c>
      <c r="E887" t="s">
        <v>81</v>
      </c>
      <c r="F887" s="1">
        <v>45330</v>
      </c>
      <c r="G887">
        <v>8</v>
      </c>
      <c r="H887">
        <v>1916</v>
      </c>
      <c r="I887">
        <v>15</v>
      </c>
      <c r="J887" t="s">
        <v>45</v>
      </c>
      <c r="K887">
        <v>2299.1999999999998</v>
      </c>
      <c r="L887">
        <v>15328</v>
      </c>
      <c r="M887">
        <v>13028.8</v>
      </c>
      <c r="N887" t="s">
        <v>41</v>
      </c>
      <c r="O887">
        <v>2024</v>
      </c>
    </row>
    <row r="888" spans="1:15" x14ac:dyDescent="0.3">
      <c r="A888" t="s">
        <v>973</v>
      </c>
      <c r="B888" t="s">
        <v>114</v>
      </c>
      <c r="C888" t="s">
        <v>54</v>
      </c>
      <c r="D888" t="s">
        <v>77</v>
      </c>
      <c r="E888" t="s">
        <v>56</v>
      </c>
      <c r="F888" s="1">
        <v>45312</v>
      </c>
      <c r="G888">
        <v>8</v>
      </c>
      <c r="H888">
        <v>5234.99</v>
      </c>
      <c r="I888">
        <v>10</v>
      </c>
      <c r="J888" t="s">
        <v>40</v>
      </c>
      <c r="K888">
        <v>4187.99</v>
      </c>
      <c r="L888">
        <v>41879.919999999998</v>
      </c>
      <c r="M888">
        <v>37691.93</v>
      </c>
      <c r="N888" t="s">
        <v>116</v>
      </c>
      <c r="O888">
        <v>2024</v>
      </c>
    </row>
    <row r="889" spans="1:15" x14ac:dyDescent="0.3">
      <c r="A889" t="s">
        <v>974</v>
      </c>
      <c r="B889" t="s">
        <v>23</v>
      </c>
      <c r="C889" t="s">
        <v>90</v>
      </c>
      <c r="D889" t="s">
        <v>91</v>
      </c>
      <c r="E889" t="s">
        <v>19</v>
      </c>
      <c r="F889" s="1">
        <v>45792</v>
      </c>
      <c r="G889">
        <v>2</v>
      </c>
      <c r="H889">
        <v>1609.07</v>
      </c>
      <c r="I889">
        <v>5</v>
      </c>
      <c r="J889" t="s">
        <v>82</v>
      </c>
      <c r="K889">
        <v>160.91</v>
      </c>
      <c r="L889">
        <v>3218.14</v>
      </c>
      <c r="M889">
        <v>3057.23</v>
      </c>
      <c r="N889" t="s">
        <v>101</v>
      </c>
      <c r="O889">
        <v>2025</v>
      </c>
    </row>
    <row r="890" spans="1:15" x14ac:dyDescent="0.3">
      <c r="A890" t="s">
        <v>975</v>
      </c>
      <c r="B890" t="s">
        <v>65</v>
      </c>
      <c r="C890" t="s">
        <v>62</v>
      </c>
      <c r="D890" t="s">
        <v>99</v>
      </c>
      <c r="E890" t="s">
        <v>44</v>
      </c>
      <c r="F890" s="1">
        <v>45462</v>
      </c>
      <c r="G890">
        <v>10</v>
      </c>
      <c r="H890">
        <v>1462.32</v>
      </c>
      <c r="I890">
        <v>15</v>
      </c>
      <c r="J890" t="s">
        <v>45</v>
      </c>
      <c r="K890">
        <v>2193.48</v>
      </c>
      <c r="L890">
        <v>14623.2</v>
      </c>
      <c r="M890">
        <v>12429.72</v>
      </c>
      <c r="N890" t="s">
        <v>72</v>
      </c>
      <c r="O890">
        <v>2024</v>
      </c>
    </row>
    <row r="891" spans="1:15" x14ac:dyDescent="0.3">
      <c r="A891" t="s">
        <v>976</v>
      </c>
      <c r="B891" t="s">
        <v>61</v>
      </c>
      <c r="C891" t="s">
        <v>34</v>
      </c>
      <c r="D891" t="s">
        <v>35</v>
      </c>
      <c r="E891" t="s">
        <v>44</v>
      </c>
      <c r="F891" s="1">
        <v>45840</v>
      </c>
      <c r="G891">
        <v>4</v>
      </c>
      <c r="H891">
        <v>24295.97</v>
      </c>
      <c r="I891">
        <v>0</v>
      </c>
      <c r="J891" t="s">
        <v>82</v>
      </c>
      <c r="K891">
        <v>0</v>
      </c>
      <c r="L891">
        <v>97183.88</v>
      </c>
      <c r="M891">
        <v>97183.88</v>
      </c>
      <c r="N891" t="s">
        <v>122</v>
      </c>
      <c r="O891">
        <v>2025</v>
      </c>
    </row>
    <row r="892" spans="1:15" x14ac:dyDescent="0.3">
      <c r="A892" t="s">
        <v>977</v>
      </c>
      <c r="B892" t="s">
        <v>23</v>
      </c>
      <c r="C892" t="s">
        <v>62</v>
      </c>
      <c r="D892" t="s">
        <v>132</v>
      </c>
      <c r="E892" t="s">
        <v>44</v>
      </c>
      <c r="F892" s="1">
        <v>45931</v>
      </c>
      <c r="G892">
        <v>2</v>
      </c>
      <c r="H892">
        <v>2968.42</v>
      </c>
      <c r="I892">
        <v>20</v>
      </c>
      <c r="J892" t="s">
        <v>20</v>
      </c>
      <c r="K892">
        <v>1187.3699999999999</v>
      </c>
      <c r="L892">
        <v>5936.84</v>
      </c>
      <c r="M892">
        <v>4749.47</v>
      </c>
      <c r="N892" t="s">
        <v>57</v>
      </c>
      <c r="O892">
        <v>2025</v>
      </c>
    </row>
    <row r="893" spans="1:15" x14ac:dyDescent="0.3">
      <c r="A893" t="s">
        <v>978</v>
      </c>
      <c r="B893" t="s">
        <v>33</v>
      </c>
      <c r="C893" t="s">
        <v>17</v>
      </c>
      <c r="D893" t="s">
        <v>24</v>
      </c>
      <c r="E893" t="s">
        <v>19</v>
      </c>
      <c r="F893" s="1">
        <v>45872</v>
      </c>
      <c r="G893">
        <v>9</v>
      </c>
      <c r="H893">
        <v>3056.45</v>
      </c>
      <c r="I893">
        <v>5</v>
      </c>
      <c r="J893" t="s">
        <v>82</v>
      </c>
      <c r="K893">
        <v>1375.4</v>
      </c>
      <c r="L893">
        <v>27508.05</v>
      </c>
      <c r="M893">
        <v>26132.65</v>
      </c>
      <c r="N893" t="s">
        <v>21</v>
      </c>
      <c r="O893">
        <v>2025</v>
      </c>
    </row>
    <row r="894" spans="1:15" x14ac:dyDescent="0.3">
      <c r="A894" t="s">
        <v>979</v>
      </c>
      <c r="B894" t="s">
        <v>61</v>
      </c>
      <c r="C894" t="s">
        <v>62</v>
      </c>
      <c r="D894" t="s">
        <v>95</v>
      </c>
      <c r="E894" t="s">
        <v>44</v>
      </c>
      <c r="F894" s="1">
        <v>45808</v>
      </c>
      <c r="G894">
        <v>5</v>
      </c>
      <c r="H894">
        <v>806.58</v>
      </c>
      <c r="I894">
        <v>20</v>
      </c>
      <c r="J894" t="s">
        <v>40</v>
      </c>
      <c r="K894">
        <v>806.58</v>
      </c>
      <c r="L894">
        <v>4032.9</v>
      </c>
      <c r="M894">
        <v>3226.32</v>
      </c>
      <c r="N894" t="s">
        <v>101</v>
      </c>
      <c r="O894">
        <v>2025</v>
      </c>
    </row>
    <row r="895" spans="1:15" x14ac:dyDescent="0.3">
      <c r="A895" t="s">
        <v>980</v>
      </c>
      <c r="B895" t="s">
        <v>23</v>
      </c>
      <c r="C895" t="s">
        <v>62</v>
      </c>
      <c r="D895" t="s">
        <v>63</v>
      </c>
      <c r="E895" t="s">
        <v>56</v>
      </c>
      <c r="F895" s="1">
        <v>45931</v>
      </c>
      <c r="G895">
        <v>9</v>
      </c>
      <c r="H895">
        <v>2006.35</v>
      </c>
      <c r="I895">
        <v>20</v>
      </c>
      <c r="J895" t="s">
        <v>40</v>
      </c>
      <c r="K895">
        <v>3611.43</v>
      </c>
      <c r="L895">
        <v>18057.150000000001</v>
      </c>
      <c r="M895">
        <v>14445.72</v>
      </c>
      <c r="N895" t="s">
        <v>57</v>
      </c>
      <c r="O895">
        <v>2025</v>
      </c>
    </row>
    <row r="896" spans="1:15" x14ac:dyDescent="0.3">
      <c r="A896" t="s">
        <v>981</v>
      </c>
      <c r="B896" t="s">
        <v>61</v>
      </c>
      <c r="C896" t="s">
        <v>34</v>
      </c>
      <c r="D896" t="s">
        <v>80</v>
      </c>
      <c r="E896" t="s">
        <v>30</v>
      </c>
      <c r="F896" s="1">
        <v>45882</v>
      </c>
      <c r="G896">
        <v>8</v>
      </c>
      <c r="H896">
        <v>5719.43</v>
      </c>
      <c r="I896">
        <v>15</v>
      </c>
      <c r="J896" t="s">
        <v>36</v>
      </c>
      <c r="K896">
        <v>6863.32</v>
      </c>
      <c r="L896">
        <v>45755.44</v>
      </c>
      <c r="M896">
        <v>38892.120000000003</v>
      </c>
      <c r="N896" t="s">
        <v>21</v>
      </c>
      <c r="O896">
        <v>2025</v>
      </c>
    </row>
    <row r="897" spans="1:15" x14ac:dyDescent="0.3">
      <c r="A897" t="s">
        <v>982</v>
      </c>
      <c r="B897" t="s">
        <v>74</v>
      </c>
      <c r="C897" t="s">
        <v>62</v>
      </c>
      <c r="D897" t="s">
        <v>132</v>
      </c>
      <c r="E897" t="s">
        <v>81</v>
      </c>
      <c r="F897" s="1">
        <v>45871</v>
      </c>
      <c r="G897">
        <v>1</v>
      </c>
      <c r="H897">
        <v>2576.42</v>
      </c>
      <c r="I897">
        <v>10</v>
      </c>
      <c r="J897" t="s">
        <v>31</v>
      </c>
      <c r="K897">
        <v>257.64</v>
      </c>
      <c r="L897">
        <v>2576.42</v>
      </c>
      <c r="M897">
        <v>2318.7800000000002</v>
      </c>
      <c r="N897" t="s">
        <v>21</v>
      </c>
      <c r="O897">
        <v>2025</v>
      </c>
    </row>
    <row r="898" spans="1:15" x14ac:dyDescent="0.3">
      <c r="A898" t="s">
        <v>983</v>
      </c>
      <c r="B898" t="s">
        <v>29</v>
      </c>
      <c r="C898" t="s">
        <v>90</v>
      </c>
      <c r="D898" t="s">
        <v>107</v>
      </c>
      <c r="E898" t="s">
        <v>50</v>
      </c>
      <c r="F898" s="1">
        <v>45737</v>
      </c>
      <c r="G898">
        <v>7</v>
      </c>
      <c r="H898">
        <v>11755.96</v>
      </c>
      <c r="I898">
        <v>0</v>
      </c>
      <c r="J898" t="s">
        <v>40</v>
      </c>
      <c r="K898">
        <v>0</v>
      </c>
      <c r="L898">
        <v>82291.72</v>
      </c>
      <c r="M898">
        <v>82291.72</v>
      </c>
      <c r="N898" t="s">
        <v>83</v>
      </c>
      <c r="O898">
        <v>2025</v>
      </c>
    </row>
    <row r="899" spans="1:15" x14ac:dyDescent="0.3">
      <c r="A899" t="s">
        <v>984</v>
      </c>
      <c r="B899" t="s">
        <v>43</v>
      </c>
      <c r="C899" t="s">
        <v>34</v>
      </c>
      <c r="D899" t="s">
        <v>35</v>
      </c>
      <c r="E899" t="s">
        <v>44</v>
      </c>
      <c r="F899" s="1">
        <v>45953</v>
      </c>
      <c r="G899">
        <v>3</v>
      </c>
      <c r="H899">
        <v>26513.07</v>
      </c>
      <c r="I899">
        <v>20</v>
      </c>
      <c r="J899" t="s">
        <v>40</v>
      </c>
      <c r="K899">
        <v>15907.84</v>
      </c>
      <c r="L899">
        <v>79539.210000000006</v>
      </c>
      <c r="M899">
        <v>63631.37</v>
      </c>
      <c r="N899" t="s">
        <v>57</v>
      </c>
      <c r="O899">
        <v>2025</v>
      </c>
    </row>
    <row r="900" spans="1:15" x14ac:dyDescent="0.3">
      <c r="A900" t="s">
        <v>985</v>
      </c>
      <c r="B900" t="s">
        <v>29</v>
      </c>
      <c r="C900" t="s">
        <v>34</v>
      </c>
      <c r="D900" t="s">
        <v>35</v>
      </c>
      <c r="E900" t="s">
        <v>25</v>
      </c>
      <c r="F900" s="1">
        <v>45488</v>
      </c>
      <c r="G900">
        <v>1</v>
      </c>
      <c r="H900">
        <v>24034.92</v>
      </c>
      <c r="I900">
        <v>10</v>
      </c>
      <c r="J900" t="s">
        <v>36</v>
      </c>
      <c r="K900">
        <v>2403.4899999999998</v>
      </c>
      <c r="L900">
        <v>24034.92</v>
      </c>
      <c r="M900">
        <v>21631.43</v>
      </c>
      <c r="N900" t="s">
        <v>122</v>
      </c>
      <c r="O900">
        <v>2024</v>
      </c>
    </row>
    <row r="901" spans="1:15" x14ac:dyDescent="0.3">
      <c r="A901" t="s">
        <v>986</v>
      </c>
      <c r="B901" t="s">
        <v>65</v>
      </c>
      <c r="C901" t="s">
        <v>90</v>
      </c>
      <c r="D901" t="s">
        <v>152</v>
      </c>
      <c r="E901" t="s">
        <v>56</v>
      </c>
      <c r="F901" s="1">
        <v>45954</v>
      </c>
      <c r="G901">
        <v>1</v>
      </c>
      <c r="H901">
        <v>10455.469999999999</v>
      </c>
      <c r="I901">
        <v>10</v>
      </c>
      <c r="J901" t="s">
        <v>31</v>
      </c>
      <c r="K901">
        <v>1045.55</v>
      </c>
      <c r="L901">
        <v>10455.469999999999</v>
      </c>
      <c r="M901">
        <v>9409.92</v>
      </c>
      <c r="N901" t="s">
        <v>57</v>
      </c>
      <c r="O901">
        <v>2025</v>
      </c>
    </row>
    <row r="902" spans="1:15" x14ac:dyDescent="0.3">
      <c r="A902" t="s">
        <v>987</v>
      </c>
      <c r="B902" t="s">
        <v>43</v>
      </c>
      <c r="C902" t="s">
        <v>34</v>
      </c>
      <c r="D902" t="s">
        <v>80</v>
      </c>
      <c r="E902" t="s">
        <v>44</v>
      </c>
      <c r="F902" s="1">
        <v>45966</v>
      </c>
      <c r="G902">
        <v>9</v>
      </c>
      <c r="H902">
        <v>6230.38</v>
      </c>
      <c r="I902">
        <v>0</v>
      </c>
      <c r="J902" t="s">
        <v>40</v>
      </c>
      <c r="K902">
        <v>0</v>
      </c>
      <c r="L902">
        <v>56073.42</v>
      </c>
      <c r="M902">
        <v>56073.42</v>
      </c>
      <c r="N902" t="s">
        <v>96</v>
      </c>
      <c r="O902">
        <v>2025</v>
      </c>
    </row>
    <row r="903" spans="1:15" x14ac:dyDescent="0.3">
      <c r="A903" t="s">
        <v>988</v>
      </c>
      <c r="B903" t="s">
        <v>109</v>
      </c>
      <c r="C903" t="s">
        <v>90</v>
      </c>
      <c r="D903" t="s">
        <v>105</v>
      </c>
      <c r="E903" t="s">
        <v>44</v>
      </c>
      <c r="F903" s="1">
        <v>45613</v>
      </c>
      <c r="G903">
        <v>10</v>
      </c>
      <c r="H903">
        <v>3751.8</v>
      </c>
      <c r="I903">
        <v>0</v>
      </c>
      <c r="J903" t="s">
        <v>82</v>
      </c>
      <c r="K903">
        <v>0</v>
      </c>
      <c r="L903">
        <v>37518</v>
      </c>
      <c r="M903">
        <v>37518</v>
      </c>
      <c r="N903" t="s">
        <v>96</v>
      </c>
      <c r="O903">
        <v>2024</v>
      </c>
    </row>
    <row r="904" spans="1:15" x14ac:dyDescent="0.3">
      <c r="A904" t="s">
        <v>989</v>
      </c>
      <c r="B904" t="s">
        <v>61</v>
      </c>
      <c r="C904" t="s">
        <v>90</v>
      </c>
      <c r="D904" t="s">
        <v>115</v>
      </c>
      <c r="E904" t="s">
        <v>30</v>
      </c>
      <c r="F904" s="1">
        <v>45698</v>
      </c>
      <c r="G904">
        <v>3</v>
      </c>
      <c r="H904">
        <v>7672.08</v>
      </c>
      <c r="I904">
        <v>20</v>
      </c>
      <c r="J904" t="s">
        <v>82</v>
      </c>
      <c r="K904">
        <v>4603.25</v>
      </c>
      <c r="L904">
        <v>23016.240000000002</v>
      </c>
      <c r="M904">
        <v>18412.990000000002</v>
      </c>
      <c r="N904" t="s">
        <v>41</v>
      </c>
      <c r="O904">
        <v>2025</v>
      </c>
    </row>
    <row r="905" spans="1:15" x14ac:dyDescent="0.3">
      <c r="A905" t="s">
        <v>990</v>
      </c>
      <c r="B905" t="s">
        <v>65</v>
      </c>
      <c r="C905" t="s">
        <v>54</v>
      </c>
      <c r="D905" t="s">
        <v>70</v>
      </c>
      <c r="E905" t="s">
        <v>30</v>
      </c>
      <c r="F905" s="1">
        <v>45800</v>
      </c>
      <c r="G905">
        <v>2</v>
      </c>
      <c r="H905">
        <v>2398.8000000000002</v>
      </c>
      <c r="I905">
        <v>0</v>
      </c>
      <c r="J905" t="s">
        <v>40</v>
      </c>
      <c r="K905">
        <v>0</v>
      </c>
      <c r="L905">
        <v>4797.6000000000004</v>
      </c>
      <c r="M905">
        <v>4797.6000000000004</v>
      </c>
      <c r="N905" t="s">
        <v>101</v>
      </c>
      <c r="O905">
        <v>2025</v>
      </c>
    </row>
    <row r="906" spans="1:15" x14ac:dyDescent="0.3">
      <c r="A906" t="s">
        <v>991</v>
      </c>
      <c r="B906" t="s">
        <v>38</v>
      </c>
      <c r="C906" t="s">
        <v>62</v>
      </c>
      <c r="D906" t="s">
        <v>119</v>
      </c>
      <c r="E906" t="s">
        <v>81</v>
      </c>
      <c r="F906" s="1">
        <v>45533</v>
      </c>
      <c r="G906">
        <v>7</v>
      </c>
      <c r="H906">
        <v>3340.76</v>
      </c>
      <c r="I906">
        <v>0</v>
      </c>
      <c r="J906" t="s">
        <v>31</v>
      </c>
      <c r="K906">
        <v>0</v>
      </c>
      <c r="L906">
        <v>23385.32</v>
      </c>
      <c r="M906">
        <v>23385.32</v>
      </c>
      <c r="N906" t="s">
        <v>21</v>
      </c>
      <c r="O906">
        <v>2024</v>
      </c>
    </row>
    <row r="907" spans="1:15" x14ac:dyDescent="0.3">
      <c r="A907" t="s">
        <v>992</v>
      </c>
      <c r="B907" t="s">
        <v>43</v>
      </c>
      <c r="C907" t="s">
        <v>34</v>
      </c>
      <c r="D907" t="s">
        <v>85</v>
      </c>
      <c r="E907" t="s">
        <v>56</v>
      </c>
      <c r="F907" s="1">
        <v>45552</v>
      </c>
      <c r="G907">
        <v>10</v>
      </c>
      <c r="H907">
        <v>10967.78</v>
      </c>
      <c r="I907">
        <v>20</v>
      </c>
      <c r="J907" t="s">
        <v>31</v>
      </c>
      <c r="K907">
        <v>21935.56</v>
      </c>
      <c r="L907">
        <v>109677.8</v>
      </c>
      <c r="M907">
        <v>87742.24</v>
      </c>
      <c r="N907" t="s">
        <v>86</v>
      </c>
      <c r="O907">
        <v>2024</v>
      </c>
    </row>
    <row r="908" spans="1:15" x14ac:dyDescent="0.3">
      <c r="A908" t="s">
        <v>993</v>
      </c>
      <c r="B908" t="s">
        <v>33</v>
      </c>
      <c r="C908" t="s">
        <v>62</v>
      </c>
      <c r="D908" t="s">
        <v>95</v>
      </c>
      <c r="E908" t="s">
        <v>81</v>
      </c>
      <c r="F908" s="1">
        <v>45778</v>
      </c>
      <c r="G908">
        <v>4</v>
      </c>
      <c r="H908">
        <v>912.66</v>
      </c>
      <c r="I908">
        <v>5</v>
      </c>
      <c r="J908" t="s">
        <v>31</v>
      </c>
      <c r="K908">
        <v>182.53</v>
      </c>
      <c r="L908">
        <v>3650.64</v>
      </c>
      <c r="M908">
        <v>3468.11</v>
      </c>
      <c r="N908" t="s">
        <v>101</v>
      </c>
      <c r="O908">
        <v>2025</v>
      </c>
    </row>
    <row r="909" spans="1:15" x14ac:dyDescent="0.3">
      <c r="A909" t="s">
        <v>994</v>
      </c>
      <c r="B909" t="s">
        <v>16</v>
      </c>
      <c r="C909" t="s">
        <v>62</v>
      </c>
      <c r="D909" t="s">
        <v>99</v>
      </c>
      <c r="E909" t="s">
        <v>19</v>
      </c>
      <c r="F909" s="1">
        <v>45313</v>
      </c>
      <c r="G909">
        <v>10</v>
      </c>
      <c r="H909">
        <v>1363.05</v>
      </c>
      <c r="I909">
        <v>0</v>
      </c>
      <c r="J909" t="s">
        <v>40</v>
      </c>
      <c r="K909">
        <v>0</v>
      </c>
      <c r="L909">
        <v>13630.5</v>
      </c>
      <c r="M909">
        <v>13630.5</v>
      </c>
      <c r="N909" t="s">
        <v>116</v>
      </c>
      <c r="O909">
        <v>2024</v>
      </c>
    </row>
    <row r="910" spans="1:15" x14ac:dyDescent="0.3">
      <c r="A910" t="s">
        <v>995</v>
      </c>
      <c r="B910" t="s">
        <v>65</v>
      </c>
      <c r="C910" t="s">
        <v>34</v>
      </c>
      <c r="D910" t="s">
        <v>48</v>
      </c>
      <c r="E910" t="s">
        <v>56</v>
      </c>
      <c r="F910" s="1">
        <v>45946</v>
      </c>
      <c r="G910">
        <v>6</v>
      </c>
      <c r="H910">
        <v>9906.9500000000007</v>
      </c>
      <c r="I910">
        <v>0</v>
      </c>
      <c r="J910" t="s">
        <v>40</v>
      </c>
      <c r="K910">
        <v>0</v>
      </c>
      <c r="L910">
        <v>59441.7</v>
      </c>
      <c r="M910">
        <v>59441.7</v>
      </c>
      <c r="N910" t="s">
        <v>57</v>
      </c>
      <c r="O910">
        <v>2025</v>
      </c>
    </row>
    <row r="911" spans="1:15" x14ac:dyDescent="0.3">
      <c r="A911" t="s">
        <v>996</v>
      </c>
      <c r="B911" t="s">
        <v>38</v>
      </c>
      <c r="C911" t="s">
        <v>54</v>
      </c>
      <c r="D911" t="s">
        <v>55</v>
      </c>
      <c r="E911" t="s">
        <v>56</v>
      </c>
      <c r="F911" s="1">
        <v>45300</v>
      </c>
      <c r="G911">
        <v>7</v>
      </c>
      <c r="H911">
        <v>1358.25</v>
      </c>
      <c r="I911">
        <v>10</v>
      </c>
      <c r="J911" t="s">
        <v>31</v>
      </c>
      <c r="K911">
        <v>950.78</v>
      </c>
      <c r="L911">
        <v>9507.75</v>
      </c>
      <c r="M911">
        <v>8556.9699999999993</v>
      </c>
      <c r="N911" t="s">
        <v>116</v>
      </c>
      <c r="O911">
        <v>2024</v>
      </c>
    </row>
    <row r="912" spans="1:15" x14ac:dyDescent="0.3">
      <c r="A912" t="s">
        <v>997</v>
      </c>
      <c r="B912" t="s">
        <v>114</v>
      </c>
      <c r="C912" t="s">
        <v>62</v>
      </c>
      <c r="D912" t="s">
        <v>95</v>
      </c>
      <c r="E912" t="s">
        <v>44</v>
      </c>
      <c r="F912" s="1">
        <v>45596</v>
      </c>
      <c r="G912">
        <v>4</v>
      </c>
      <c r="H912">
        <v>981.07</v>
      </c>
      <c r="I912">
        <v>5</v>
      </c>
      <c r="J912" t="s">
        <v>20</v>
      </c>
      <c r="K912">
        <v>196.21</v>
      </c>
      <c r="L912">
        <v>3924.28</v>
      </c>
      <c r="M912">
        <v>3728.07</v>
      </c>
      <c r="N912" t="s">
        <v>57</v>
      </c>
      <c r="O912">
        <v>2024</v>
      </c>
    </row>
    <row r="913" spans="1:15" x14ac:dyDescent="0.3">
      <c r="A913" t="s">
        <v>998</v>
      </c>
      <c r="B913" t="s">
        <v>114</v>
      </c>
      <c r="C913" t="s">
        <v>90</v>
      </c>
      <c r="D913" t="s">
        <v>115</v>
      </c>
      <c r="E913" t="s">
        <v>44</v>
      </c>
      <c r="F913" s="1">
        <v>45326</v>
      </c>
      <c r="G913">
        <v>5</v>
      </c>
      <c r="H913">
        <v>8932.89</v>
      </c>
      <c r="I913">
        <v>15</v>
      </c>
      <c r="J913" t="s">
        <v>31</v>
      </c>
      <c r="K913">
        <v>6699.67</v>
      </c>
      <c r="L913">
        <v>44664.45</v>
      </c>
      <c r="M913">
        <v>37964.78</v>
      </c>
      <c r="N913" t="s">
        <v>41</v>
      </c>
      <c r="O913">
        <v>2024</v>
      </c>
    </row>
    <row r="914" spans="1:15" x14ac:dyDescent="0.3">
      <c r="A914" t="s">
        <v>999</v>
      </c>
      <c r="B914" t="s">
        <v>114</v>
      </c>
      <c r="C914" t="s">
        <v>90</v>
      </c>
      <c r="D914" t="s">
        <v>152</v>
      </c>
      <c r="E914" t="s">
        <v>44</v>
      </c>
      <c r="F914" s="1">
        <v>45724</v>
      </c>
      <c r="G914">
        <v>2</v>
      </c>
      <c r="H914">
        <v>11061</v>
      </c>
      <c r="I914">
        <v>10</v>
      </c>
      <c r="J914" t="s">
        <v>45</v>
      </c>
      <c r="K914">
        <v>2212.1999999999998</v>
      </c>
      <c r="L914">
        <v>22122</v>
      </c>
      <c r="M914">
        <v>19909.8</v>
      </c>
      <c r="N914" t="s">
        <v>83</v>
      </c>
      <c r="O914">
        <v>2025</v>
      </c>
    </row>
    <row r="915" spans="1:15" x14ac:dyDescent="0.3">
      <c r="A915" t="s">
        <v>1000</v>
      </c>
      <c r="B915" t="s">
        <v>33</v>
      </c>
      <c r="C915" t="s">
        <v>54</v>
      </c>
      <c r="D915" t="s">
        <v>70</v>
      </c>
      <c r="E915" t="s">
        <v>56</v>
      </c>
      <c r="F915" s="1">
        <v>45756</v>
      </c>
      <c r="G915">
        <v>1</v>
      </c>
      <c r="H915">
        <v>2726.23</v>
      </c>
      <c r="I915">
        <v>5</v>
      </c>
      <c r="J915" t="s">
        <v>45</v>
      </c>
      <c r="K915">
        <v>136.31</v>
      </c>
      <c r="L915">
        <v>2726.23</v>
      </c>
      <c r="M915">
        <v>2589.92</v>
      </c>
      <c r="N915" t="s">
        <v>27</v>
      </c>
      <c r="O915">
        <v>2025</v>
      </c>
    </row>
    <row r="916" spans="1:15" x14ac:dyDescent="0.3">
      <c r="A916" t="s">
        <v>1001</v>
      </c>
      <c r="B916" t="s">
        <v>109</v>
      </c>
      <c r="C916" t="s">
        <v>90</v>
      </c>
      <c r="D916" t="s">
        <v>107</v>
      </c>
      <c r="E916" t="s">
        <v>56</v>
      </c>
      <c r="F916" s="1">
        <v>45935</v>
      </c>
      <c r="G916">
        <v>5</v>
      </c>
      <c r="H916">
        <v>12915.28</v>
      </c>
      <c r="I916">
        <v>0</v>
      </c>
      <c r="J916" t="s">
        <v>20</v>
      </c>
      <c r="K916">
        <v>0</v>
      </c>
      <c r="L916">
        <v>64576.4</v>
      </c>
      <c r="M916">
        <v>64576.4</v>
      </c>
      <c r="N916" t="s">
        <v>57</v>
      </c>
      <c r="O916">
        <v>2025</v>
      </c>
    </row>
    <row r="917" spans="1:15" x14ac:dyDescent="0.3">
      <c r="A917" t="s">
        <v>1002</v>
      </c>
      <c r="B917" t="s">
        <v>29</v>
      </c>
      <c r="C917" t="s">
        <v>17</v>
      </c>
      <c r="D917" t="s">
        <v>59</v>
      </c>
      <c r="E917" t="s">
        <v>81</v>
      </c>
      <c r="F917" s="1">
        <v>45900</v>
      </c>
      <c r="G917">
        <v>7</v>
      </c>
      <c r="H917">
        <v>27454.01</v>
      </c>
      <c r="I917">
        <v>10</v>
      </c>
      <c r="J917" t="s">
        <v>36</v>
      </c>
      <c r="K917">
        <v>19217.810000000001</v>
      </c>
      <c r="L917">
        <v>192178.07</v>
      </c>
      <c r="M917">
        <v>172960.26</v>
      </c>
      <c r="N917" t="s">
        <v>21</v>
      </c>
      <c r="O917">
        <v>2025</v>
      </c>
    </row>
    <row r="918" spans="1:15" x14ac:dyDescent="0.3">
      <c r="A918" t="s">
        <v>1003</v>
      </c>
      <c r="B918" t="s">
        <v>38</v>
      </c>
      <c r="C918" t="s">
        <v>90</v>
      </c>
      <c r="D918" t="s">
        <v>152</v>
      </c>
      <c r="E918" t="s">
        <v>30</v>
      </c>
      <c r="F918" s="1">
        <v>45558</v>
      </c>
      <c r="G918">
        <v>3</v>
      </c>
      <c r="H918">
        <v>10718.67</v>
      </c>
      <c r="I918">
        <v>10</v>
      </c>
      <c r="J918" t="s">
        <v>36</v>
      </c>
      <c r="K918">
        <v>3215.6</v>
      </c>
      <c r="L918">
        <v>32156.01</v>
      </c>
      <c r="M918">
        <v>28940.41</v>
      </c>
      <c r="N918" t="s">
        <v>86</v>
      </c>
      <c r="O918">
        <v>2024</v>
      </c>
    </row>
    <row r="919" spans="1:15" x14ac:dyDescent="0.3">
      <c r="A919" t="s">
        <v>1004</v>
      </c>
      <c r="B919" t="s">
        <v>47</v>
      </c>
      <c r="C919" t="s">
        <v>62</v>
      </c>
      <c r="D919" t="s">
        <v>63</v>
      </c>
      <c r="E919" t="s">
        <v>56</v>
      </c>
      <c r="F919" s="1">
        <v>45478</v>
      </c>
      <c r="G919">
        <v>7</v>
      </c>
      <c r="H919">
        <v>2014.38</v>
      </c>
      <c r="I919">
        <v>20</v>
      </c>
      <c r="J919" t="s">
        <v>45</v>
      </c>
      <c r="K919">
        <v>2820.13</v>
      </c>
      <c r="L919">
        <v>14100.66</v>
      </c>
      <c r="M919">
        <v>11280.53</v>
      </c>
      <c r="N919" t="s">
        <v>122</v>
      </c>
      <c r="O919">
        <v>2024</v>
      </c>
    </row>
    <row r="920" spans="1:15" x14ac:dyDescent="0.3">
      <c r="A920" t="s">
        <v>1005</v>
      </c>
      <c r="B920" t="s">
        <v>109</v>
      </c>
      <c r="C920" t="s">
        <v>34</v>
      </c>
      <c r="D920" t="s">
        <v>80</v>
      </c>
      <c r="E920" t="s">
        <v>81</v>
      </c>
      <c r="F920" s="1">
        <v>45383</v>
      </c>
      <c r="G920">
        <v>8</v>
      </c>
      <c r="H920">
        <v>5697.4</v>
      </c>
      <c r="I920">
        <v>5</v>
      </c>
      <c r="J920" t="s">
        <v>20</v>
      </c>
      <c r="K920">
        <v>2278.96</v>
      </c>
      <c r="L920">
        <v>45579.199999999997</v>
      </c>
      <c r="M920">
        <v>43300.24</v>
      </c>
      <c r="N920" t="s">
        <v>27</v>
      </c>
      <c r="O920">
        <v>2024</v>
      </c>
    </row>
    <row r="921" spans="1:15" x14ac:dyDescent="0.3">
      <c r="A921" t="s">
        <v>1006</v>
      </c>
      <c r="B921" t="s">
        <v>93</v>
      </c>
      <c r="C921" t="s">
        <v>17</v>
      </c>
      <c r="D921" t="s">
        <v>157</v>
      </c>
      <c r="E921" t="s">
        <v>56</v>
      </c>
      <c r="F921" s="1">
        <v>45444</v>
      </c>
      <c r="G921">
        <v>2</v>
      </c>
      <c r="H921">
        <v>7976.56</v>
      </c>
      <c r="I921">
        <v>5</v>
      </c>
      <c r="J921" t="s">
        <v>40</v>
      </c>
      <c r="K921">
        <v>797.66</v>
      </c>
      <c r="L921">
        <v>15953.12</v>
      </c>
      <c r="M921">
        <v>15155.46</v>
      </c>
      <c r="N921" t="s">
        <v>72</v>
      </c>
      <c r="O921">
        <v>2024</v>
      </c>
    </row>
    <row r="922" spans="1:15" x14ac:dyDescent="0.3">
      <c r="A922" t="s">
        <v>1007</v>
      </c>
      <c r="B922" t="s">
        <v>109</v>
      </c>
      <c r="C922" t="s">
        <v>54</v>
      </c>
      <c r="D922" t="s">
        <v>70</v>
      </c>
      <c r="E922" t="s">
        <v>30</v>
      </c>
      <c r="F922" s="1">
        <v>45756</v>
      </c>
      <c r="G922">
        <v>8</v>
      </c>
      <c r="H922">
        <v>2324.0700000000002</v>
      </c>
      <c r="I922">
        <v>5</v>
      </c>
      <c r="J922" t="s">
        <v>31</v>
      </c>
      <c r="K922">
        <v>929.63</v>
      </c>
      <c r="L922">
        <v>18592.560000000001</v>
      </c>
      <c r="M922">
        <v>17662.93</v>
      </c>
      <c r="N922" t="s">
        <v>27</v>
      </c>
      <c r="O922">
        <v>2025</v>
      </c>
    </row>
    <row r="923" spans="1:15" x14ac:dyDescent="0.3">
      <c r="A923" t="s">
        <v>1008</v>
      </c>
      <c r="B923" t="s">
        <v>43</v>
      </c>
      <c r="C923" t="s">
        <v>34</v>
      </c>
      <c r="D923" t="s">
        <v>48</v>
      </c>
      <c r="E923" t="s">
        <v>30</v>
      </c>
      <c r="F923" s="1">
        <v>45683</v>
      </c>
      <c r="G923">
        <v>3</v>
      </c>
      <c r="H923">
        <v>8062.62</v>
      </c>
      <c r="I923">
        <v>5</v>
      </c>
      <c r="J923" t="s">
        <v>71</v>
      </c>
      <c r="K923">
        <v>1209.3900000000001</v>
      </c>
      <c r="L923">
        <v>24187.86</v>
      </c>
      <c r="M923">
        <v>22978.47</v>
      </c>
      <c r="N923" t="s">
        <v>116</v>
      </c>
      <c r="O923">
        <v>2025</v>
      </c>
    </row>
    <row r="924" spans="1:15" x14ac:dyDescent="0.3">
      <c r="A924" t="s">
        <v>1009</v>
      </c>
      <c r="B924" t="s">
        <v>38</v>
      </c>
      <c r="C924" t="s">
        <v>54</v>
      </c>
      <c r="D924" t="s">
        <v>55</v>
      </c>
      <c r="E924" t="s">
        <v>19</v>
      </c>
      <c r="F924" s="1">
        <v>45720</v>
      </c>
      <c r="G924">
        <v>3</v>
      </c>
      <c r="H924">
        <v>1202.56</v>
      </c>
      <c r="I924">
        <v>5</v>
      </c>
      <c r="J924" t="s">
        <v>20</v>
      </c>
      <c r="K924">
        <v>180.38</v>
      </c>
      <c r="L924">
        <v>3607.68</v>
      </c>
      <c r="M924">
        <v>3427.3</v>
      </c>
      <c r="N924" t="s">
        <v>83</v>
      </c>
      <c r="O924">
        <v>2025</v>
      </c>
    </row>
    <row r="925" spans="1:15" x14ac:dyDescent="0.3">
      <c r="A925" t="s">
        <v>1010</v>
      </c>
      <c r="B925" t="s">
        <v>43</v>
      </c>
      <c r="C925" t="s">
        <v>17</v>
      </c>
      <c r="D925" t="s">
        <v>39</v>
      </c>
      <c r="E925" t="s">
        <v>50</v>
      </c>
      <c r="F925" s="1">
        <v>45546</v>
      </c>
      <c r="G925">
        <v>6</v>
      </c>
      <c r="H925">
        <v>18823.060000000001</v>
      </c>
      <c r="I925">
        <v>15</v>
      </c>
      <c r="J925" t="s">
        <v>71</v>
      </c>
      <c r="K925">
        <v>16940.75</v>
      </c>
      <c r="L925">
        <v>112938.36</v>
      </c>
      <c r="M925">
        <v>95997.61</v>
      </c>
      <c r="N925" t="s">
        <v>86</v>
      </c>
      <c r="O925">
        <v>2024</v>
      </c>
    </row>
    <row r="926" spans="1:15" x14ac:dyDescent="0.3">
      <c r="A926" t="s">
        <v>1011</v>
      </c>
      <c r="B926" t="s">
        <v>89</v>
      </c>
      <c r="C926" t="s">
        <v>17</v>
      </c>
      <c r="D926" t="s">
        <v>18</v>
      </c>
      <c r="E926" t="s">
        <v>50</v>
      </c>
      <c r="F926" s="1">
        <v>46001</v>
      </c>
      <c r="G926">
        <v>7</v>
      </c>
      <c r="H926">
        <v>76627.490000000005</v>
      </c>
      <c r="I926">
        <v>15</v>
      </c>
      <c r="J926" t="s">
        <v>45</v>
      </c>
      <c r="K926">
        <v>80458.86</v>
      </c>
      <c r="L926">
        <v>536392.43000000005</v>
      </c>
      <c r="M926">
        <v>455933.57</v>
      </c>
      <c r="N926" t="s">
        <v>51</v>
      </c>
      <c r="O926">
        <v>2025</v>
      </c>
    </row>
    <row r="927" spans="1:15" x14ac:dyDescent="0.3">
      <c r="A927" t="s">
        <v>1012</v>
      </c>
      <c r="B927" t="s">
        <v>43</v>
      </c>
      <c r="C927" t="s">
        <v>90</v>
      </c>
      <c r="D927" t="s">
        <v>91</v>
      </c>
      <c r="E927" t="s">
        <v>25</v>
      </c>
      <c r="F927" s="1">
        <v>45862</v>
      </c>
      <c r="G927">
        <v>1</v>
      </c>
      <c r="H927">
        <v>1369.54</v>
      </c>
      <c r="I927">
        <v>5</v>
      </c>
      <c r="J927" t="s">
        <v>82</v>
      </c>
      <c r="K927">
        <v>68.48</v>
      </c>
      <c r="L927">
        <v>1369.54</v>
      </c>
      <c r="M927">
        <v>1301.06</v>
      </c>
      <c r="N927" t="s">
        <v>122</v>
      </c>
      <c r="O927">
        <v>2025</v>
      </c>
    </row>
    <row r="928" spans="1:15" x14ac:dyDescent="0.3">
      <c r="A928" t="s">
        <v>1013</v>
      </c>
      <c r="B928" t="s">
        <v>93</v>
      </c>
      <c r="C928" t="s">
        <v>90</v>
      </c>
      <c r="D928" t="s">
        <v>115</v>
      </c>
      <c r="E928" t="s">
        <v>30</v>
      </c>
      <c r="F928" s="1">
        <v>45297</v>
      </c>
      <c r="G928">
        <v>5</v>
      </c>
      <c r="H928">
        <v>8209.08</v>
      </c>
      <c r="I928">
        <v>15</v>
      </c>
      <c r="J928" t="s">
        <v>26</v>
      </c>
      <c r="K928">
        <v>6156.81</v>
      </c>
      <c r="L928">
        <v>41045.4</v>
      </c>
      <c r="M928">
        <v>34888.589999999997</v>
      </c>
      <c r="N928" t="s">
        <v>116</v>
      </c>
      <c r="O928">
        <v>2024</v>
      </c>
    </row>
    <row r="929" spans="1:15" x14ac:dyDescent="0.3">
      <c r="A929" t="s">
        <v>1014</v>
      </c>
      <c r="B929" t="s">
        <v>61</v>
      </c>
      <c r="C929" t="s">
        <v>62</v>
      </c>
      <c r="D929" t="s">
        <v>99</v>
      </c>
      <c r="E929" t="s">
        <v>19</v>
      </c>
      <c r="F929" s="1">
        <v>45864</v>
      </c>
      <c r="G929">
        <v>1</v>
      </c>
      <c r="H929">
        <v>1567.68</v>
      </c>
      <c r="I929">
        <v>10</v>
      </c>
      <c r="J929" t="s">
        <v>36</v>
      </c>
      <c r="K929">
        <v>156.77000000000001</v>
      </c>
      <c r="L929">
        <v>1567.68</v>
      </c>
      <c r="M929">
        <v>1410.91</v>
      </c>
      <c r="N929" t="s">
        <v>122</v>
      </c>
      <c r="O929">
        <v>2025</v>
      </c>
    </row>
    <row r="930" spans="1:15" x14ac:dyDescent="0.3">
      <c r="A930" t="s">
        <v>1015</v>
      </c>
      <c r="B930" t="s">
        <v>89</v>
      </c>
      <c r="C930" t="s">
        <v>34</v>
      </c>
      <c r="D930" t="s">
        <v>66</v>
      </c>
      <c r="E930" t="s">
        <v>19</v>
      </c>
      <c r="F930" s="1">
        <v>45427</v>
      </c>
      <c r="G930">
        <v>2</v>
      </c>
      <c r="H930">
        <v>39173.17</v>
      </c>
      <c r="I930">
        <v>20</v>
      </c>
      <c r="J930" t="s">
        <v>71</v>
      </c>
      <c r="K930">
        <v>15669.27</v>
      </c>
      <c r="L930">
        <v>78346.34</v>
      </c>
      <c r="M930">
        <v>62677.07</v>
      </c>
      <c r="N930" t="s">
        <v>101</v>
      </c>
      <c r="O930">
        <v>2024</v>
      </c>
    </row>
    <row r="931" spans="1:15" x14ac:dyDescent="0.3">
      <c r="A931" t="s">
        <v>1016</v>
      </c>
      <c r="B931" t="s">
        <v>43</v>
      </c>
      <c r="C931" t="s">
        <v>90</v>
      </c>
      <c r="D931" t="s">
        <v>107</v>
      </c>
      <c r="E931" t="s">
        <v>25</v>
      </c>
      <c r="F931" s="1">
        <v>45337</v>
      </c>
      <c r="G931">
        <v>3</v>
      </c>
      <c r="H931">
        <v>12297.63</v>
      </c>
      <c r="I931">
        <v>10</v>
      </c>
      <c r="J931" t="s">
        <v>45</v>
      </c>
      <c r="K931">
        <v>3689.29</v>
      </c>
      <c r="L931">
        <v>36892.89</v>
      </c>
      <c r="M931">
        <v>33203.599999999999</v>
      </c>
      <c r="N931" t="s">
        <v>41</v>
      </c>
      <c r="O931">
        <v>2024</v>
      </c>
    </row>
    <row r="932" spans="1:15" x14ac:dyDescent="0.3">
      <c r="A932" t="s">
        <v>1017</v>
      </c>
      <c r="B932" t="s">
        <v>43</v>
      </c>
      <c r="C932" t="s">
        <v>62</v>
      </c>
      <c r="D932" t="s">
        <v>99</v>
      </c>
      <c r="E932" t="s">
        <v>19</v>
      </c>
      <c r="F932" s="1">
        <v>45821</v>
      </c>
      <c r="G932">
        <v>6</v>
      </c>
      <c r="H932">
        <v>1513.42</v>
      </c>
      <c r="I932">
        <v>5</v>
      </c>
      <c r="J932" t="s">
        <v>40</v>
      </c>
      <c r="K932">
        <v>454.03</v>
      </c>
      <c r="L932">
        <v>9080.52</v>
      </c>
      <c r="M932">
        <v>8626.49</v>
      </c>
      <c r="N932" t="s">
        <v>72</v>
      </c>
      <c r="O932">
        <v>2025</v>
      </c>
    </row>
    <row r="933" spans="1:15" x14ac:dyDescent="0.3">
      <c r="A933" t="s">
        <v>1018</v>
      </c>
      <c r="B933" t="s">
        <v>74</v>
      </c>
      <c r="C933" t="s">
        <v>62</v>
      </c>
      <c r="D933" t="s">
        <v>99</v>
      </c>
      <c r="E933" t="s">
        <v>50</v>
      </c>
      <c r="F933" s="1">
        <v>45346</v>
      </c>
      <c r="G933">
        <v>4</v>
      </c>
      <c r="H933">
        <v>1405.73</v>
      </c>
      <c r="I933">
        <v>5</v>
      </c>
      <c r="J933" t="s">
        <v>71</v>
      </c>
      <c r="K933">
        <v>281.14999999999998</v>
      </c>
      <c r="L933">
        <v>5622.92</v>
      </c>
      <c r="M933">
        <v>5341.77</v>
      </c>
      <c r="N933" t="s">
        <v>41</v>
      </c>
      <c r="O933">
        <v>2024</v>
      </c>
    </row>
    <row r="934" spans="1:15" x14ac:dyDescent="0.3">
      <c r="A934" t="s">
        <v>1019</v>
      </c>
      <c r="B934" t="s">
        <v>89</v>
      </c>
      <c r="C934" t="s">
        <v>34</v>
      </c>
      <c r="D934" t="s">
        <v>80</v>
      </c>
      <c r="E934" t="s">
        <v>19</v>
      </c>
      <c r="F934" s="1">
        <v>46014</v>
      </c>
      <c r="G934">
        <v>8</v>
      </c>
      <c r="H934">
        <v>6660.11</v>
      </c>
      <c r="I934">
        <v>15</v>
      </c>
      <c r="J934" t="s">
        <v>36</v>
      </c>
      <c r="K934">
        <v>7992.13</v>
      </c>
      <c r="L934">
        <v>53280.88</v>
      </c>
      <c r="M934">
        <v>45288.75</v>
      </c>
      <c r="N934" t="s">
        <v>51</v>
      </c>
      <c r="O934">
        <v>2025</v>
      </c>
    </row>
    <row r="935" spans="1:15" x14ac:dyDescent="0.3">
      <c r="A935" t="s">
        <v>1020</v>
      </c>
      <c r="B935" t="s">
        <v>33</v>
      </c>
      <c r="C935" t="s">
        <v>17</v>
      </c>
      <c r="D935" t="s">
        <v>157</v>
      </c>
      <c r="E935" t="s">
        <v>30</v>
      </c>
      <c r="F935" s="1">
        <v>45760</v>
      </c>
      <c r="G935">
        <v>8</v>
      </c>
      <c r="H935">
        <v>6496.86</v>
      </c>
      <c r="I935">
        <v>5</v>
      </c>
      <c r="J935" t="s">
        <v>71</v>
      </c>
      <c r="K935">
        <v>2598.7399999999998</v>
      </c>
      <c r="L935">
        <v>51974.879999999997</v>
      </c>
      <c r="M935">
        <v>49376.14</v>
      </c>
      <c r="N935" t="s">
        <v>27</v>
      </c>
      <c r="O935">
        <v>2025</v>
      </c>
    </row>
    <row r="936" spans="1:15" x14ac:dyDescent="0.3">
      <c r="A936" t="s">
        <v>1021</v>
      </c>
      <c r="B936" t="s">
        <v>47</v>
      </c>
      <c r="C936" t="s">
        <v>17</v>
      </c>
      <c r="D936" t="s">
        <v>39</v>
      </c>
      <c r="E936" t="s">
        <v>50</v>
      </c>
      <c r="F936" s="1">
        <v>45476</v>
      </c>
      <c r="G936">
        <v>3</v>
      </c>
      <c r="H936">
        <v>19574.71</v>
      </c>
      <c r="I936">
        <v>10</v>
      </c>
      <c r="J936" t="s">
        <v>40</v>
      </c>
      <c r="K936">
        <v>5872.41</v>
      </c>
      <c r="L936">
        <v>58724.13</v>
      </c>
      <c r="M936">
        <v>52851.72</v>
      </c>
      <c r="N936" t="s">
        <v>122</v>
      </c>
      <c r="O936">
        <v>2024</v>
      </c>
    </row>
    <row r="937" spans="1:15" x14ac:dyDescent="0.3">
      <c r="A937" t="s">
        <v>1022</v>
      </c>
      <c r="B937" t="s">
        <v>29</v>
      </c>
      <c r="C937" t="s">
        <v>54</v>
      </c>
      <c r="D937" t="s">
        <v>77</v>
      </c>
      <c r="E937" t="s">
        <v>81</v>
      </c>
      <c r="F937" s="1">
        <v>45830</v>
      </c>
      <c r="G937">
        <v>10</v>
      </c>
      <c r="H937">
        <v>4725.71</v>
      </c>
      <c r="I937">
        <v>0</v>
      </c>
      <c r="J937" t="s">
        <v>26</v>
      </c>
      <c r="K937">
        <v>0</v>
      </c>
      <c r="L937">
        <v>47257.1</v>
      </c>
      <c r="M937">
        <v>47257.1</v>
      </c>
      <c r="N937" t="s">
        <v>72</v>
      </c>
      <c r="O937">
        <v>2025</v>
      </c>
    </row>
    <row r="938" spans="1:15" x14ac:dyDescent="0.3">
      <c r="A938" t="s">
        <v>1023</v>
      </c>
      <c r="B938" t="s">
        <v>61</v>
      </c>
      <c r="C938" t="s">
        <v>34</v>
      </c>
      <c r="D938" t="s">
        <v>35</v>
      </c>
      <c r="E938" t="s">
        <v>25</v>
      </c>
      <c r="F938" s="1">
        <v>45318</v>
      </c>
      <c r="G938">
        <v>5</v>
      </c>
      <c r="H938">
        <v>26758.2</v>
      </c>
      <c r="I938">
        <v>0</v>
      </c>
      <c r="J938" t="s">
        <v>45</v>
      </c>
      <c r="K938">
        <v>0</v>
      </c>
      <c r="L938">
        <v>133791</v>
      </c>
      <c r="M938">
        <v>133791</v>
      </c>
      <c r="N938" t="s">
        <v>116</v>
      </c>
      <c r="O938">
        <v>2024</v>
      </c>
    </row>
    <row r="939" spans="1:15" x14ac:dyDescent="0.3">
      <c r="A939" t="s">
        <v>1024</v>
      </c>
      <c r="B939" t="s">
        <v>93</v>
      </c>
      <c r="C939" t="s">
        <v>90</v>
      </c>
      <c r="D939" t="s">
        <v>115</v>
      </c>
      <c r="E939" t="s">
        <v>25</v>
      </c>
      <c r="F939" s="1">
        <v>45449</v>
      </c>
      <c r="G939">
        <v>1</v>
      </c>
      <c r="H939">
        <v>7362.13</v>
      </c>
      <c r="I939">
        <v>15</v>
      </c>
      <c r="J939" t="s">
        <v>45</v>
      </c>
      <c r="K939">
        <v>1104.32</v>
      </c>
      <c r="L939">
        <v>7362.13</v>
      </c>
      <c r="M939">
        <v>6257.81</v>
      </c>
      <c r="N939" t="s">
        <v>72</v>
      </c>
      <c r="O939">
        <v>2024</v>
      </c>
    </row>
    <row r="940" spans="1:15" x14ac:dyDescent="0.3">
      <c r="A940" t="s">
        <v>1025</v>
      </c>
      <c r="B940" t="s">
        <v>93</v>
      </c>
      <c r="C940" t="s">
        <v>90</v>
      </c>
      <c r="D940" t="s">
        <v>115</v>
      </c>
      <c r="E940" t="s">
        <v>30</v>
      </c>
      <c r="F940" s="1">
        <v>45629</v>
      </c>
      <c r="G940">
        <v>1</v>
      </c>
      <c r="H940">
        <v>9363.58</v>
      </c>
      <c r="I940">
        <v>15</v>
      </c>
      <c r="J940" t="s">
        <v>26</v>
      </c>
      <c r="K940">
        <v>1404.54</v>
      </c>
      <c r="L940">
        <v>9363.58</v>
      </c>
      <c r="M940">
        <v>7959.04</v>
      </c>
      <c r="N940" t="s">
        <v>51</v>
      </c>
      <c r="O940">
        <v>2024</v>
      </c>
    </row>
    <row r="941" spans="1:15" x14ac:dyDescent="0.3">
      <c r="A941" t="s">
        <v>1026</v>
      </c>
      <c r="B941" t="s">
        <v>53</v>
      </c>
      <c r="C941" t="s">
        <v>62</v>
      </c>
      <c r="D941" t="s">
        <v>132</v>
      </c>
      <c r="E941" t="s">
        <v>50</v>
      </c>
      <c r="F941" s="1">
        <v>45951</v>
      </c>
      <c r="G941">
        <v>5</v>
      </c>
      <c r="H941">
        <v>2697.18</v>
      </c>
      <c r="I941">
        <v>0</v>
      </c>
      <c r="J941" t="s">
        <v>26</v>
      </c>
      <c r="K941">
        <v>0</v>
      </c>
      <c r="L941">
        <v>13485.9</v>
      </c>
      <c r="M941">
        <v>13485.9</v>
      </c>
      <c r="N941" t="s">
        <v>57</v>
      </c>
      <c r="O941">
        <v>2025</v>
      </c>
    </row>
    <row r="942" spans="1:15" x14ac:dyDescent="0.3">
      <c r="A942" t="s">
        <v>1027</v>
      </c>
      <c r="B942" t="s">
        <v>93</v>
      </c>
      <c r="C942" t="s">
        <v>17</v>
      </c>
      <c r="D942" t="s">
        <v>24</v>
      </c>
      <c r="E942" t="s">
        <v>56</v>
      </c>
      <c r="F942" s="1">
        <v>45700</v>
      </c>
      <c r="G942">
        <v>5</v>
      </c>
      <c r="H942">
        <v>2833.51</v>
      </c>
      <c r="I942">
        <v>15</v>
      </c>
      <c r="J942" t="s">
        <v>82</v>
      </c>
      <c r="K942">
        <v>2125.13</v>
      </c>
      <c r="L942">
        <v>14167.55</v>
      </c>
      <c r="M942">
        <v>12042.42</v>
      </c>
      <c r="N942" t="s">
        <v>41</v>
      </c>
      <c r="O942">
        <v>2025</v>
      </c>
    </row>
    <row r="943" spans="1:15" x14ac:dyDescent="0.3">
      <c r="A943" t="s">
        <v>1028</v>
      </c>
      <c r="B943" t="s">
        <v>38</v>
      </c>
      <c r="C943" t="s">
        <v>17</v>
      </c>
      <c r="D943" t="s">
        <v>18</v>
      </c>
      <c r="E943" t="s">
        <v>50</v>
      </c>
      <c r="F943" s="1">
        <v>45689</v>
      </c>
      <c r="G943">
        <v>7</v>
      </c>
      <c r="H943">
        <v>63130.21</v>
      </c>
      <c r="I943">
        <v>5</v>
      </c>
      <c r="J943" t="s">
        <v>36</v>
      </c>
      <c r="K943">
        <v>22095.57</v>
      </c>
      <c r="L943">
        <v>441911.47</v>
      </c>
      <c r="M943">
        <v>419815.9</v>
      </c>
      <c r="N943" t="s">
        <v>41</v>
      </c>
      <c r="O943">
        <v>2025</v>
      </c>
    </row>
    <row r="944" spans="1:15" x14ac:dyDescent="0.3">
      <c r="A944" t="s">
        <v>1029</v>
      </c>
      <c r="B944" t="s">
        <v>89</v>
      </c>
      <c r="C944" t="s">
        <v>17</v>
      </c>
      <c r="D944" t="s">
        <v>39</v>
      </c>
      <c r="E944" t="s">
        <v>44</v>
      </c>
      <c r="F944" s="1">
        <v>45609</v>
      </c>
      <c r="G944">
        <v>10</v>
      </c>
      <c r="H944">
        <v>18469.87</v>
      </c>
      <c r="I944">
        <v>0</v>
      </c>
      <c r="J944" t="s">
        <v>31</v>
      </c>
      <c r="K944">
        <v>0</v>
      </c>
      <c r="L944">
        <v>184698.7</v>
      </c>
      <c r="M944">
        <v>184698.7</v>
      </c>
      <c r="N944" t="s">
        <v>96</v>
      </c>
      <c r="O944">
        <v>2024</v>
      </c>
    </row>
    <row r="945" spans="1:15" x14ac:dyDescent="0.3">
      <c r="A945" t="s">
        <v>1030</v>
      </c>
      <c r="B945" t="s">
        <v>29</v>
      </c>
      <c r="C945" t="s">
        <v>62</v>
      </c>
      <c r="D945" t="s">
        <v>132</v>
      </c>
      <c r="E945" t="s">
        <v>56</v>
      </c>
      <c r="F945" s="1">
        <v>45689</v>
      </c>
      <c r="G945">
        <v>8</v>
      </c>
      <c r="H945">
        <v>2417.8000000000002</v>
      </c>
      <c r="I945">
        <v>20</v>
      </c>
      <c r="J945" t="s">
        <v>71</v>
      </c>
      <c r="K945">
        <v>3868.48</v>
      </c>
      <c r="L945">
        <v>19342.400000000001</v>
      </c>
      <c r="M945">
        <v>15473.92</v>
      </c>
      <c r="N945" t="s">
        <v>41</v>
      </c>
      <c r="O945">
        <v>2025</v>
      </c>
    </row>
    <row r="946" spans="1:15" x14ac:dyDescent="0.3">
      <c r="A946" t="s">
        <v>1031</v>
      </c>
      <c r="B946" t="s">
        <v>74</v>
      </c>
      <c r="C946" t="s">
        <v>90</v>
      </c>
      <c r="D946" t="s">
        <v>105</v>
      </c>
      <c r="E946" t="s">
        <v>56</v>
      </c>
      <c r="F946" s="1">
        <v>45920</v>
      </c>
      <c r="G946">
        <v>3</v>
      </c>
      <c r="H946">
        <v>3529.84</v>
      </c>
      <c r="I946">
        <v>15</v>
      </c>
      <c r="J946" t="s">
        <v>45</v>
      </c>
      <c r="K946">
        <v>1588.43</v>
      </c>
      <c r="L946">
        <v>10589.52</v>
      </c>
      <c r="M946">
        <v>9001.09</v>
      </c>
      <c r="N946" t="s">
        <v>86</v>
      </c>
      <c r="O946">
        <v>2025</v>
      </c>
    </row>
    <row r="947" spans="1:15" x14ac:dyDescent="0.3">
      <c r="A947" t="s">
        <v>1032</v>
      </c>
      <c r="B947" t="s">
        <v>65</v>
      </c>
      <c r="C947" t="s">
        <v>17</v>
      </c>
      <c r="D947" t="s">
        <v>18</v>
      </c>
      <c r="E947" t="s">
        <v>19</v>
      </c>
      <c r="F947" s="1">
        <v>45984</v>
      </c>
      <c r="G947">
        <v>4</v>
      </c>
      <c r="H947">
        <v>75926.039999999994</v>
      </c>
      <c r="I947">
        <v>5</v>
      </c>
      <c r="J947" t="s">
        <v>71</v>
      </c>
      <c r="K947">
        <v>15185.21</v>
      </c>
      <c r="L947">
        <v>303704.15999999997</v>
      </c>
      <c r="M947">
        <v>288518.95</v>
      </c>
      <c r="N947" t="s">
        <v>96</v>
      </c>
      <c r="O947">
        <v>2025</v>
      </c>
    </row>
    <row r="948" spans="1:15" x14ac:dyDescent="0.3">
      <c r="A948" t="s">
        <v>1033</v>
      </c>
      <c r="B948" t="s">
        <v>61</v>
      </c>
      <c r="C948" t="s">
        <v>90</v>
      </c>
      <c r="D948" t="s">
        <v>91</v>
      </c>
      <c r="E948" t="s">
        <v>30</v>
      </c>
      <c r="F948" s="1">
        <v>45589</v>
      </c>
      <c r="G948">
        <v>8</v>
      </c>
      <c r="H948">
        <v>1665.41</v>
      </c>
      <c r="I948">
        <v>15</v>
      </c>
      <c r="J948" t="s">
        <v>82</v>
      </c>
      <c r="K948">
        <v>1998.49</v>
      </c>
      <c r="L948">
        <v>13323.28</v>
      </c>
      <c r="M948">
        <v>11324.79</v>
      </c>
      <c r="N948" t="s">
        <v>57</v>
      </c>
      <c r="O948">
        <v>2024</v>
      </c>
    </row>
    <row r="949" spans="1:15" x14ac:dyDescent="0.3">
      <c r="A949" t="s">
        <v>1034</v>
      </c>
      <c r="B949" t="s">
        <v>53</v>
      </c>
      <c r="C949" t="s">
        <v>62</v>
      </c>
      <c r="D949" t="s">
        <v>63</v>
      </c>
      <c r="E949" t="s">
        <v>30</v>
      </c>
      <c r="F949" s="1">
        <v>45546</v>
      </c>
      <c r="G949">
        <v>9</v>
      </c>
      <c r="H949">
        <v>1812.48</v>
      </c>
      <c r="I949">
        <v>20</v>
      </c>
      <c r="J949" t="s">
        <v>40</v>
      </c>
      <c r="K949">
        <v>3262.46</v>
      </c>
      <c r="L949">
        <v>16312.32</v>
      </c>
      <c r="M949">
        <v>13049.86</v>
      </c>
      <c r="N949" t="s">
        <v>86</v>
      </c>
      <c r="O949">
        <v>2024</v>
      </c>
    </row>
    <row r="950" spans="1:15" x14ac:dyDescent="0.3">
      <c r="A950" t="s">
        <v>1035</v>
      </c>
      <c r="B950" t="s">
        <v>47</v>
      </c>
      <c r="C950" t="s">
        <v>17</v>
      </c>
      <c r="D950" t="s">
        <v>24</v>
      </c>
      <c r="E950" t="s">
        <v>25</v>
      </c>
      <c r="F950" s="1">
        <v>45814</v>
      </c>
      <c r="G950">
        <v>7</v>
      </c>
      <c r="H950">
        <v>3009.76</v>
      </c>
      <c r="I950">
        <v>15</v>
      </c>
      <c r="J950" t="s">
        <v>82</v>
      </c>
      <c r="K950">
        <v>3160.25</v>
      </c>
      <c r="L950">
        <v>21068.32</v>
      </c>
      <c r="M950">
        <v>17908.07</v>
      </c>
      <c r="N950" t="s">
        <v>72</v>
      </c>
      <c r="O950">
        <v>2025</v>
      </c>
    </row>
    <row r="951" spans="1:15" x14ac:dyDescent="0.3">
      <c r="A951" t="s">
        <v>1036</v>
      </c>
      <c r="B951" t="s">
        <v>33</v>
      </c>
      <c r="C951" t="s">
        <v>54</v>
      </c>
      <c r="D951" t="s">
        <v>137</v>
      </c>
      <c r="E951" t="s">
        <v>19</v>
      </c>
      <c r="F951" s="1">
        <v>45807</v>
      </c>
      <c r="G951">
        <v>1</v>
      </c>
      <c r="H951">
        <v>835.64</v>
      </c>
      <c r="I951">
        <v>15</v>
      </c>
      <c r="J951" t="s">
        <v>82</v>
      </c>
      <c r="K951">
        <v>125.35</v>
      </c>
      <c r="L951">
        <v>835.64</v>
      </c>
      <c r="M951">
        <v>710.29</v>
      </c>
      <c r="N951" t="s">
        <v>101</v>
      </c>
      <c r="O951">
        <v>2025</v>
      </c>
    </row>
    <row r="952" spans="1:15" x14ac:dyDescent="0.3">
      <c r="A952" t="s">
        <v>1037</v>
      </c>
      <c r="B952" t="s">
        <v>38</v>
      </c>
      <c r="C952" t="s">
        <v>34</v>
      </c>
      <c r="D952" t="s">
        <v>85</v>
      </c>
      <c r="E952" t="s">
        <v>56</v>
      </c>
      <c r="F952" s="1">
        <v>45377</v>
      </c>
      <c r="G952">
        <v>7</v>
      </c>
      <c r="H952">
        <v>13430.27</v>
      </c>
      <c r="I952">
        <v>10</v>
      </c>
      <c r="J952" t="s">
        <v>26</v>
      </c>
      <c r="K952">
        <v>9401.19</v>
      </c>
      <c r="L952">
        <v>94011.89</v>
      </c>
      <c r="M952">
        <v>84610.7</v>
      </c>
      <c r="N952" t="s">
        <v>83</v>
      </c>
      <c r="O952">
        <v>2024</v>
      </c>
    </row>
    <row r="953" spans="1:15" x14ac:dyDescent="0.3">
      <c r="A953" t="s">
        <v>1038</v>
      </c>
      <c r="B953" t="s">
        <v>16</v>
      </c>
      <c r="C953" t="s">
        <v>62</v>
      </c>
      <c r="D953" t="s">
        <v>132</v>
      </c>
      <c r="E953" t="s">
        <v>56</v>
      </c>
      <c r="F953" s="1">
        <v>45930</v>
      </c>
      <c r="G953">
        <v>5</v>
      </c>
      <c r="H953">
        <v>2463.33</v>
      </c>
      <c r="I953">
        <v>5</v>
      </c>
      <c r="J953" t="s">
        <v>71</v>
      </c>
      <c r="K953">
        <v>615.83000000000004</v>
      </c>
      <c r="L953">
        <v>12316.65</v>
      </c>
      <c r="M953">
        <v>11700.82</v>
      </c>
      <c r="N953" t="s">
        <v>86</v>
      </c>
      <c r="O953">
        <v>2025</v>
      </c>
    </row>
    <row r="954" spans="1:15" x14ac:dyDescent="0.3">
      <c r="A954" t="s">
        <v>1039</v>
      </c>
      <c r="B954" t="s">
        <v>47</v>
      </c>
      <c r="C954" t="s">
        <v>34</v>
      </c>
      <c r="D954" t="s">
        <v>85</v>
      </c>
      <c r="E954" t="s">
        <v>30</v>
      </c>
      <c r="F954" s="1">
        <v>45981</v>
      </c>
      <c r="G954">
        <v>2</v>
      </c>
      <c r="H954">
        <v>13311.54</v>
      </c>
      <c r="I954">
        <v>0</v>
      </c>
      <c r="J954" t="s">
        <v>40</v>
      </c>
      <c r="K954">
        <v>0</v>
      </c>
      <c r="L954">
        <v>26623.08</v>
      </c>
      <c r="M954">
        <v>26623.08</v>
      </c>
      <c r="N954" t="s">
        <v>96</v>
      </c>
      <c r="O954">
        <v>2025</v>
      </c>
    </row>
    <row r="955" spans="1:15" x14ac:dyDescent="0.3">
      <c r="A955" t="s">
        <v>1040</v>
      </c>
      <c r="B955" t="s">
        <v>47</v>
      </c>
      <c r="C955" t="s">
        <v>17</v>
      </c>
      <c r="D955" t="s">
        <v>157</v>
      </c>
      <c r="E955" t="s">
        <v>25</v>
      </c>
      <c r="F955" s="1">
        <v>45963</v>
      </c>
      <c r="G955">
        <v>8</v>
      </c>
      <c r="H955">
        <v>7815.81</v>
      </c>
      <c r="I955">
        <v>15</v>
      </c>
      <c r="J955" t="s">
        <v>36</v>
      </c>
      <c r="K955">
        <v>9378.9699999999993</v>
      </c>
      <c r="L955">
        <v>62526.48</v>
      </c>
      <c r="M955">
        <v>53147.51</v>
      </c>
      <c r="N955" t="s">
        <v>96</v>
      </c>
      <c r="O955">
        <v>2025</v>
      </c>
    </row>
    <row r="956" spans="1:15" x14ac:dyDescent="0.3">
      <c r="A956" t="s">
        <v>1041</v>
      </c>
      <c r="B956" t="s">
        <v>43</v>
      </c>
      <c r="C956" t="s">
        <v>54</v>
      </c>
      <c r="D956" t="s">
        <v>68</v>
      </c>
      <c r="E956" t="s">
        <v>81</v>
      </c>
      <c r="F956" s="1">
        <v>45999</v>
      </c>
      <c r="G956">
        <v>7</v>
      </c>
      <c r="H956">
        <v>5450.74</v>
      </c>
      <c r="I956">
        <v>0</v>
      </c>
      <c r="J956" t="s">
        <v>45</v>
      </c>
      <c r="K956">
        <v>0</v>
      </c>
      <c r="L956">
        <v>38155.18</v>
      </c>
      <c r="M956">
        <v>38155.18</v>
      </c>
      <c r="N956" t="s">
        <v>51</v>
      </c>
      <c r="O956">
        <v>2025</v>
      </c>
    </row>
    <row r="957" spans="1:15" x14ac:dyDescent="0.3">
      <c r="A957" t="s">
        <v>1042</v>
      </c>
      <c r="B957" t="s">
        <v>109</v>
      </c>
      <c r="C957" t="s">
        <v>34</v>
      </c>
      <c r="D957" t="s">
        <v>85</v>
      </c>
      <c r="E957" t="s">
        <v>50</v>
      </c>
      <c r="F957" s="1">
        <v>45308</v>
      </c>
      <c r="G957">
        <v>4</v>
      </c>
      <c r="H957">
        <v>13377.04</v>
      </c>
      <c r="I957">
        <v>5</v>
      </c>
      <c r="J957" t="s">
        <v>82</v>
      </c>
      <c r="K957">
        <v>2675.41</v>
      </c>
      <c r="L957">
        <v>53508.160000000003</v>
      </c>
      <c r="M957">
        <v>50832.75</v>
      </c>
      <c r="N957" t="s">
        <v>116</v>
      </c>
      <c r="O957">
        <v>2024</v>
      </c>
    </row>
    <row r="958" spans="1:15" x14ac:dyDescent="0.3">
      <c r="A958" t="s">
        <v>1043</v>
      </c>
      <c r="B958" t="s">
        <v>61</v>
      </c>
      <c r="C958" t="s">
        <v>90</v>
      </c>
      <c r="D958" t="s">
        <v>107</v>
      </c>
      <c r="E958" t="s">
        <v>50</v>
      </c>
      <c r="F958" s="1">
        <v>45933</v>
      </c>
      <c r="G958">
        <v>9</v>
      </c>
      <c r="H958">
        <v>12510.02</v>
      </c>
      <c r="I958">
        <v>10</v>
      </c>
      <c r="J958" t="s">
        <v>31</v>
      </c>
      <c r="K958">
        <v>11259.02</v>
      </c>
      <c r="L958">
        <v>112590.18</v>
      </c>
      <c r="M958">
        <v>101331.16</v>
      </c>
      <c r="N958" t="s">
        <v>57</v>
      </c>
      <c r="O958">
        <v>2025</v>
      </c>
    </row>
    <row r="959" spans="1:15" x14ac:dyDescent="0.3">
      <c r="A959" t="s">
        <v>1044</v>
      </c>
      <c r="B959" t="s">
        <v>89</v>
      </c>
      <c r="C959" t="s">
        <v>90</v>
      </c>
      <c r="D959" t="s">
        <v>107</v>
      </c>
      <c r="E959" t="s">
        <v>56</v>
      </c>
      <c r="F959" s="1">
        <v>45411</v>
      </c>
      <c r="G959">
        <v>3</v>
      </c>
      <c r="H959">
        <v>13507.25</v>
      </c>
      <c r="I959">
        <v>15</v>
      </c>
      <c r="J959" t="s">
        <v>26</v>
      </c>
      <c r="K959">
        <v>6078.26</v>
      </c>
      <c r="L959">
        <v>40521.75</v>
      </c>
      <c r="M959">
        <v>34443.49</v>
      </c>
      <c r="N959" t="s">
        <v>27</v>
      </c>
      <c r="O959">
        <v>2024</v>
      </c>
    </row>
    <row r="960" spans="1:15" x14ac:dyDescent="0.3">
      <c r="A960" t="s">
        <v>1045</v>
      </c>
      <c r="B960" t="s">
        <v>109</v>
      </c>
      <c r="C960" t="s">
        <v>90</v>
      </c>
      <c r="D960" t="s">
        <v>152</v>
      </c>
      <c r="E960" t="s">
        <v>44</v>
      </c>
      <c r="F960" s="1">
        <v>45891</v>
      </c>
      <c r="G960">
        <v>4</v>
      </c>
      <c r="H960">
        <v>9503.35</v>
      </c>
      <c r="I960">
        <v>20</v>
      </c>
      <c r="J960" t="s">
        <v>71</v>
      </c>
      <c r="K960">
        <v>7602.68</v>
      </c>
      <c r="L960">
        <v>38013.4</v>
      </c>
      <c r="M960">
        <v>30410.720000000001</v>
      </c>
      <c r="N960" t="s">
        <v>21</v>
      </c>
      <c r="O960">
        <v>2025</v>
      </c>
    </row>
    <row r="961" spans="1:15" x14ac:dyDescent="0.3">
      <c r="A961" t="s">
        <v>1046</v>
      </c>
      <c r="B961" t="s">
        <v>33</v>
      </c>
      <c r="C961" t="s">
        <v>90</v>
      </c>
      <c r="D961" t="s">
        <v>105</v>
      </c>
      <c r="E961" t="s">
        <v>25</v>
      </c>
      <c r="F961" s="1">
        <v>45937</v>
      </c>
      <c r="G961">
        <v>7</v>
      </c>
      <c r="H961">
        <v>4407.76</v>
      </c>
      <c r="I961">
        <v>15</v>
      </c>
      <c r="J961" t="s">
        <v>82</v>
      </c>
      <c r="K961">
        <v>4628.1499999999996</v>
      </c>
      <c r="L961">
        <v>30854.32</v>
      </c>
      <c r="M961">
        <v>26226.17</v>
      </c>
      <c r="N961" t="s">
        <v>57</v>
      </c>
      <c r="O961">
        <v>2025</v>
      </c>
    </row>
    <row r="962" spans="1:15" x14ac:dyDescent="0.3">
      <c r="A962" t="s">
        <v>1047</v>
      </c>
      <c r="B962" t="s">
        <v>16</v>
      </c>
      <c r="C962" t="s">
        <v>54</v>
      </c>
      <c r="D962" t="s">
        <v>77</v>
      </c>
      <c r="E962" t="s">
        <v>81</v>
      </c>
      <c r="F962" s="1">
        <v>45329</v>
      </c>
      <c r="G962">
        <v>8</v>
      </c>
      <c r="H962">
        <v>4999.6000000000004</v>
      </c>
      <c r="I962">
        <v>20</v>
      </c>
      <c r="J962" t="s">
        <v>40</v>
      </c>
      <c r="K962">
        <v>7999.36</v>
      </c>
      <c r="L962">
        <v>39996.800000000003</v>
      </c>
      <c r="M962">
        <v>31997.439999999999</v>
      </c>
      <c r="N962" t="s">
        <v>41</v>
      </c>
      <c r="O962">
        <v>2024</v>
      </c>
    </row>
    <row r="963" spans="1:15" x14ac:dyDescent="0.3">
      <c r="A963" t="s">
        <v>1048</v>
      </c>
      <c r="B963" t="s">
        <v>114</v>
      </c>
      <c r="C963" t="s">
        <v>54</v>
      </c>
      <c r="D963" t="s">
        <v>77</v>
      </c>
      <c r="E963" t="s">
        <v>30</v>
      </c>
      <c r="F963" s="1">
        <v>45529</v>
      </c>
      <c r="G963">
        <v>1</v>
      </c>
      <c r="H963">
        <v>5160.3900000000003</v>
      </c>
      <c r="I963">
        <v>15</v>
      </c>
      <c r="J963" t="s">
        <v>71</v>
      </c>
      <c r="K963">
        <v>774.06</v>
      </c>
      <c r="L963">
        <v>5160.3900000000003</v>
      </c>
      <c r="M963">
        <v>4386.33</v>
      </c>
      <c r="N963" t="s">
        <v>21</v>
      </c>
      <c r="O963">
        <v>2024</v>
      </c>
    </row>
    <row r="964" spans="1:15" x14ac:dyDescent="0.3">
      <c r="A964" t="s">
        <v>1049</v>
      </c>
      <c r="B964" t="s">
        <v>65</v>
      </c>
      <c r="C964" t="s">
        <v>54</v>
      </c>
      <c r="D964" t="s">
        <v>137</v>
      </c>
      <c r="E964" t="s">
        <v>25</v>
      </c>
      <c r="F964" s="1">
        <v>45955</v>
      </c>
      <c r="G964">
        <v>7</v>
      </c>
      <c r="H964">
        <v>1111.06</v>
      </c>
      <c r="I964">
        <v>0</v>
      </c>
      <c r="J964" t="s">
        <v>40</v>
      </c>
      <c r="K964">
        <v>0</v>
      </c>
      <c r="L964">
        <v>7777.42</v>
      </c>
      <c r="M964">
        <v>7777.42</v>
      </c>
      <c r="N964" t="s">
        <v>57</v>
      </c>
      <c r="O964">
        <v>2025</v>
      </c>
    </row>
    <row r="965" spans="1:15" x14ac:dyDescent="0.3">
      <c r="A965" t="s">
        <v>1050</v>
      </c>
      <c r="B965" t="s">
        <v>61</v>
      </c>
      <c r="C965" t="s">
        <v>90</v>
      </c>
      <c r="D965" t="s">
        <v>91</v>
      </c>
      <c r="E965" t="s">
        <v>19</v>
      </c>
      <c r="F965" s="1">
        <v>46006</v>
      </c>
      <c r="G965">
        <v>7</v>
      </c>
      <c r="H965">
        <v>1493.58</v>
      </c>
      <c r="I965">
        <v>10</v>
      </c>
      <c r="J965" t="s">
        <v>71</v>
      </c>
      <c r="K965">
        <v>1045.51</v>
      </c>
      <c r="L965">
        <v>10455.06</v>
      </c>
      <c r="M965">
        <v>9409.5499999999993</v>
      </c>
      <c r="N965" t="s">
        <v>51</v>
      </c>
      <c r="O965">
        <v>2025</v>
      </c>
    </row>
    <row r="966" spans="1:15" x14ac:dyDescent="0.3">
      <c r="A966" t="s">
        <v>1051</v>
      </c>
      <c r="B966" t="s">
        <v>33</v>
      </c>
      <c r="C966" t="s">
        <v>34</v>
      </c>
      <c r="D966" t="s">
        <v>35</v>
      </c>
      <c r="E966" t="s">
        <v>56</v>
      </c>
      <c r="F966" s="1">
        <v>45811</v>
      </c>
      <c r="G966">
        <v>4</v>
      </c>
      <c r="H966">
        <v>26172.87</v>
      </c>
      <c r="I966">
        <v>10</v>
      </c>
      <c r="J966" t="s">
        <v>20</v>
      </c>
      <c r="K966">
        <v>10469.15</v>
      </c>
      <c r="L966">
        <v>104691.48</v>
      </c>
      <c r="M966">
        <v>94222.33</v>
      </c>
      <c r="N966" t="s">
        <v>72</v>
      </c>
      <c r="O966">
        <v>2025</v>
      </c>
    </row>
    <row r="967" spans="1:15" x14ac:dyDescent="0.3">
      <c r="A967" t="s">
        <v>1052</v>
      </c>
      <c r="B967" t="s">
        <v>53</v>
      </c>
      <c r="C967" t="s">
        <v>54</v>
      </c>
      <c r="D967" t="s">
        <v>68</v>
      </c>
      <c r="E967" t="s">
        <v>19</v>
      </c>
      <c r="F967" s="1">
        <v>45718</v>
      </c>
      <c r="G967">
        <v>6</v>
      </c>
      <c r="H967">
        <v>4945.47</v>
      </c>
      <c r="I967">
        <v>5</v>
      </c>
      <c r="J967" t="s">
        <v>31</v>
      </c>
      <c r="K967">
        <v>1483.64</v>
      </c>
      <c r="L967">
        <v>29672.82</v>
      </c>
      <c r="M967">
        <v>28189.18</v>
      </c>
      <c r="N967" t="s">
        <v>83</v>
      </c>
      <c r="O967">
        <v>2025</v>
      </c>
    </row>
    <row r="968" spans="1:15" x14ac:dyDescent="0.3">
      <c r="A968" t="s">
        <v>1053</v>
      </c>
      <c r="B968" t="s">
        <v>43</v>
      </c>
      <c r="C968" t="s">
        <v>54</v>
      </c>
      <c r="D968" t="s">
        <v>55</v>
      </c>
      <c r="E968" t="s">
        <v>30</v>
      </c>
      <c r="F968" s="1">
        <v>45975</v>
      </c>
      <c r="G968">
        <v>8</v>
      </c>
      <c r="H968">
        <v>1230.5999999999999</v>
      </c>
      <c r="I968">
        <v>5</v>
      </c>
      <c r="J968" t="s">
        <v>82</v>
      </c>
      <c r="K968">
        <v>492.24</v>
      </c>
      <c r="L968">
        <v>9844.7999999999993</v>
      </c>
      <c r="M968">
        <v>9352.56</v>
      </c>
      <c r="N968" t="s">
        <v>96</v>
      </c>
      <c r="O968">
        <v>2025</v>
      </c>
    </row>
    <row r="969" spans="1:15" x14ac:dyDescent="0.3">
      <c r="A969" t="s">
        <v>1054</v>
      </c>
      <c r="B969" t="s">
        <v>89</v>
      </c>
      <c r="C969" t="s">
        <v>34</v>
      </c>
      <c r="D969" t="s">
        <v>66</v>
      </c>
      <c r="E969" t="s">
        <v>25</v>
      </c>
      <c r="F969" s="1">
        <v>45797</v>
      </c>
      <c r="G969">
        <v>5</v>
      </c>
      <c r="H969">
        <v>38347.19</v>
      </c>
      <c r="I969">
        <v>20</v>
      </c>
      <c r="J969" t="s">
        <v>31</v>
      </c>
      <c r="K969">
        <v>38347.19</v>
      </c>
      <c r="L969">
        <v>191735.95</v>
      </c>
      <c r="M969">
        <v>153388.76</v>
      </c>
      <c r="N969" t="s">
        <v>101</v>
      </c>
      <c r="O969">
        <v>2025</v>
      </c>
    </row>
    <row r="970" spans="1:15" x14ac:dyDescent="0.3">
      <c r="A970" t="s">
        <v>1055</v>
      </c>
      <c r="B970" t="s">
        <v>33</v>
      </c>
      <c r="C970" t="s">
        <v>17</v>
      </c>
      <c r="D970" t="s">
        <v>18</v>
      </c>
      <c r="E970" t="s">
        <v>19</v>
      </c>
      <c r="F970" s="1">
        <v>45985</v>
      </c>
      <c r="G970">
        <v>3</v>
      </c>
      <c r="H970">
        <v>67473.03</v>
      </c>
      <c r="I970">
        <v>20</v>
      </c>
      <c r="J970" t="s">
        <v>45</v>
      </c>
      <c r="K970">
        <v>40483.82</v>
      </c>
      <c r="L970">
        <v>202419.09</v>
      </c>
      <c r="M970">
        <v>161935.26999999999</v>
      </c>
      <c r="N970" t="s">
        <v>96</v>
      </c>
      <c r="O970">
        <v>2025</v>
      </c>
    </row>
    <row r="971" spans="1:15" x14ac:dyDescent="0.3">
      <c r="A971" t="s">
        <v>1056</v>
      </c>
      <c r="B971" t="s">
        <v>33</v>
      </c>
      <c r="C971" t="s">
        <v>17</v>
      </c>
      <c r="D971" t="s">
        <v>18</v>
      </c>
      <c r="E971" t="s">
        <v>56</v>
      </c>
      <c r="F971" s="1">
        <v>45924</v>
      </c>
      <c r="G971">
        <v>4</v>
      </c>
      <c r="H971">
        <v>60461.18</v>
      </c>
      <c r="I971">
        <v>5</v>
      </c>
      <c r="J971" t="s">
        <v>82</v>
      </c>
      <c r="K971">
        <v>12092.24</v>
      </c>
      <c r="L971">
        <v>241844.72</v>
      </c>
      <c r="M971">
        <v>229752.48</v>
      </c>
      <c r="N971" t="s">
        <v>86</v>
      </c>
      <c r="O971">
        <v>2025</v>
      </c>
    </row>
    <row r="972" spans="1:15" x14ac:dyDescent="0.3">
      <c r="A972" t="s">
        <v>1057</v>
      </c>
      <c r="B972" t="s">
        <v>33</v>
      </c>
      <c r="C972" t="s">
        <v>90</v>
      </c>
      <c r="D972" t="s">
        <v>115</v>
      </c>
      <c r="E972" t="s">
        <v>44</v>
      </c>
      <c r="F972" s="1">
        <v>45339</v>
      </c>
      <c r="G972">
        <v>9</v>
      </c>
      <c r="H972">
        <v>7734.98</v>
      </c>
      <c r="I972">
        <v>5</v>
      </c>
      <c r="J972" t="s">
        <v>45</v>
      </c>
      <c r="K972">
        <v>3480.74</v>
      </c>
      <c r="L972">
        <v>69614.820000000007</v>
      </c>
      <c r="M972">
        <v>66134.080000000002</v>
      </c>
      <c r="N972" t="s">
        <v>41</v>
      </c>
      <c r="O972">
        <v>2024</v>
      </c>
    </row>
    <row r="973" spans="1:15" x14ac:dyDescent="0.3">
      <c r="A973" t="s">
        <v>1058</v>
      </c>
      <c r="B973" t="s">
        <v>61</v>
      </c>
      <c r="C973" t="s">
        <v>54</v>
      </c>
      <c r="D973" t="s">
        <v>77</v>
      </c>
      <c r="E973" t="s">
        <v>25</v>
      </c>
      <c r="F973" s="1">
        <v>45740</v>
      </c>
      <c r="G973">
        <v>8</v>
      </c>
      <c r="H973">
        <v>5703.31</v>
      </c>
      <c r="I973">
        <v>0</v>
      </c>
      <c r="J973" t="s">
        <v>26</v>
      </c>
      <c r="K973">
        <v>0</v>
      </c>
      <c r="L973">
        <v>45626.48</v>
      </c>
      <c r="M973">
        <v>45626.48</v>
      </c>
      <c r="N973" t="s">
        <v>83</v>
      </c>
      <c r="O973">
        <v>2025</v>
      </c>
    </row>
    <row r="974" spans="1:15" x14ac:dyDescent="0.3">
      <c r="A974" t="s">
        <v>1059</v>
      </c>
      <c r="B974" t="s">
        <v>93</v>
      </c>
      <c r="C974" t="s">
        <v>17</v>
      </c>
      <c r="D974" t="s">
        <v>24</v>
      </c>
      <c r="E974" t="s">
        <v>44</v>
      </c>
      <c r="F974" s="1">
        <v>45867</v>
      </c>
      <c r="G974">
        <v>1</v>
      </c>
      <c r="H974">
        <v>3080.48</v>
      </c>
      <c r="I974">
        <v>5</v>
      </c>
      <c r="J974" t="s">
        <v>82</v>
      </c>
      <c r="K974">
        <v>154.02000000000001</v>
      </c>
      <c r="L974">
        <v>3080.48</v>
      </c>
      <c r="M974">
        <v>2926.46</v>
      </c>
      <c r="N974" t="s">
        <v>122</v>
      </c>
      <c r="O974">
        <v>2025</v>
      </c>
    </row>
    <row r="975" spans="1:15" x14ac:dyDescent="0.3">
      <c r="A975" t="s">
        <v>1060</v>
      </c>
      <c r="B975" t="s">
        <v>114</v>
      </c>
      <c r="C975" t="s">
        <v>17</v>
      </c>
      <c r="D975" t="s">
        <v>59</v>
      </c>
      <c r="E975" t="s">
        <v>19</v>
      </c>
      <c r="F975" s="1">
        <v>45591</v>
      </c>
      <c r="G975">
        <v>8</v>
      </c>
      <c r="H975">
        <v>29988.51</v>
      </c>
      <c r="I975">
        <v>15</v>
      </c>
      <c r="J975" t="s">
        <v>36</v>
      </c>
      <c r="K975">
        <v>35986.21</v>
      </c>
      <c r="L975">
        <v>239908.08</v>
      </c>
      <c r="M975">
        <v>203921.87</v>
      </c>
      <c r="N975" t="s">
        <v>57</v>
      </c>
      <c r="O975">
        <v>2024</v>
      </c>
    </row>
    <row r="976" spans="1:15" x14ac:dyDescent="0.3">
      <c r="A976" t="s">
        <v>1061</v>
      </c>
      <c r="B976" t="s">
        <v>61</v>
      </c>
      <c r="C976" t="s">
        <v>17</v>
      </c>
      <c r="D976" t="s">
        <v>59</v>
      </c>
      <c r="E976" t="s">
        <v>19</v>
      </c>
      <c r="F976" s="1">
        <v>45433</v>
      </c>
      <c r="G976">
        <v>2</v>
      </c>
      <c r="H976">
        <v>27803.72</v>
      </c>
      <c r="I976">
        <v>15</v>
      </c>
      <c r="J976" t="s">
        <v>45</v>
      </c>
      <c r="K976">
        <v>8341.1200000000008</v>
      </c>
      <c r="L976">
        <v>55607.44</v>
      </c>
      <c r="M976">
        <v>47266.32</v>
      </c>
      <c r="N976" t="s">
        <v>101</v>
      </c>
      <c r="O976">
        <v>2024</v>
      </c>
    </row>
    <row r="977" spans="1:15" x14ac:dyDescent="0.3">
      <c r="A977" t="s">
        <v>1062</v>
      </c>
      <c r="B977" t="s">
        <v>29</v>
      </c>
      <c r="C977" t="s">
        <v>90</v>
      </c>
      <c r="D977" t="s">
        <v>105</v>
      </c>
      <c r="E977" t="s">
        <v>44</v>
      </c>
      <c r="F977" s="1">
        <v>45641</v>
      </c>
      <c r="G977">
        <v>5</v>
      </c>
      <c r="H977">
        <v>3951.08</v>
      </c>
      <c r="I977">
        <v>0</v>
      </c>
      <c r="J977" t="s">
        <v>71</v>
      </c>
      <c r="K977">
        <v>0</v>
      </c>
      <c r="L977">
        <v>19755.400000000001</v>
      </c>
      <c r="M977">
        <v>19755.400000000001</v>
      </c>
      <c r="N977" t="s">
        <v>51</v>
      </c>
      <c r="O977">
        <v>2024</v>
      </c>
    </row>
    <row r="978" spans="1:15" x14ac:dyDescent="0.3">
      <c r="A978" t="s">
        <v>1063</v>
      </c>
      <c r="B978" t="s">
        <v>16</v>
      </c>
      <c r="C978" t="s">
        <v>62</v>
      </c>
      <c r="D978" t="s">
        <v>119</v>
      </c>
      <c r="E978" t="s">
        <v>44</v>
      </c>
      <c r="F978" s="1">
        <v>45661</v>
      </c>
      <c r="G978">
        <v>4</v>
      </c>
      <c r="H978">
        <v>3282.66</v>
      </c>
      <c r="I978">
        <v>20</v>
      </c>
      <c r="J978" t="s">
        <v>31</v>
      </c>
      <c r="K978">
        <v>2626.13</v>
      </c>
      <c r="L978">
        <v>13130.64</v>
      </c>
      <c r="M978">
        <v>10504.51</v>
      </c>
      <c r="N978" t="s">
        <v>116</v>
      </c>
      <c r="O978">
        <v>2025</v>
      </c>
    </row>
    <row r="979" spans="1:15" x14ac:dyDescent="0.3">
      <c r="A979" t="s">
        <v>1064</v>
      </c>
      <c r="B979" t="s">
        <v>53</v>
      </c>
      <c r="C979" t="s">
        <v>90</v>
      </c>
      <c r="D979" t="s">
        <v>107</v>
      </c>
      <c r="E979" t="s">
        <v>44</v>
      </c>
      <c r="F979" s="1">
        <v>45715</v>
      </c>
      <c r="G979">
        <v>7</v>
      </c>
      <c r="H979">
        <v>13494.2</v>
      </c>
      <c r="I979">
        <v>20</v>
      </c>
      <c r="J979" t="s">
        <v>31</v>
      </c>
      <c r="K979">
        <v>18891.88</v>
      </c>
      <c r="L979">
        <v>94459.4</v>
      </c>
      <c r="M979">
        <v>75567.520000000004</v>
      </c>
      <c r="N979" t="s">
        <v>41</v>
      </c>
      <c r="O979">
        <v>2025</v>
      </c>
    </row>
    <row r="980" spans="1:15" x14ac:dyDescent="0.3">
      <c r="A980" t="s">
        <v>1065</v>
      </c>
      <c r="B980" t="s">
        <v>89</v>
      </c>
      <c r="C980" t="s">
        <v>62</v>
      </c>
      <c r="D980" t="s">
        <v>95</v>
      </c>
      <c r="E980" t="s">
        <v>50</v>
      </c>
      <c r="F980" s="1">
        <v>45821</v>
      </c>
      <c r="G980">
        <v>2</v>
      </c>
      <c r="H980">
        <v>736.96</v>
      </c>
      <c r="I980">
        <v>10</v>
      </c>
      <c r="J980" t="s">
        <v>26</v>
      </c>
      <c r="K980">
        <v>147.38999999999999</v>
      </c>
      <c r="L980">
        <v>1473.92</v>
      </c>
      <c r="M980">
        <v>1326.53</v>
      </c>
      <c r="N980" t="s">
        <v>72</v>
      </c>
      <c r="O980">
        <v>2025</v>
      </c>
    </row>
    <row r="981" spans="1:15" x14ac:dyDescent="0.3">
      <c r="A981" t="s">
        <v>1066</v>
      </c>
      <c r="B981" t="s">
        <v>23</v>
      </c>
      <c r="C981" t="s">
        <v>90</v>
      </c>
      <c r="D981" t="s">
        <v>107</v>
      </c>
      <c r="E981" t="s">
        <v>25</v>
      </c>
      <c r="F981" s="1">
        <v>45329</v>
      </c>
      <c r="G981">
        <v>3</v>
      </c>
      <c r="H981">
        <v>13507.53</v>
      </c>
      <c r="I981">
        <v>0</v>
      </c>
      <c r="J981" t="s">
        <v>31</v>
      </c>
      <c r="K981">
        <v>0</v>
      </c>
      <c r="L981">
        <v>40522.589999999997</v>
      </c>
      <c r="M981">
        <v>40522.589999999997</v>
      </c>
      <c r="N981" t="s">
        <v>41</v>
      </c>
      <c r="O981">
        <v>2024</v>
      </c>
    </row>
    <row r="982" spans="1:15" x14ac:dyDescent="0.3">
      <c r="A982" t="s">
        <v>1067</v>
      </c>
      <c r="B982" t="s">
        <v>23</v>
      </c>
      <c r="C982" t="s">
        <v>54</v>
      </c>
      <c r="D982" t="s">
        <v>137</v>
      </c>
      <c r="E982" t="s">
        <v>56</v>
      </c>
      <c r="F982" s="1">
        <v>45613</v>
      </c>
      <c r="G982">
        <v>6</v>
      </c>
      <c r="H982">
        <v>892.96</v>
      </c>
      <c r="I982">
        <v>10</v>
      </c>
      <c r="J982" t="s">
        <v>40</v>
      </c>
      <c r="K982">
        <v>535.78</v>
      </c>
      <c r="L982">
        <v>5357.76</v>
      </c>
      <c r="M982">
        <v>4821.9799999999996</v>
      </c>
      <c r="N982" t="s">
        <v>96</v>
      </c>
      <c r="O982">
        <v>2024</v>
      </c>
    </row>
    <row r="983" spans="1:15" x14ac:dyDescent="0.3">
      <c r="A983" t="s">
        <v>1068</v>
      </c>
      <c r="B983" t="s">
        <v>114</v>
      </c>
      <c r="C983" t="s">
        <v>54</v>
      </c>
      <c r="D983" t="s">
        <v>77</v>
      </c>
      <c r="E983" t="s">
        <v>50</v>
      </c>
      <c r="F983" s="1">
        <v>45748</v>
      </c>
      <c r="G983">
        <v>4</v>
      </c>
      <c r="H983">
        <v>5609.47</v>
      </c>
      <c r="I983">
        <v>20</v>
      </c>
      <c r="J983" t="s">
        <v>31</v>
      </c>
      <c r="K983">
        <v>4487.58</v>
      </c>
      <c r="L983">
        <v>22437.88</v>
      </c>
      <c r="M983">
        <v>17950.3</v>
      </c>
      <c r="N983" t="s">
        <v>27</v>
      </c>
      <c r="O983">
        <v>2025</v>
      </c>
    </row>
    <row r="984" spans="1:15" x14ac:dyDescent="0.3">
      <c r="A984" t="s">
        <v>1069</v>
      </c>
      <c r="B984" t="s">
        <v>16</v>
      </c>
      <c r="C984" t="s">
        <v>54</v>
      </c>
      <c r="D984" t="s">
        <v>68</v>
      </c>
      <c r="E984" t="s">
        <v>19</v>
      </c>
      <c r="F984" s="1">
        <v>45494</v>
      </c>
      <c r="G984">
        <v>5</v>
      </c>
      <c r="H984">
        <v>4144.82</v>
      </c>
      <c r="I984">
        <v>20</v>
      </c>
      <c r="J984" t="s">
        <v>31</v>
      </c>
      <c r="K984">
        <v>4144.82</v>
      </c>
      <c r="L984">
        <v>20724.099999999999</v>
      </c>
      <c r="M984">
        <v>16579.28</v>
      </c>
      <c r="N984" t="s">
        <v>122</v>
      </c>
      <c r="O984">
        <v>2024</v>
      </c>
    </row>
    <row r="985" spans="1:15" x14ac:dyDescent="0.3">
      <c r="A985" t="s">
        <v>1070</v>
      </c>
      <c r="B985" t="s">
        <v>16</v>
      </c>
      <c r="C985" t="s">
        <v>62</v>
      </c>
      <c r="D985" t="s">
        <v>99</v>
      </c>
      <c r="E985" t="s">
        <v>30</v>
      </c>
      <c r="F985" s="1">
        <v>45824</v>
      </c>
      <c r="G985">
        <v>9</v>
      </c>
      <c r="H985">
        <v>1456.47</v>
      </c>
      <c r="I985">
        <v>0</v>
      </c>
      <c r="J985" t="s">
        <v>36</v>
      </c>
      <c r="K985">
        <v>0</v>
      </c>
      <c r="L985">
        <v>13108.23</v>
      </c>
      <c r="M985">
        <v>13108.23</v>
      </c>
      <c r="N985" t="s">
        <v>72</v>
      </c>
      <c r="O985">
        <v>2025</v>
      </c>
    </row>
    <row r="986" spans="1:15" x14ac:dyDescent="0.3">
      <c r="A986" t="s">
        <v>1071</v>
      </c>
      <c r="B986" t="s">
        <v>43</v>
      </c>
      <c r="C986" t="s">
        <v>54</v>
      </c>
      <c r="D986" t="s">
        <v>77</v>
      </c>
      <c r="E986" t="s">
        <v>81</v>
      </c>
      <c r="F986" s="1">
        <v>45942</v>
      </c>
      <c r="G986">
        <v>3</v>
      </c>
      <c r="H986">
        <v>4982.2</v>
      </c>
      <c r="I986">
        <v>20</v>
      </c>
      <c r="J986" t="s">
        <v>45</v>
      </c>
      <c r="K986">
        <v>2989.32</v>
      </c>
      <c r="L986">
        <v>14946.6</v>
      </c>
      <c r="M986">
        <v>11957.28</v>
      </c>
      <c r="N986" t="s">
        <v>57</v>
      </c>
      <c r="O986">
        <v>2025</v>
      </c>
    </row>
    <row r="987" spans="1:15" x14ac:dyDescent="0.3">
      <c r="A987" t="s">
        <v>1072</v>
      </c>
      <c r="B987" t="s">
        <v>29</v>
      </c>
      <c r="C987" t="s">
        <v>54</v>
      </c>
      <c r="D987" t="s">
        <v>137</v>
      </c>
      <c r="E987" t="s">
        <v>44</v>
      </c>
      <c r="F987" s="1">
        <v>45724</v>
      </c>
      <c r="G987">
        <v>9</v>
      </c>
      <c r="H987">
        <v>834.85</v>
      </c>
      <c r="I987">
        <v>0</v>
      </c>
      <c r="J987" t="s">
        <v>40</v>
      </c>
      <c r="K987">
        <v>0</v>
      </c>
      <c r="L987">
        <v>7513.65</v>
      </c>
      <c r="M987">
        <v>7513.65</v>
      </c>
      <c r="N987" t="s">
        <v>83</v>
      </c>
      <c r="O987">
        <v>2025</v>
      </c>
    </row>
    <row r="988" spans="1:15" x14ac:dyDescent="0.3">
      <c r="A988" t="s">
        <v>1073</v>
      </c>
      <c r="B988" t="s">
        <v>61</v>
      </c>
      <c r="C988" t="s">
        <v>62</v>
      </c>
      <c r="D988" t="s">
        <v>119</v>
      </c>
      <c r="E988" t="s">
        <v>81</v>
      </c>
      <c r="F988" s="1">
        <v>45418</v>
      </c>
      <c r="G988">
        <v>1</v>
      </c>
      <c r="H988">
        <v>3811.99</v>
      </c>
      <c r="I988">
        <v>0</v>
      </c>
      <c r="J988" t="s">
        <v>45</v>
      </c>
      <c r="K988">
        <v>0</v>
      </c>
      <c r="L988">
        <v>3811.99</v>
      </c>
      <c r="M988">
        <v>3811.99</v>
      </c>
      <c r="N988" t="s">
        <v>101</v>
      </c>
      <c r="O988">
        <v>2024</v>
      </c>
    </row>
    <row r="989" spans="1:15" x14ac:dyDescent="0.3">
      <c r="A989" t="s">
        <v>1074</v>
      </c>
      <c r="B989" t="s">
        <v>93</v>
      </c>
      <c r="C989" t="s">
        <v>90</v>
      </c>
      <c r="D989" t="s">
        <v>115</v>
      </c>
      <c r="E989" t="s">
        <v>30</v>
      </c>
      <c r="F989" s="1">
        <v>45756</v>
      </c>
      <c r="G989">
        <v>6</v>
      </c>
      <c r="H989">
        <v>9165.9</v>
      </c>
      <c r="I989">
        <v>20</v>
      </c>
      <c r="J989" t="s">
        <v>26</v>
      </c>
      <c r="K989">
        <v>10999.08</v>
      </c>
      <c r="L989">
        <v>54995.4</v>
      </c>
      <c r="M989">
        <v>43996.32</v>
      </c>
      <c r="N989" t="s">
        <v>27</v>
      </c>
      <c r="O989">
        <v>2025</v>
      </c>
    </row>
    <row r="990" spans="1:15" x14ac:dyDescent="0.3">
      <c r="A990" t="s">
        <v>1075</v>
      </c>
      <c r="B990" t="s">
        <v>38</v>
      </c>
      <c r="C990" t="s">
        <v>54</v>
      </c>
      <c r="D990" t="s">
        <v>77</v>
      </c>
      <c r="E990" t="s">
        <v>81</v>
      </c>
      <c r="F990" s="1">
        <v>45650</v>
      </c>
      <c r="G990">
        <v>5</v>
      </c>
      <c r="H990">
        <v>5341.24</v>
      </c>
      <c r="I990">
        <v>20</v>
      </c>
      <c r="J990" t="s">
        <v>20</v>
      </c>
      <c r="K990">
        <v>5341.24</v>
      </c>
      <c r="L990">
        <v>26706.2</v>
      </c>
      <c r="M990">
        <v>21364.959999999999</v>
      </c>
      <c r="N990" t="s">
        <v>51</v>
      </c>
      <c r="O990">
        <v>2024</v>
      </c>
    </row>
    <row r="991" spans="1:15" x14ac:dyDescent="0.3">
      <c r="A991" t="s">
        <v>1076</v>
      </c>
      <c r="B991" t="s">
        <v>65</v>
      </c>
      <c r="C991" t="s">
        <v>34</v>
      </c>
      <c r="D991" t="s">
        <v>35</v>
      </c>
      <c r="E991" t="s">
        <v>30</v>
      </c>
      <c r="F991" s="1">
        <v>45399</v>
      </c>
      <c r="G991">
        <v>6</v>
      </c>
      <c r="H991">
        <v>25727.82</v>
      </c>
      <c r="I991">
        <v>5</v>
      </c>
      <c r="J991" t="s">
        <v>20</v>
      </c>
      <c r="K991">
        <v>7718.35</v>
      </c>
      <c r="L991">
        <v>154366.92000000001</v>
      </c>
      <c r="M991">
        <v>146648.57</v>
      </c>
      <c r="N991" t="s">
        <v>27</v>
      </c>
      <c r="O991">
        <v>2024</v>
      </c>
    </row>
    <row r="992" spans="1:15" x14ac:dyDescent="0.3">
      <c r="A992" t="s">
        <v>1077</v>
      </c>
      <c r="B992" t="s">
        <v>47</v>
      </c>
      <c r="C992" t="s">
        <v>62</v>
      </c>
      <c r="D992" t="s">
        <v>99</v>
      </c>
      <c r="E992" t="s">
        <v>50</v>
      </c>
      <c r="F992" s="1">
        <v>45713</v>
      </c>
      <c r="G992">
        <v>2</v>
      </c>
      <c r="H992">
        <v>1384.59</v>
      </c>
      <c r="I992">
        <v>15</v>
      </c>
      <c r="J992" t="s">
        <v>31</v>
      </c>
      <c r="K992">
        <v>415.38</v>
      </c>
      <c r="L992">
        <v>2769.18</v>
      </c>
      <c r="M992">
        <v>2353.8000000000002</v>
      </c>
      <c r="N992" t="s">
        <v>41</v>
      </c>
      <c r="O992">
        <v>2025</v>
      </c>
    </row>
    <row r="993" spans="1:15" x14ac:dyDescent="0.3">
      <c r="A993" t="s">
        <v>1078</v>
      </c>
      <c r="B993" t="s">
        <v>29</v>
      </c>
      <c r="C993" t="s">
        <v>34</v>
      </c>
      <c r="D993" t="s">
        <v>35</v>
      </c>
      <c r="E993" t="s">
        <v>56</v>
      </c>
      <c r="F993" s="1">
        <v>45670</v>
      </c>
      <c r="G993">
        <v>9</v>
      </c>
      <c r="H993">
        <v>25017.21</v>
      </c>
      <c r="I993">
        <v>20</v>
      </c>
      <c r="J993" t="s">
        <v>82</v>
      </c>
      <c r="K993">
        <v>45030.98</v>
      </c>
      <c r="L993">
        <v>225154.89</v>
      </c>
      <c r="M993">
        <v>180123.91</v>
      </c>
      <c r="N993" t="s">
        <v>116</v>
      </c>
      <c r="O993">
        <v>2025</v>
      </c>
    </row>
    <row r="994" spans="1:15" x14ac:dyDescent="0.3">
      <c r="A994" t="s">
        <v>1079</v>
      </c>
      <c r="B994" t="s">
        <v>38</v>
      </c>
      <c r="C994" t="s">
        <v>54</v>
      </c>
      <c r="D994" t="s">
        <v>68</v>
      </c>
      <c r="E994" t="s">
        <v>19</v>
      </c>
      <c r="F994" s="1">
        <v>45943</v>
      </c>
      <c r="G994">
        <v>7</v>
      </c>
      <c r="H994">
        <v>5688.18</v>
      </c>
      <c r="I994">
        <v>15</v>
      </c>
      <c r="J994" t="s">
        <v>71</v>
      </c>
      <c r="K994">
        <v>5972.59</v>
      </c>
      <c r="L994">
        <v>39817.26</v>
      </c>
      <c r="M994">
        <v>33844.67</v>
      </c>
      <c r="N994" t="s">
        <v>57</v>
      </c>
      <c r="O994">
        <v>2025</v>
      </c>
    </row>
    <row r="995" spans="1:15" x14ac:dyDescent="0.3">
      <c r="A995" t="s">
        <v>1080</v>
      </c>
      <c r="B995" t="s">
        <v>53</v>
      </c>
      <c r="C995" t="s">
        <v>90</v>
      </c>
      <c r="D995" t="s">
        <v>107</v>
      </c>
      <c r="E995" t="s">
        <v>81</v>
      </c>
      <c r="F995" s="1">
        <v>45788</v>
      </c>
      <c r="G995">
        <v>8</v>
      </c>
      <c r="H995">
        <v>11188.16</v>
      </c>
      <c r="I995">
        <v>20</v>
      </c>
      <c r="J995" t="s">
        <v>36</v>
      </c>
      <c r="K995">
        <v>17901.060000000001</v>
      </c>
      <c r="L995">
        <v>89505.279999999999</v>
      </c>
      <c r="M995">
        <v>71604.22</v>
      </c>
      <c r="N995" t="s">
        <v>101</v>
      </c>
      <c r="O995">
        <v>2025</v>
      </c>
    </row>
    <row r="996" spans="1:15" x14ac:dyDescent="0.3">
      <c r="A996" t="s">
        <v>1081</v>
      </c>
      <c r="B996" t="s">
        <v>16</v>
      </c>
      <c r="C996" t="s">
        <v>54</v>
      </c>
      <c r="D996" t="s">
        <v>70</v>
      </c>
      <c r="E996" t="s">
        <v>50</v>
      </c>
      <c r="F996" s="1">
        <v>45776</v>
      </c>
      <c r="G996">
        <v>1</v>
      </c>
      <c r="H996">
        <v>2716.56</v>
      </c>
      <c r="I996">
        <v>20</v>
      </c>
      <c r="J996" t="s">
        <v>71</v>
      </c>
      <c r="K996">
        <v>543.30999999999995</v>
      </c>
      <c r="L996">
        <v>2716.56</v>
      </c>
      <c r="M996">
        <v>2173.25</v>
      </c>
      <c r="N996" t="s">
        <v>27</v>
      </c>
      <c r="O996">
        <v>2025</v>
      </c>
    </row>
    <row r="997" spans="1:15" x14ac:dyDescent="0.3">
      <c r="A997" t="s">
        <v>1082</v>
      </c>
      <c r="B997" t="s">
        <v>93</v>
      </c>
      <c r="C997" t="s">
        <v>62</v>
      </c>
      <c r="D997" t="s">
        <v>95</v>
      </c>
      <c r="E997" t="s">
        <v>44</v>
      </c>
      <c r="F997" s="1">
        <v>45404</v>
      </c>
      <c r="G997">
        <v>2</v>
      </c>
      <c r="H997">
        <v>793.92</v>
      </c>
      <c r="I997">
        <v>10</v>
      </c>
      <c r="J997" t="s">
        <v>31</v>
      </c>
      <c r="K997">
        <v>158.78</v>
      </c>
      <c r="L997">
        <v>1587.84</v>
      </c>
      <c r="M997">
        <v>1429.06</v>
      </c>
      <c r="N997" t="s">
        <v>27</v>
      </c>
      <c r="O997">
        <v>2024</v>
      </c>
    </row>
    <row r="998" spans="1:15" x14ac:dyDescent="0.3">
      <c r="A998" t="s">
        <v>1083</v>
      </c>
      <c r="B998" t="s">
        <v>53</v>
      </c>
      <c r="C998" t="s">
        <v>17</v>
      </c>
      <c r="D998" t="s">
        <v>24</v>
      </c>
      <c r="E998" t="s">
        <v>25</v>
      </c>
      <c r="F998" s="1">
        <v>45604</v>
      </c>
      <c r="G998">
        <v>6</v>
      </c>
      <c r="H998">
        <v>3220.19</v>
      </c>
      <c r="I998">
        <v>15</v>
      </c>
      <c r="J998" t="s">
        <v>45</v>
      </c>
      <c r="K998">
        <v>2898.17</v>
      </c>
      <c r="L998">
        <v>19321.14</v>
      </c>
      <c r="M998">
        <v>16422.97</v>
      </c>
      <c r="N998" t="s">
        <v>96</v>
      </c>
      <c r="O998">
        <v>2024</v>
      </c>
    </row>
    <row r="999" spans="1:15" x14ac:dyDescent="0.3">
      <c r="A999" t="s">
        <v>1084</v>
      </c>
      <c r="B999" t="s">
        <v>53</v>
      </c>
      <c r="C999" t="s">
        <v>17</v>
      </c>
      <c r="D999" t="s">
        <v>59</v>
      </c>
      <c r="E999" t="s">
        <v>44</v>
      </c>
      <c r="F999" s="1">
        <v>45341</v>
      </c>
      <c r="G999">
        <v>5</v>
      </c>
      <c r="H999">
        <v>28056.61</v>
      </c>
      <c r="I999">
        <v>5</v>
      </c>
      <c r="J999" t="s">
        <v>31</v>
      </c>
      <c r="K999">
        <v>7014.15</v>
      </c>
      <c r="L999">
        <v>140283.04999999999</v>
      </c>
      <c r="M999">
        <v>133268.9</v>
      </c>
      <c r="N999" t="s">
        <v>41</v>
      </c>
      <c r="O999">
        <v>2024</v>
      </c>
    </row>
    <row r="1000" spans="1:15" x14ac:dyDescent="0.3">
      <c r="A1000" t="s">
        <v>1085</v>
      </c>
      <c r="B1000" t="s">
        <v>109</v>
      </c>
      <c r="C1000" t="s">
        <v>34</v>
      </c>
      <c r="D1000" t="s">
        <v>35</v>
      </c>
      <c r="E1000" t="s">
        <v>25</v>
      </c>
      <c r="F1000" s="1">
        <v>45361</v>
      </c>
      <c r="G1000">
        <v>1</v>
      </c>
      <c r="H1000">
        <v>25109.84</v>
      </c>
      <c r="I1000">
        <v>20</v>
      </c>
      <c r="J1000" t="s">
        <v>45</v>
      </c>
      <c r="K1000">
        <v>5021.97</v>
      </c>
      <c r="L1000">
        <v>25109.84</v>
      </c>
      <c r="M1000">
        <v>20087.87</v>
      </c>
      <c r="N1000" t="s">
        <v>83</v>
      </c>
      <c r="O1000">
        <v>2024</v>
      </c>
    </row>
    <row r="1001" spans="1:15" x14ac:dyDescent="0.3">
      <c r="A1001" t="s">
        <v>1086</v>
      </c>
      <c r="B1001" t="s">
        <v>89</v>
      </c>
      <c r="C1001" t="s">
        <v>62</v>
      </c>
      <c r="D1001" t="s">
        <v>132</v>
      </c>
      <c r="E1001" t="s">
        <v>19</v>
      </c>
      <c r="F1001" s="1">
        <v>45778</v>
      </c>
      <c r="G1001">
        <v>10</v>
      </c>
      <c r="H1001">
        <v>2333.0100000000002</v>
      </c>
      <c r="I1001">
        <v>5</v>
      </c>
      <c r="J1001" t="s">
        <v>31</v>
      </c>
      <c r="K1001">
        <v>1166.5</v>
      </c>
      <c r="L1001">
        <v>23330.1</v>
      </c>
      <c r="M1001">
        <v>22163.599999999999</v>
      </c>
      <c r="N1001" t="s">
        <v>101</v>
      </c>
      <c r="O1001">
        <v>2025</v>
      </c>
    </row>
    <row r="1002" spans="1:15" x14ac:dyDescent="0.3">
      <c r="A1002" t="s">
        <v>1087</v>
      </c>
      <c r="B1002" t="s">
        <v>74</v>
      </c>
      <c r="C1002" t="s">
        <v>54</v>
      </c>
      <c r="D1002" t="s">
        <v>68</v>
      </c>
      <c r="E1002" t="s">
        <v>56</v>
      </c>
      <c r="F1002" s="1">
        <v>45444</v>
      </c>
      <c r="G1002">
        <v>6</v>
      </c>
      <c r="H1002">
        <v>4150.4799999999996</v>
      </c>
      <c r="I1002">
        <v>20</v>
      </c>
      <c r="J1002" t="s">
        <v>71</v>
      </c>
      <c r="K1002">
        <v>4980.58</v>
      </c>
      <c r="L1002">
        <v>24902.880000000001</v>
      </c>
      <c r="M1002">
        <v>19922.3</v>
      </c>
      <c r="N1002" t="s">
        <v>72</v>
      </c>
      <c r="O1002">
        <v>2024</v>
      </c>
    </row>
    <row r="1003" spans="1:15" x14ac:dyDescent="0.3">
      <c r="A1003" t="s">
        <v>1088</v>
      </c>
      <c r="B1003" t="s">
        <v>23</v>
      </c>
      <c r="C1003" t="s">
        <v>54</v>
      </c>
      <c r="D1003" t="s">
        <v>68</v>
      </c>
      <c r="E1003" t="s">
        <v>50</v>
      </c>
      <c r="F1003" s="1">
        <v>45639</v>
      </c>
      <c r="G1003">
        <v>9</v>
      </c>
      <c r="H1003">
        <v>4511.7</v>
      </c>
      <c r="I1003">
        <v>15</v>
      </c>
      <c r="J1003" t="s">
        <v>31</v>
      </c>
      <c r="K1003">
        <v>6090.8</v>
      </c>
      <c r="L1003">
        <v>40605.300000000003</v>
      </c>
      <c r="M1003">
        <v>34514.5</v>
      </c>
      <c r="N1003" t="s">
        <v>51</v>
      </c>
      <c r="O1003">
        <v>2024</v>
      </c>
    </row>
    <row r="1004" spans="1:15" x14ac:dyDescent="0.3">
      <c r="A1004" t="s">
        <v>1089</v>
      </c>
      <c r="B1004" t="s">
        <v>38</v>
      </c>
      <c r="C1004" t="s">
        <v>62</v>
      </c>
      <c r="D1004" t="s">
        <v>95</v>
      </c>
      <c r="E1004" t="s">
        <v>50</v>
      </c>
      <c r="F1004" s="1">
        <v>45877</v>
      </c>
      <c r="G1004">
        <v>5</v>
      </c>
      <c r="H1004">
        <v>832.21</v>
      </c>
      <c r="I1004">
        <v>0</v>
      </c>
      <c r="J1004" t="s">
        <v>26</v>
      </c>
      <c r="K1004">
        <v>0</v>
      </c>
      <c r="L1004">
        <v>4161.05</v>
      </c>
      <c r="M1004">
        <v>4161.05</v>
      </c>
      <c r="N1004" t="s">
        <v>21</v>
      </c>
      <c r="O1004">
        <v>2025</v>
      </c>
    </row>
    <row r="1005" spans="1:15" x14ac:dyDescent="0.3">
      <c r="A1005" t="s">
        <v>1090</v>
      </c>
      <c r="B1005" t="s">
        <v>29</v>
      </c>
      <c r="C1005" t="s">
        <v>54</v>
      </c>
      <c r="D1005" t="s">
        <v>70</v>
      </c>
      <c r="E1005" t="s">
        <v>81</v>
      </c>
      <c r="F1005" s="1">
        <v>45875</v>
      </c>
      <c r="G1005">
        <v>9</v>
      </c>
      <c r="H1005">
        <v>2368.37</v>
      </c>
      <c r="I1005">
        <v>15</v>
      </c>
      <c r="J1005" t="s">
        <v>26</v>
      </c>
      <c r="K1005">
        <v>3197.3</v>
      </c>
      <c r="L1005">
        <v>21315.33</v>
      </c>
      <c r="M1005">
        <v>18118.03</v>
      </c>
      <c r="N1005" t="s">
        <v>21</v>
      </c>
      <c r="O1005">
        <v>2025</v>
      </c>
    </row>
    <row r="1006" spans="1:15" x14ac:dyDescent="0.3">
      <c r="A1006" t="s">
        <v>1091</v>
      </c>
      <c r="B1006" t="s">
        <v>47</v>
      </c>
      <c r="C1006" t="s">
        <v>54</v>
      </c>
      <c r="D1006" t="s">
        <v>70</v>
      </c>
      <c r="E1006" t="s">
        <v>30</v>
      </c>
      <c r="F1006" s="1">
        <v>45311</v>
      </c>
      <c r="G1006">
        <v>5</v>
      </c>
      <c r="H1006">
        <v>2741.72</v>
      </c>
      <c r="I1006">
        <v>5</v>
      </c>
      <c r="J1006" t="s">
        <v>36</v>
      </c>
      <c r="K1006">
        <v>685.43</v>
      </c>
      <c r="L1006">
        <v>13708.6</v>
      </c>
      <c r="M1006">
        <v>13023.17</v>
      </c>
      <c r="N1006" t="s">
        <v>116</v>
      </c>
      <c r="O1006">
        <v>2024</v>
      </c>
    </row>
    <row r="1007" spans="1:15" x14ac:dyDescent="0.3">
      <c r="A1007" t="s">
        <v>1092</v>
      </c>
      <c r="B1007" t="s">
        <v>47</v>
      </c>
      <c r="C1007" t="s">
        <v>54</v>
      </c>
      <c r="D1007" t="s">
        <v>68</v>
      </c>
      <c r="E1007" t="s">
        <v>44</v>
      </c>
      <c r="F1007" s="1">
        <v>45703</v>
      </c>
      <c r="G1007">
        <v>10</v>
      </c>
      <c r="H1007">
        <v>4100.6099999999997</v>
      </c>
      <c r="I1007">
        <v>0</v>
      </c>
      <c r="J1007" t="s">
        <v>45</v>
      </c>
      <c r="K1007">
        <v>0</v>
      </c>
      <c r="L1007">
        <v>41006.1</v>
      </c>
      <c r="M1007">
        <v>41006.1</v>
      </c>
      <c r="N1007" t="s">
        <v>41</v>
      </c>
      <c r="O1007">
        <v>2025</v>
      </c>
    </row>
    <row r="1008" spans="1:15" x14ac:dyDescent="0.3">
      <c r="A1008" t="s">
        <v>1093</v>
      </c>
      <c r="B1008" t="s">
        <v>53</v>
      </c>
      <c r="C1008" t="s">
        <v>62</v>
      </c>
      <c r="D1008" t="s">
        <v>99</v>
      </c>
      <c r="E1008" t="s">
        <v>56</v>
      </c>
      <c r="F1008" s="1">
        <v>45832</v>
      </c>
      <c r="G1008">
        <v>6</v>
      </c>
      <c r="H1008">
        <v>1493.25</v>
      </c>
      <c r="I1008">
        <v>0</v>
      </c>
      <c r="J1008" t="s">
        <v>26</v>
      </c>
      <c r="K1008">
        <v>0</v>
      </c>
      <c r="L1008">
        <v>8959.5</v>
      </c>
      <c r="M1008">
        <v>8959.5</v>
      </c>
      <c r="N1008" t="s">
        <v>72</v>
      </c>
      <c r="O1008">
        <v>2025</v>
      </c>
    </row>
    <row r="1009" spans="1:15" x14ac:dyDescent="0.3">
      <c r="A1009" t="s">
        <v>1094</v>
      </c>
      <c r="B1009" t="s">
        <v>65</v>
      </c>
      <c r="C1009" t="s">
        <v>17</v>
      </c>
      <c r="D1009" t="s">
        <v>18</v>
      </c>
      <c r="E1009" t="s">
        <v>50</v>
      </c>
      <c r="F1009" s="1">
        <v>45439</v>
      </c>
      <c r="G1009">
        <v>3</v>
      </c>
      <c r="H1009">
        <v>62652.76</v>
      </c>
      <c r="I1009">
        <v>0</v>
      </c>
      <c r="J1009" t="s">
        <v>40</v>
      </c>
      <c r="K1009">
        <v>0</v>
      </c>
      <c r="L1009">
        <v>187958.28</v>
      </c>
      <c r="M1009">
        <v>187958.28</v>
      </c>
      <c r="N1009" t="s">
        <v>101</v>
      </c>
      <c r="O1009">
        <v>2024</v>
      </c>
    </row>
    <row r="1010" spans="1:15" x14ac:dyDescent="0.3">
      <c r="A1010" t="s">
        <v>1095</v>
      </c>
      <c r="B1010" t="s">
        <v>23</v>
      </c>
      <c r="C1010" t="s">
        <v>34</v>
      </c>
      <c r="D1010" t="s">
        <v>48</v>
      </c>
      <c r="E1010" t="s">
        <v>30</v>
      </c>
      <c r="F1010" s="1">
        <v>45352</v>
      </c>
      <c r="G1010">
        <v>10</v>
      </c>
      <c r="H1010">
        <v>9122.25</v>
      </c>
      <c r="I1010">
        <v>5</v>
      </c>
      <c r="J1010" t="s">
        <v>36</v>
      </c>
      <c r="K1010">
        <v>4561.12</v>
      </c>
      <c r="L1010">
        <v>91222.5</v>
      </c>
      <c r="M1010">
        <v>86661.38</v>
      </c>
      <c r="N1010" t="s">
        <v>83</v>
      </c>
      <c r="O1010">
        <v>2024</v>
      </c>
    </row>
    <row r="1011" spans="1:15" x14ac:dyDescent="0.3">
      <c r="A1011" t="s">
        <v>1096</v>
      </c>
      <c r="B1011" t="s">
        <v>43</v>
      </c>
      <c r="C1011" t="s">
        <v>17</v>
      </c>
      <c r="D1011" t="s">
        <v>18</v>
      </c>
      <c r="E1011" t="s">
        <v>56</v>
      </c>
      <c r="F1011" s="1">
        <v>45619</v>
      </c>
      <c r="G1011">
        <v>3</v>
      </c>
      <c r="H1011">
        <v>71729.210000000006</v>
      </c>
      <c r="I1011">
        <v>10</v>
      </c>
      <c r="J1011" t="s">
        <v>82</v>
      </c>
      <c r="K1011">
        <v>21518.76</v>
      </c>
      <c r="L1011">
        <v>215187.63</v>
      </c>
      <c r="M1011">
        <v>193668.87</v>
      </c>
      <c r="N1011" t="s">
        <v>96</v>
      </c>
      <c r="O1011">
        <v>2024</v>
      </c>
    </row>
    <row r="1012" spans="1:15" x14ac:dyDescent="0.3">
      <c r="A1012" t="s">
        <v>1097</v>
      </c>
      <c r="B1012" t="s">
        <v>38</v>
      </c>
      <c r="C1012" t="s">
        <v>62</v>
      </c>
      <c r="D1012" t="s">
        <v>99</v>
      </c>
      <c r="E1012" t="s">
        <v>25</v>
      </c>
      <c r="F1012" s="1">
        <v>45499</v>
      </c>
      <c r="G1012">
        <v>4</v>
      </c>
      <c r="H1012">
        <v>1632.05</v>
      </c>
      <c r="I1012">
        <v>20</v>
      </c>
      <c r="J1012" t="s">
        <v>26</v>
      </c>
      <c r="K1012">
        <v>1305.6400000000001</v>
      </c>
      <c r="L1012">
        <v>6528.2</v>
      </c>
      <c r="M1012">
        <v>5222.5600000000004</v>
      </c>
      <c r="N1012" t="s">
        <v>122</v>
      </c>
      <c r="O1012">
        <v>2024</v>
      </c>
    </row>
    <row r="1013" spans="1:15" x14ac:dyDescent="0.3">
      <c r="A1013" t="s">
        <v>1098</v>
      </c>
      <c r="B1013" t="s">
        <v>65</v>
      </c>
      <c r="C1013" t="s">
        <v>34</v>
      </c>
      <c r="D1013" t="s">
        <v>35</v>
      </c>
      <c r="E1013" t="s">
        <v>44</v>
      </c>
      <c r="F1013" s="1">
        <v>45409</v>
      </c>
      <c r="G1013">
        <v>5</v>
      </c>
      <c r="H1013">
        <v>22878.95</v>
      </c>
      <c r="I1013">
        <v>15</v>
      </c>
      <c r="J1013" t="s">
        <v>31</v>
      </c>
      <c r="K1013">
        <v>17159.21</v>
      </c>
      <c r="L1013">
        <v>114394.75</v>
      </c>
      <c r="M1013">
        <v>97235.54</v>
      </c>
      <c r="N1013" t="s">
        <v>27</v>
      </c>
      <c r="O1013">
        <v>2024</v>
      </c>
    </row>
    <row r="1014" spans="1:15" x14ac:dyDescent="0.3">
      <c r="A1014" t="s">
        <v>1099</v>
      </c>
      <c r="B1014" t="s">
        <v>47</v>
      </c>
      <c r="C1014" t="s">
        <v>54</v>
      </c>
      <c r="D1014" t="s">
        <v>68</v>
      </c>
      <c r="E1014" t="s">
        <v>56</v>
      </c>
      <c r="F1014" s="1">
        <v>45709</v>
      </c>
      <c r="G1014">
        <v>4</v>
      </c>
      <c r="H1014">
        <v>5077.95</v>
      </c>
      <c r="I1014">
        <v>0</v>
      </c>
      <c r="J1014" t="s">
        <v>26</v>
      </c>
      <c r="K1014">
        <v>0</v>
      </c>
      <c r="L1014">
        <v>20311.8</v>
      </c>
      <c r="M1014">
        <v>20311.8</v>
      </c>
      <c r="N1014" t="s">
        <v>41</v>
      </c>
      <c r="O1014">
        <v>2025</v>
      </c>
    </row>
    <row r="1015" spans="1:15" x14ac:dyDescent="0.3">
      <c r="A1015" t="s">
        <v>1100</v>
      </c>
      <c r="B1015" t="s">
        <v>93</v>
      </c>
      <c r="C1015" t="s">
        <v>62</v>
      </c>
      <c r="D1015" t="s">
        <v>132</v>
      </c>
      <c r="E1015" t="s">
        <v>30</v>
      </c>
      <c r="F1015" s="1">
        <v>45544</v>
      </c>
      <c r="G1015">
        <v>9</v>
      </c>
      <c r="H1015">
        <v>2657.22</v>
      </c>
      <c r="I1015">
        <v>5</v>
      </c>
      <c r="J1015" t="s">
        <v>82</v>
      </c>
      <c r="K1015">
        <v>1195.75</v>
      </c>
      <c r="L1015">
        <v>23914.98</v>
      </c>
      <c r="M1015">
        <v>22719.23</v>
      </c>
      <c r="N1015" t="s">
        <v>86</v>
      </c>
      <c r="O1015">
        <v>2024</v>
      </c>
    </row>
    <row r="1016" spans="1:15" x14ac:dyDescent="0.3">
      <c r="A1016" t="s">
        <v>1101</v>
      </c>
      <c r="B1016" t="s">
        <v>23</v>
      </c>
      <c r="C1016" t="s">
        <v>62</v>
      </c>
      <c r="D1016" t="s">
        <v>132</v>
      </c>
      <c r="E1016" t="s">
        <v>56</v>
      </c>
      <c r="F1016" s="1">
        <v>45943</v>
      </c>
      <c r="G1016">
        <v>9</v>
      </c>
      <c r="H1016">
        <v>2614.88</v>
      </c>
      <c r="I1016">
        <v>5</v>
      </c>
      <c r="J1016" t="s">
        <v>82</v>
      </c>
      <c r="K1016">
        <v>1176.7</v>
      </c>
      <c r="L1016">
        <v>23533.919999999998</v>
      </c>
      <c r="M1016">
        <v>22357.22</v>
      </c>
      <c r="N1016" t="s">
        <v>57</v>
      </c>
      <c r="O1016">
        <v>2025</v>
      </c>
    </row>
    <row r="1017" spans="1:15" x14ac:dyDescent="0.3">
      <c r="A1017" t="s">
        <v>1102</v>
      </c>
      <c r="B1017" t="s">
        <v>53</v>
      </c>
      <c r="C1017" t="s">
        <v>62</v>
      </c>
      <c r="D1017" t="s">
        <v>132</v>
      </c>
      <c r="E1017" t="s">
        <v>44</v>
      </c>
      <c r="F1017" s="1">
        <v>45842</v>
      </c>
      <c r="G1017">
        <v>7</v>
      </c>
      <c r="H1017">
        <v>2850.85</v>
      </c>
      <c r="I1017">
        <v>20</v>
      </c>
      <c r="J1017" t="s">
        <v>20</v>
      </c>
      <c r="K1017">
        <v>3991.19</v>
      </c>
      <c r="L1017">
        <v>19955.95</v>
      </c>
      <c r="M1017">
        <v>15964.76</v>
      </c>
      <c r="N1017" t="s">
        <v>122</v>
      </c>
      <c r="O1017">
        <v>2025</v>
      </c>
    </row>
    <row r="1018" spans="1:15" x14ac:dyDescent="0.3">
      <c r="A1018" t="s">
        <v>1103</v>
      </c>
      <c r="B1018" t="s">
        <v>109</v>
      </c>
      <c r="C1018" t="s">
        <v>90</v>
      </c>
      <c r="D1018" t="s">
        <v>105</v>
      </c>
      <c r="E1018" t="s">
        <v>44</v>
      </c>
      <c r="F1018" s="1">
        <v>45927</v>
      </c>
      <c r="G1018">
        <v>5</v>
      </c>
      <c r="H1018">
        <v>3721.43</v>
      </c>
      <c r="I1018">
        <v>5</v>
      </c>
      <c r="J1018" t="s">
        <v>71</v>
      </c>
      <c r="K1018">
        <v>930.36</v>
      </c>
      <c r="L1018">
        <v>18607.150000000001</v>
      </c>
      <c r="M1018">
        <v>17676.79</v>
      </c>
      <c r="N1018" t="s">
        <v>86</v>
      </c>
      <c r="O1018">
        <v>2025</v>
      </c>
    </row>
    <row r="1019" spans="1:15" x14ac:dyDescent="0.3">
      <c r="A1019" t="s">
        <v>1104</v>
      </c>
      <c r="B1019" t="s">
        <v>114</v>
      </c>
      <c r="C1019" t="s">
        <v>17</v>
      </c>
      <c r="D1019" t="s">
        <v>18</v>
      </c>
      <c r="E1019" t="s">
        <v>56</v>
      </c>
      <c r="F1019" s="1">
        <v>45904</v>
      </c>
      <c r="G1019">
        <v>5</v>
      </c>
      <c r="H1019">
        <v>72141.679999999993</v>
      </c>
      <c r="I1019">
        <v>15</v>
      </c>
      <c r="J1019" t="s">
        <v>40</v>
      </c>
      <c r="K1019">
        <v>54106.26</v>
      </c>
      <c r="L1019">
        <v>360708.4</v>
      </c>
      <c r="M1019">
        <v>306602.14</v>
      </c>
      <c r="N1019" t="s">
        <v>86</v>
      </c>
      <c r="O1019">
        <v>2025</v>
      </c>
    </row>
    <row r="1020" spans="1:15" x14ac:dyDescent="0.3">
      <c r="A1020" t="s">
        <v>1105</v>
      </c>
      <c r="B1020" t="s">
        <v>93</v>
      </c>
      <c r="C1020" t="s">
        <v>62</v>
      </c>
      <c r="D1020" t="s">
        <v>63</v>
      </c>
      <c r="E1020" t="s">
        <v>44</v>
      </c>
      <c r="F1020" s="1">
        <v>45338</v>
      </c>
      <c r="G1020">
        <v>3</v>
      </c>
      <c r="H1020">
        <v>1952.63</v>
      </c>
      <c r="I1020">
        <v>20</v>
      </c>
      <c r="J1020" t="s">
        <v>40</v>
      </c>
      <c r="K1020">
        <v>1171.58</v>
      </c>
      <c r="L1020">
        <v>5857.89</v>
      </c>
      <c r="M1020">
        <v>4686.3100000000004</v>
      </c>
      <c r="N1020" t="s">
        <v>41</v>
      </c>
      <c r="O1020">
        <v>2024</v>
      </c>
    </row>
    <row r="1021" spans="1:15" x14ac:dyDescent="0.3">
      <c r="A1021" t="s">
        <v>1106</v>
      </c>
      <c r="B1021" t="s">
        <v>47</v>
      </c>
      <c r="C1021" t="s">
        <v>17</v>
      </c>
      <c r="D1021" t="s">
        <v>39</v>
      </c>
      <c r="E1021" t="s">
        <v>56</v>
      </c>
      <c r="F1021" s="1">
        <v>45435</v>
      </c>
      <c r="G1021">
        <v>9</v>
      </c>
      <c r="H1021">
        <v>20694.7</v>
      </c>
      <c r="I1021">
        <v>15</v>
      </c>
      <c r="J1021" t="s">
        <v>82</v>
      </c>
      <c r="K1021">
        <v>27937.84</v>
      </c>
      <c r="L1021">
        <v>186252.3</v>
      </c>
      <c r="M1021">
        <v>158314.46</v>
      </c>
      <c r="N1021" t="s">
        <v>101</v>
      </c>
      <c r="O1021">
        <v>2024</v>
      </c>
    </row>
    <row r="1022" spans="1:15" x14ac:dyDescent="0.3">
      <c r="A1022" t="s">
        <v>1107</v>
      </c>
      <c r="B1022" t="s">
        <v>65</v>
      </c>
      <c r="C1022" t="s">
        <v>34</v>
      </c>
      <c r="D1022" t="s">
        <v>66</v>
      </c>
      <c r="E1022" t="s">
        <v>44</v>
      </c>
      <c r="F1022" s="1">
        <v>45990</v>
      </c>
      <c r="G1022">
        <v>6</v>
      </c>
      <c r="H1022">
        <v>46586.87</v>
      </c>
      <c r="I1022">
        <v>15</v>
      </c>
      <c r="J1022" t="s">
        <v>45</v>
      </c>
      <c r="K1022">
        <v>41928.18</v>
      </c>
      <c r="L1022">
        <v>279521.21999999997</v>
      </c>
      <c r="M1022">
        <v>237593.04</v>
      </c>
      <c r="N1022" t="s">
        <v>96</v>
      </c>
      <c r="O1022">
        <v>2025</v>
      </c>
    </row>
    <row r="1023" spans="1:15" x14ac:dyDescent="0.3">
      <c r="A1023" t="s">
        <v>1108</v>
      </c>
      <c r="B1023" t="s">
        <v>61</v>
      </c>
      <c r="C1023" t="s">
        <v>62</v>
      </c>
      <c r="D1023" t="s">
        <v>63</v>
      </c>
      <c r="E1023" t="s">
        <v>19</v>
      </c>
      <c r="F1023" s="1">
        <v>45507</v>
      </c>
      <c r="G1023">
        <v>8</v>
      </c>
      <c r="H1023">
        <v>2051.5500000000002</v>
      </c>
      <c r="I1023">
        <v>10</v>
      </c>
      <c r="J1023" t="s">
        <v>45</v>
      </c>
      <c r="K1023">
        <v>1641.24</v>
      </c>
      <c r="L1023">
        <v>16412.400000000001</v>
      </c>
      <c r="M1023">
        <v>14771.16</v>
      </c>
      <c r="N1023" t="s">
        <v>21</v>
      </c>
      <c r="O1023">
        <v>2024</v>
      </c>
    </row>
    <row r="1024" spans="1:15" x14ac:dyDescent="0.3">
      <c r="A1024" t="s">
        <v>1109</v>
      </c>
      <c r="B1024" t="s">
        <v>61</v>
      </c>
      <c r="C1024" t="s">
        <v>17</v>
      </c>
      <c r="D1024" t="s">
        <v>59</v>
      </c>
      <c r="E1024" t="s">
        <v>25</v>
      </c>
      <c r="F1024" s="1">
        <v>45296</v>
      </c>
      <c r="G1024">
        <v>1</v>
      </c>
      <c r="H1024">
        <v>26704.42</v>
      </c>
      <c r="I1024">
        <v>15</v>
      </c>
      <c r="J1024" t="s">
        <v>71</v>
      </c>
      <c r="K1024">
        <v>4005.66</v>
      </c>
      <c r="L1024">
        <v>26704.42</v>
      </c>
      <c r="M1024">
        <v>22698.76</v>
      </c>
      <c r="N1024" t="s">
        <v>116</v>
      </c>
      <c r="O1024">
        <v>2024</v>
      </c>
    </row>
    <row r="1025" spans="1:15" x14ac:dyDescent="0.3">
      <c r="A1025" t="s">
        <v>1110</v>
      </c>
      <c r="B1025" t="s">
        <v>74</v>
      </c>
      <c r="C1025" t="s">
        <v>54</v>
      </c>
      <c r="D1025" t="s">
        <v>68</v>
      </c>
      <c r="E1025" t="s">
        <v>56</v>
      </c>
      <c r="F1025" s="1">
        <v>45956</v>
      </c>
      <c r="G1025">
        <v>2</v>
      </c>
      <c r="H1025">
        <v>5121.58</v>
      </c>
      <c r="I1025">
        <v>15</v>
      </c>
      <c r="J1025" t="s">
        <v>82</v>
      </c>
      <c r="K1025">
        <v>1536.47</v>
      </c>
      <c r="L1025">
        <v>10243.16</v>
      </c>
      <c r="M1025">
        <v>8706.69</v>
      </c>
      <c r="N1025" t="s">
        <v>57</v>
      </c>
      <c r="O1025">
        <v>2025</v>
      </c>
    </row>
    <row r="1026" spans="1:15" x14ac:dyDescent="0.3">
      <c r="A1026" t="s">
        <v>1111</v>
      </c>
      <c r="B1026" t="s">
        <v>38</v>
      </c>
      <c r="C1026" t="s">
        <v>17</v>
      </c>
      <c r="D1026" t="s">
        <v>39</v>
      </c>
      <c r="E1026" t="s">
        <v>56</v>
      </c>
      <c r="F1026" s="1">
        <v>45688</v>
      </c>
      <c r="G1026">
        <v>3</v>
      </c>
      <c r="H1026">
        <v>19976.16</v>
      </c>
      <c r="I1026">
        <v>0</v>
      </c>
      <c r="J1026" t="s">
        <v>45</v>
      </c>
      <c r="K1026">
        <v>0</v>
      </c>
      <c r="L1026">
        <v>59928.480000000003</v>
      </c>
      <c r="M1026">
        <v>59928.480000000003</v>
      </c>
      <c r="N1026" t="s">
        <v>116</v>
      </c>
      <c r="O1026">
        <v>2025</v>
      </c>
    </row>
    <row r="1027" spans="1:15" x14ac:dyDescent="0.3">
      <c r="A1027" t="s">
        <v>1112</v>
      </c>
      <c r="B1027" t="s">
        <v>33</v>
      </c>
      <c r="C1027" t="s">
        <v>17</v>
      </c>
      <c r="D1027" t="s">
        <v>157</v>
      </c>
      <c r="E1027" t="s">
        <v>50</v>
      </c>
      <c r="F1027" s="1">
        <v>45301</v>
      </c>
      <c r="G1027">
        <v>4</v>
      </c>
      <c r="H1027">
        <v>7600.5</v>
      </c>
      <c r="I1027">
        <v>10</v>
      </c>
      <c r="J1027" t="s">
        <v>71</v>
      </c>
      <c r="K1027">
        <v>3040.2</v>
      </c>
      <c r="L1027">
        <v>30402</v>
      </c>
      <c r="M1027">
        <v>27361.8</v>
      </c>
      <c r="N1027" t="s">
        <v>116</v>
      </c>
      <c r="O1027">
        <v>2024</v>
      </c>
    </row>
    <row r="1028" spans="1:15" x14ac:dyDescent="0.3">
      <c r="A1028" t="s">
        <v>1113</v>
      </c>
      <c r="B1028" t="s">
        <v>47</v>
      </c>
      <c r="C1028" t="s">
        <v>62</v>
      </c>
      <c r="D1028" t="s">
        <v>63</v>
      </c>
      <c r="E1028" t="s">
        <v>44</v>
      </c>
      <c r="F1028" s="1">
        <v>45518</v>
      </c>
      <c r="G1028">
        <v>4</v>
      </c>
      <c r="H1028">
        <v>2061.0500000000002</v>
      </c>
      <c r="I1028">
        <v>10</v>
      </c>
      <c r="J1028" t="s">
        <v>40</v>
      </c>
      <c r="K1028">
        <v>824.42</v>
      </c>
      <c r="L1028">
        <v>8244.2000000000007</v>
      </c>
      <c r="M1028">
        <v>7419.78</v>
      </c>
      <c r="N1028" t="s">
        <v>21</v>
      </c>
      <c r="O1028">
        <v>2024</v>
      </c>
    </row>
    <row r="1029" spans="1:15" x14ac:dyDescent="0.3">
      <c r="A1029" t="s">
        <v>1114</v>
      </c>
      <c r="B1029" t="s">
        <v>89</v>
      </c>
      <c r="C1029" t="s">
        <v>17</v>
      </c>
      <c r="D1029" t="s">
        <v>39</v>
      </c>
      <c r="E1029" t="s">
        <v>30</v>
      </c>
      <c r="F1029" s="1">
        <v>45299</v>
      </c>
      <c r="G1029">
        <v>4</v>
      </c>
      <c r="H1029">
        <v>20629.189999999999</v>
      </c>
      <c r="I1029">
        <v>15</v>
      </c>
      <c r="J1029" t="s">
        <v>20</v>
      </c>
      <c r="K1029">
        <v>12377.51</v>
      </c>
      <c r="L1029">
        <v>82516.759999999995</v>
      </c>
      <c r="M1029">
        <v>70139.25</v>
      </c>
      <c r="N1029" t="s">
        <v>116</v>
      </c>
      <c r="O1029">
        <v>2024</v>
      </c>
    </row>
    <row r="1030" spans="1:15" x14ac:dyDescent="0.3">
      <c r="A1030" t="s">
        <v>1115</v>
      </c>
      <c r="B1030" t="s">
        <v>93</v>
      </c>
      <c r="C1030" t="s">
        <v>17</v>
      </c>
      <c r="D1030" t="s">
        <v>39</v>
      </c>
      <c r="E1030" t="s">
        <v>81</v>
      </c>
      <c r="F1030" s="1">
        <v>45466</v>
      </c>
      <c r="G1030">
        <v>9</v>
      </c>
      <c r="H1030">
        <v>17071.97</v>
      </c>
      <c r="I1030">
        <v>20</v>
      </c>
      <c r="J1030" t="s">
        <v>71</v>
      </c>
      <c r="K1030">
        <v>30729.55</v>
      </c>
      <c r="L1030">
        <v>153647.73000000001</v>
      </c>
      <c r="M1030">
        <v>122918.18</v>
      </c>
      <c r="N1030" t="s">
        <v>72</v>
      </c>
      <c r="O1030">
        <v>2024</v>
      </c>
    </row>
    <row r="1031" spans="1:15" x14ac:dyDescent="0.3">
      <c r="A1031" t="s">
        <v>1116</v>
      </c>
      <c r="B1031" t="s">
        <v>53</v>
      </c>
      <c r="C1031" t="s">
        <v>54</v>
      </c>
      <c r="D1031" t="s">
        <v>77</v>
      </c>
      <c r="E1031" t="s">
        <v>25</v>
      </c>
      <c r="F1031" s="1">
        <v>45358</v>
      </c>
      <c r="G1031">
        <v>3</v>
      </c>
      <c r="H1031">
        <v>4824.53</v>
      </c>
      <c r="I1031">
        <v>20</v>
      </c>
      <c r="J1031" t="s">
        <v>36</v>
      </c>
      <c r="K1031">
        <v>2894.72</v>
      </c>
      <c r="L1031">
        <v>14473.59</v>
      </c>
      <c r="M1031">
        <v>11578.87</v>
      </c>
      <c r="N1031" t="s">
        <v>83</v>
      </c>
      <c r="O1031">
        <v>2024</v>
      </c>
    </row>
    <row r="1032" spans="1:15" x14ac:dyDescent="0.3">
      <c r="A1032" t="s">
        <v>1117</v>
      </c>
      <c r="B1032" t="s">
        <v>16</v>
      </c>
      <c r="C1032" t="s">
        <v>34</v>
      </c>
      <c r="D1032" t="s">
        <v>66</v>
      </c>
      <c r="E1032" t="s">
        <v>44</v>
      </c>
      <c r="F1032" s="1">
        <v>45488</v>
      </c>
      <c r="G1032">
        <v>1</v>
      </c>
      <c r="H1032">
        <v>45919.51</v>
      </c>
      <c r="I1032">
        <v>20</v>
      </c>
      <c r="J1032" t="s">
        <v>40</v>
      </c>
      <c r="K1032">
        <v>9183.9</v>
      </c>
      <c r="L1032">
        <v>45919.51</v>
      </c>
      <c r="M1032">
        <v>36735.61</v>
      </c>
      <c r="N1032" t="s">
        <v>122</v>
      </c>
      <c r="O1032">
        <v>2024</v>
      </c>
    </row>
    <row r="1033" spans="1:15" x14ac:dyDescent="0.3">
      <c r="A1033" t="s">
        <v>1118</v>
      </c>
      <c r="B1033" t="s">
        <v>61</v>
      </c>
      <c r="C1033" t="s">
        <v>54</v>
      </c>
      <c r="D1033" t="s">
        <v>137</v>
      </c>
      <c r="E1033" t="s">
        <v>81</v>
      </c>
      <c r="F1033" s="1">
        <v>45294</v>
      </c>
      <c r="G1033">
        <v>7</v>
      </c>
      <c r="H1033">
        <v>954.22</v>
      </c>
      <c r="I1033">
        <v>0</v>
      </c>
      <c r="J1033" t="s">
        <v>71</v>
      </c>
      <c r="K1033">
        <v>0</v>
      </c>
      <c r="L1033">
        <v>6679.54</v>
      </c>
      <c r="M1033">
        <v>6679.54</v>
      </c>
      <c r="N1033" t="s">
        <v>116</v>
      </c>
      <c r="O1033">
        <v>2024</v>
      </c>
    </row>
    <row r="1034" spans="1:15" x14ac:dyDescent="0.3">
      <c r="A1034" t="s">
        <v>1119</v>
      </c>
      <c r="B1034" t="s">
        <v>38</v>
      </c>
      <c r="C1034" t="s">
        <v>62</v>
      </c>
      <c r="D1034" t="s">
        <v>99</v>
      </c>
      <c r="E1034" t="s">
        <v>56</v>
      </c>
      <c r="F1034" s="1">
        <v>45416</v>
      </c>
      <c r="G1034">
        <v>9</v>
      </c>
      <c r="H1034">
        <v>1524.97</v>
      </c>
      <c r="I1034">
        <v>10</v>
      </c>
      <c r="J1034" t="s">
        <v>40</v>
      </c>
      <c r="K1034">
        <v>1372.47</v>
      </c>
      <c r="L1034">
        <v>13724.73</v>
      </c>
      <c r="M1034">
        <v>12352.26</v>
      </c>
      <c r="N1034" t="s">
        <v>101</v>
      </c>
      <c r="O1034">
        <v>2024</v>
      </c>
    </row>
    <row r="1035" spans="1:15" x14ac:dyDescent="0.3">
      <c r="A1035" t="s">
        <v>1120</v>
      </c>
      <c r="B1035" t="s">
        <v>114</v>
      </c>
      <c r="C1035" t="s">
        <v>54</v>
      </c>
      <c r="D1035" t="s">
        <v>70</v>
      </c>
      <c r="E1035" t="s">
        <v>30</v>
      </c>
      <c r="F1035" s="1">
        <v>45340</v>
      </c>
      <c r="G1035">
        <v>5</v>
      </c>
      <c r="H1035">
        <v>2823.99</v>
      </c>
      <c r="I1035">
        <v>20</v>
      </c>
      <c r="J1035" t="s">
        <v>20</v>
      </c>
      <c r="K1035">
        <v>2823.99</v>
      </c>
      <c r="L1035">
        <v>14119.95</v>
      </c>
      <c r="M1035">
        <v>11295.96</v>
      </c>
      <c r="N1035" t="s">
        <v>41</v>
      </c>
      <c r="O1035">
        <v>2024</v>
      </c>
    </row>
    <row r="1036" spans="1:15" x14ac:dyDescent="0.3">
      <c r="A1036" t="s">
        <v>1121</v>
      </c>
      <c r="B1036" t="s">
        <v>109</v>
      </c>
      <c r="C1036" t="s">
        <v>90</v>
      </c>
      <c r="D1036" t="s">
        <v>115</v>
      </c>
      <c r="E1036" t="s">
        <v>56</v>
      </c>
      <c r="F1036" s="1">
        <v>45634</v>
      </c>
      <c r="G1036">
        <v>2</v>
      </c>
      <c r="H1036">
        <v>9856.2199999999993</v>
      </c>
      <c r="I1036">
        <v>0</v>
      </c>
      <c r="J1036" t="s">
        <v>20</v>
      </c>
      <c r="K1036">
        <v>0</v>
      </c>
      <c r="L1036">
        <v>19712.439999999999</v>
      </c>
      <c r="M1036">
        <v>19712.439999999999</v>
      </c>
      <c r="N1036" t="s">
        <v>51</v>
      </c>
      <c r="O1036">
        <v>2024</v>
      </c>
    </row>
    <row r="1037" spans="1:15" x14ac:dyDescent="0.3">
      <c r="A1037" t="s">
        <v>1122</v>
      </c>
      <c r="B1037" t="s">
        <v>47</v>
      </c>
      <c r="C1037" t="s">
        <v>34</v>
      </c>
      <c r="D1037" t="s">
        <v>35</v>
      </c>
      <c r="E1037" t="s">
        <v>50</v>
      </c>
      <c r="F1037" s="1">
        <v>45460</v>
      </c>
      <c r="G1037">
        <v>6</v>
      </c>
      <c r="H1037">
        <v>24442.54</v>
      </c>
      <c r="I1037">
        <v>0</v>
      </c>
      <c r="J1037" t="s">
        <v>20</v>
      </c>
      <c r="K1037">
        <v>0</v>
      </c>
      <c r="L1037">
        <v>146655.24</v>
      </c>
      <c r="M1037">
        <v>146655.24</v>
      </c>
      <c r="N1037" t="s">
        <v>72</v>
      </c>
      <c r="O1037">
        <v>2024</v>
      </c>
    </row>
    <row r="1038" spans="1:15" x14ac:dyDescent="0.3">
      <c r="A1038" t="s">
        <v>1123</v>
      </c>
      <c r="B1038" t="s">
        <v>23</v>
      </c>
      <c r="C1038" t="s">
        <v>17</v>
      </c>
      <c r="D1038" t="s">
        <v>157</v>
      </c>
      <c r="E1038" t="s">
        <v>44</v>
      </c>
      <c r="F1038" s="1">
        <v>45898</v>
      </c>
      <c r="G1038">
        <v>6</v>
      </c>
      <c r="H1038">
        <v>7770.89</v>
      </c>
      <c r="I1038">
        <v>5</v>
      </c>
      <c r="J1038" t="s">
        <v>26</v>
      </c>
      <c r="K1038">
        <v>2331.27</v>
      </c>
      <c r="L1038">
        <v>46625.34</v>
      </c>
      <c r="M1038">
        <v>44294.07</v>
      </c>
      <c r="N1038" t="s">
        <v>21</v>
      </c>
      <c r="O1038">
        <v>2025</v>
      </c>
    </row>
    <row r="1039" spans="1:15" x14ac:dyDescent="0.3">
      <c r="A1039" t="s">
        <v>1124</v>
      </c>
      <c r="B1039" t="s">
        <v>29</v>
      </c>
      <c r="C1039" t="s">
        <v>17</v>
      </c>
      <c r="D1039" t="s">
        <v>157</v>
      </c>
      <c r="E1039" t="s">
        <v>19</v>
      </c>
      <c r="F1039" s="1">
        <v>45633</v>
      </c>
      <c r="G1039">
        <v>9</v>
      </c>
      <c r="H1039">
        <v>8458.66</v>
      </c>
      <c r="I1039">
        <v>0</v>
      </c>
      <c r="J1039" t="s">
        <v>26</v>
      </c>
      <c r="K1039">
        <v>0</v>
      </c>
      <c r="L1039">
        <v>76127.94</v>
      </c>
      <c r="M1039">
        <v>76127.94</v>
      </c>
      <c r="N1039" t="s">
        <v>51</v>
      </c>
      <c r="O1039">
        <v>2024</v>
      </c>
    </row>
    <row r="1040" spans="1:15" x14ac:dyDescent="0.3">
      <c r="A1040" t="s">
        <v>1125</v>
      </c>
      <c r="B1040" t="s">
        <v>89</v>
      </c>
      <c r="C1040" t="s">
        <v>54</v>
      </c>
      <c r="D1040" t="s">
        <v>77</v>
      </c>
      <c r="E1040" t="s">
        <v>44</v>
      </c>
      <c r="F1040" s="1">
        <v>45932</v>
      </c>
      <c r="G1040">
        <v>8</v>
      </c>
      <c r="H1040">
        <v>5746.03</v>
      </c>
      <c r="I1040">
        <v>0</v>
      </c>
      <c r="J1040" t="s">
        <v>82</v>
      </c>
      <c r="K1040">
        <v>0</v>
      </c>
      <c r="L1040">
        <v>45968.24</v>
      </c>
      <c r="M1040">
        <v>45968.24</v>
      </c>
      <c r="N1040" t="s">
        <v>57</v>
      </c>
      <c r="O1040">
        <v>2025</v>
      </c>
    </row>
    <row r="1041" spans="1:15" x14ac:dyDescent="0.3">
      <c r="A1041" t="s">
        <v>1126</v>
      </c>
      <c r="B1041" t="s">
        <v>23</v>
      </c>
      <c r="C1041" t="s">
        <v>17</v>
      </c>
      <c r="D1041" t="s">
        <v>18</v>
      </c>
      <c r="E1041" t="s">
        <v>19</v>
      </c>
      <c r="F1041" s="1">
        <v>45422</v>
      </c>
      <c r="G1041">
        <v>1</v>
      </c>
      <c r="H1041">
        <v>73435.63</v>
      </c>
      <c r="I1041">
        <v>15</v>
      </c>
      <c r="J1041" t="s">
        <v>82</v>
      </c>
      <c r="K1041">
        <v>11015.34</v>
      </c>
      <c r="L1041">
        <v>73435.63</v>
      </c>
      <c r="M1041">
        <v>62420.29</v>
      </c>
      <c r="N1041" t="s">
        <v>101</v>
      </c>
      <c r="O1041">
        <v>2024</v>
      </c>
    </row>
    <row r="1042" spans="1:15" x14ac:dyDescent="0.3">
      <c r="A1042" t="s">
        <v>1127</v>
      </c>
      <c r="B1042" t="s">
        <v>93</v>
      </c>
      <c r="C1042" t="s">
        <v>17</v>
      </c>
      <c r="D1042" t="s">
        <v>39</v>
      </c>
      <c r="E1042" t="s">
        <v>30</v>
      </c>
      <c r="F1042" s="1">
        <v>45359</v>
      </c>
      <c r="G1042">
        <v>2</v>
      </c>
      <c r="H1042">
        <v>19249.04</v>
      </c>
      <c r="I1042">
        <v>20</v>
      </c>
      <c r="J1042" t="s">
        <v>31</v>
      </c>
      <c r="K1042">
        <v>7699.62</v>
      </c>
      <c r="L1042">
        <v>38498.080000000002</v>
      </c>
      <c r="M1042">
        <v>30798.46</v>
      </c>
      <c r="N1042" t="s">
        <v>83</v>
      </c>
      <c r="O1042">
        <v>2024</v>
      </c>
    </row>
    <row r="1043" spans="1:15" x14ac:dyDescent="0.3">
      <c r="A1043" t="s">
        <v>1128</v>
      </c>
      <c r="B1043" t="s">
        <v>38</v>
      </c>
      <c r="C1043" t="s">
        <v>17</v>
      </c>
      <c r="D1043" t="s">
        <v>39</v>
      </c>
      <c r="E1043" t="s">
        <v>56</v>
      </c>
      <c r="F1043" s="1">
        <v>45390</v>
      </c>
      <c r="G1043">
        <v>10</v>
      </c>
      <c r="H1043">
        <v>19583.84</v>
      </c>
      <c r="I1043">
        <v>5</v>
      </c>
      <c r="J1043" t="s">
        <v>31</v>
      </c>
      <c r="K1043">
        <v>9791.92</v>
      </c>
      <c r="L1043">
        <v>195838.4</v>
      </c>
      <c r="M1043">
        <v>186046.48</v>
      </c>
      <c r="N1043" t="s">
        <v>27</v>
      </c>
      <c r="O1043">
        <v>2024</v>
      </c>
    </row>
    <row r="1044" spans="1:15" x14ac:dyDescent="0.3">
      <c r="A1044" t="s">
        <v>1129</v>
      </c>
      <c r="B1044" t="s">
        <v>109</v>
      </c>
      <c r="C1044" t="s">
        <v>54</v>
      </c>
      <c r="D1044" t="s">
        <v>77</v>
      </c>
      <c r="E1044" t="s">
        <v>56</v>
      </c>
      <c r="F1044" s="1">
        <v>45767</v>
      </c>
      <c r="G1044">
        <v>7</v>
      </c>
      <c r="H1044">
        <v>5599.92</v>
      </c>
      <c r="I1044">
        <v>20</v>
      </c>
      <c r="J1044" t="s">
        <v>31</v>
      </c>
      <c r="K1044">
        <v>7839.89</v>
      </c>
      <c r="L1044">
        <v>39199.440000000002</v>
      </c>
      <c r="M1044">
        <v>31359.55</v>
      </c>
      <c r="N1044" t="s">
        <v>27</v>
      </c>
      <c r="O1044">
        <v>2025</v>
      </c>
    </row>
    <row r="1045" spans="1:15" x14ac:dyDescent="0.3">
      <c r="A1045" t="s">
        <v>1130</v>
      </c>
      <c r="B1045" t="s">
        <v>61</v>
      </c>
      <c r="C1045" t="s">
        <v>17</v>
      </c>
      <c r="D1045" t="s">
        <v>39</v>
      </c>
      <c r="E1045" t="s">
        <v>30</v>
      </c>
      <c r="F1045" s="1">
        <v>45756</v>
      </c>
      <c r="G1045">
        <v>9</v>
      </c>
      <c r="H1045">
        <v>17676.87</v>
      </c>
      <c r="I1045">
        <v>5</v>
      </c>
      <c r="J1045" t="s">
        <v>26</v>
      </c>
      <c r="K1045">
        <v>7954.59</v>
      </c>
      <c r="L1045">
        <v>159091.82999999999</v>
      </c>
      <c r="M1045">
        <v>151137.24</v>
      </c>
      <c r="N1045" t="s">
        <v>27</v>
      </c>
      <c r="O1045">
        <v>2025</v>
      </c>
    </row>
    <row r="1046" spans="1:15" x14ac:dyDescent="0.3">
      <c r="A1046" t="s">
        <v>1131</v>
      </c>
      <c r="B1046" t="s">
        <v>109</v>
      </c>
      <c r="C1046" t="s">
        <v>17</v>
      </c>
      <c r="D1046" t="s">
        <v>18</v>
      </c>
      <c r="E1046" t="s">
        <v>81</v>
      </c>
      <c r="F1046" s="1">
        <v>45899</v>
      </c>
      <c r="G1046">
        <v>4</v>
      </c>
      <c r="H1046">
        <v>73196.009999999995</v>
      </c>
      <c r="I1046">
        <v>5</v>
      </c>
      <c r="J1046" t="s">
        <v>82</v>
      </c>
      <c r="K1046">
        <v>14639.2</v>
      </c>
      <c r="L1046">
        <v>292784.03999999998</v>
      </c>
      <c r="M1046">
        <v>278144.84000000003</v>
      </c>
      <c r="N1046" t="s">
        <v>21</v>
      </c>
      <c r="O1046">
        <v>2025</v>
      </c>
    </row>
    <row r="1047" spans="1:15" x14ac:dyDescent="0.3">
      <c r="A1047" t="s">
        <v>1132</v>
      </c>
      <c r="B1047" t="s">
        <v>33</v>
      </c>
      <c r="C1047" t="s">
        <v>54</v>
      </c>
      <c r="D1047" t="s">
        <v>137</v>
      </c>
      <c r="E1047" t="s">
        <v>56</v>
      </c>
      <c r="F1047" s="1">
        <v>45927</v>
      </c>
      <c r="G1047">
        <v>8</v>
      </c>
      <c r="H1047">
        <v>851.83</v>
      </c>
      <c r="I1047">
        <v>5</v>
      </c>
      <c r="J1047" t="s">
        <v>71</v>
      </c>
      <c r="K1047">
        <v>340.73</v>
      </c>
      <c r="L1047">
        <v>6814.64</v>
      </c>
      <c r="M1047">
        <v>6473.91</v>
      </c>
      <c r="N1047" t="s">
        <v>86</v>
      </c>
      <c r="O1047">
        <v>2025</v>
      </c>
    </row>
    <row r="1048" spans="1:15" x14ac:dyDescent="0.3">
      <c r="A1048" t="s">
        <v>1133</v>
      </c>
      <c r="B1048" t="s">
        <v>53</v>
      </c>
      <c r="C1048" t="s">
        <v>17</v>
      </c>
      <c r="D1048" t="s">
        <v>18</v>
      </c>
      <c r="E1048" t="s">
        <v>19</v>
      </c>
      <c r="F1048" s="1">
        <v>45817</v>
      </c>
      <c r="G1048">
        <v>6</v>
      </c>
      <c r="H1048">
        <v>63556.81</v>
      </c>
      <c r="I1048">
        <v>20</v>
      </c>
      <c r="J1048" t="s">
        <v>31</v>
      </c>
      <c r="K1048">
        <v>76268.17</v>
      </c>
      <c r="L1048">
        <v>381340.86</v>
      </c>
      <c r="M1048">
        <v>305072.69</v>
      </c>
      <c r="N1048" t="s">
        <v>72</v>
      </c>
      <c r="O1048">
        <v>2025</v>
      </c>
    </row>
    <row r="1049" spans="1:15" x14ac:dyDescent="0.3">
      <c r="A1049" t="s">
        <v>1134</v>
      </c>
      <c r="B1049" t="s">
        <v>89</v>
      </c>
      <c r="C1049" t="s">
        <v>34</v>
      </c>
      <c r="D1049" t="s">
        <v>85</v>
      </c>
      <c r="E1049" t="s">
        <v>19</v>
      </c>
      <c r="F1049" s="1">
        <v>45590</v>
      </c>
      <c r="G1049">
        <v>6</v>
      </c>
      <c r="H1049">
        <v>15081.89</v>
      </c>
      <c r="I1049">
        <v>20</v>
      </c>
      <c r="J1049" t="s">
        <v>45</v>
      </c>
      <c r="K1049">
        <v>18098.27</v>
      </c>
      <c r="L1049">
        <v>90491.34</v>
      </c>
      <c r="M1049">
        <v>72393.070000000007</v>
      </c>
      <c r="N1049" t="s">
        <v>57</v>
      </c>
      <c r="O1049">
        <v>2024</v>
      </c>
    </row>
    <row r="1050" spans="1:15" x14ac:dyDescent="0.3">
      <c r="A1050" t="s">
        <v>1135</v>
      </c>
      <c r="B1050" t="s">
        <v>109</v>
      </c>
      <c r="C1050" t="s">
        <v>54</v>
      </c>
      <c r="D1050" t="s">
        <v>55</v>
      </c>
      <c r="E1050" t="s">
        <v>50</v>
      </c>
      <c r="F1050" s="1">
        <v>45724</v>
      </c>
      <c r="G1050">
        <v>6</v>
      </c>
      <c r="H1050">
        <v>1138.6199999999999</v>
      </c>
      <c r="I1050">
        <v>5</v>
      </c>
      <c r="J1050" t="s">
        <v>26</v>
      </c>
      <c r="K1050">
        <v>341.59</v>
      </c>
      <c r="L1050">
        <v>6831.72</v>
      </c>
      <c r="M1050">
        <v>6490.13</v>
      </c>
      <c r="N1050" t="s">
        <v>83</v>
      </c>
      <c r="O1050">
        <v>2025</v>
      </c>
    </row>
    <row r="1051" spans="1:15" x14ac:dyDescent="0.3">
      <c r="A1051" t="s">
        <v>1136</v>
      </c>
      <c r="B1051" t="s">
        <v>33</v>
      </c>
      <c r="C1051" t="s">
        <v>34</v>
      </c>
      <c r="D1051" t="s">
        <v>80</v>
      </c>
      <c r="E1051" t="s">
        <v>50</v>
      </c>
      <c r="F1051" s="1">
        <v>46003</v>
      </c>
      <c r="G1051">
        <v>8</v>
      </c>
      <c r="H1051">
        <v>6929.61</v>
      </c>
      <c r="I1051">
        <v>10</v>
      </c>
      <c r="J1051" t="s">
        <v>71</v>
      </c>
      <c r="K1051">
        <v>5543.69</v>
      </c>
      <c r="L1051">
        <v>55436.88</v>
      </c>
      <c r="M1051">
        <v>49893.19</v>
      </c>
      <c r="N1051" t="s">
        <v>51</v>
      </c>
      <c r="O1051">
        <v>2025</v>
      </c>
    </row>
    <row r="1052" spans="1:15" x14ac:dyDescent="0.3">
      <c r="A1052" t="s">
        <v>1137</v>
      </c>
      <c r="B1052" t="s">
        <v>33</v>
      </c>
      <c r="C1052" t="s">
        <v>54</v>
      </c>
      <c r="D1052" t="s">
        <v>77</v>
      </c>
      <c r="E1052" t="s">
        <v>81</v>
      </c>
      <c r="F1052" s="1">
        <v>45720</v>
      </c>
      <c r="G1052">
        <v>6</v>
      </c>
      <c r="H1052">
        <v>4702.8500000000004</v>
      </c>
      <c r="I1052">
        <v>15</v>
      </c>
      <c r="J1052" t="s">
        <v>40</v>
      </c>
      <c r="K1052">
        <v>4232.5600000000004</v>
      </c>
      <c r="L1052">
        <v>28217.1</v>
      </c>
      <c r="M1052">
        <v>23984.54</v>
      </c>
      <c r="N1052" t="s">
        <v>83</v>
      </c>
      <c r="O1052">
        <v>2025</v>
      </c>
    </row>
    <row r="1053" spans="1:15" x14ac:dyDescent="0.3">
      <c r="A1053" t="s">
        <v>1138</v>
      </c>
      <c r="B1053" t="s">
        <v>29</v>
      </c>
      <c r="C1053" t="s">
        <v>17</v>
      </c>
      <c r="D1053" t="s">
        <v>157</v>
      </c>
      <c r="E1053" t="s">
        <v>25</v>
      </c>
      <c r="F1053" s="1">
        <v>46001</v>
      </c>
      <c r="G1053">
        <v>4</v>
      </c>
      <c r="H1053">
        <v>7828.08</v>
      </c>
      <c r="I1053">
        <v>5</v>
      </c>
      <c r="J1053" t="s">
        <v>20</v>
      </c>
      <c r="K1053">
        <v>1565.62</v>
      </c>
      <c r="L1053">
        <v>31312.32</v>
      </c>
      <c r="M1053">
        <v>29746.7</v>
      </c>
      <c r="N1053" t="s">
        <v>51</v>
      </c>
      <c r="O1053">
        <v>2025</v>
      </c>
    </row>
    <row r="1054" spans="1:15" x14ac:dyDescent="0.3">
      <c r="A1054" t="s">
        <v>1139</v>
      </c>
      <c r="B1054" t="s">
        <v>16</v>
      </c>
      <c r="C1054" t="s">
        <v>34</v>
      </c>
      <c r="D1054" t="s">
        <v>35</v>
      </c>
      <c r="E1054" t="s">
        <v>44</v>
      </c>
      <c r="F1054" s="1">
        <v>45676</v>
      </c>
      <c r="G1054">
        <v>4</v>
      </c>
      <c r="H1054">
        <v>25001.95</v>
      </c>
      <c r="I1054">
        <v>0</v>
      </c>
      <c r="J1054" t="s">
        <v>45</v>
      </c>
      <c r="K1054">
        <v>0</v>
      </c>
      <c r="L1054">
        <v>100007.8</v>
      </c>
      <c r="M1054">
        <v>100007.8</v>
      </c>
      <c r="N1054" t="s">
        <v>116</v>
      </c>
      <c r="O1054">
        <v>2025</v>
      </c>
    </row>
    <row r="1055" spans="1:15" x14ac:dyDescent="0.3">
      <c r="A1055" t="s">
        <v>1140</v>
      </c>
      <c r="B1055" t="s">
        <v>47</v>
      </c>
      <c r="C1055" t="s">
        <v>62</v>
      </c>
      <c r="D1055" t="s">
        <v>95</v>
      </c>
      <c r="E1055" t="s">
        <v>19</v>
      </c>
      <c r="F1055" s="1">
        <v>45860</v>
      </c>
      <c r="G1055">
        <v>2</v>
      </c>
      <c r="H1055">
        <v>748.48</v>
      </c>
      <c r="I1055">
        <v>15</v>
      </c>
      <c r="J1055" t="s">
        <v>26</v>
      </c>
      <c r="K1055">
        <v>224.54</v>
      </c>
      <c r="L1055">
        <v>1496.96</v>
      </c>
      <c r="M1055">
        <v>1272.42</v>
      </c>
      <c r="N1055" t="s">
        <v>122</v>
      </c>
      <c r="O1055">
        <v>2025</v>
      </c>
    </row>
    <row r="1056" spans="1:15" x14ac:dyDescent="0.3">
      <c r="A1056" t="s">
        <v>1141</v>
      </c>
      <c r="B1056" t="s">
        <v>114</v>
      </c>
      <c r="C1056" t="s">
        <v>34</v>
      </c>
      <c r="D1056" t="s">
        <v>66</v>
      </c>
      <c r="E1056" t="s">
        <v>44</v>
      </c>
      <c r="F1056" s="1">
        <v>45336</v>
      </c>
      <c r="G1056">
        <v>1</v>
      </c>
      <c r="H1056">
        <v>37991.230000000003</v>
      </c>
      <c r="I1056">
        <v>10</v>
      </c>
      <c r="J1056" t="s">
        <v>45</v>
      </c>
      <c r="K1056">
        <v>3799.12</v>
      </c>
      <c r="L1056">
        <v>37991.230000000003</v>
      </c>
      <c r="M1056">
        <v>34192.11</v>
      </c>
      <c r="N1056" t="s">
        <v>41</v>
      </c>
      <c r="O1056">
        <v>2024</v>
      </c>
    </row>
    <row r="1057" spans="1:15" x14ac:dyDescent="0.3">
      <c r="A1057" t="s">
        <v>1142</v>
      </c>
      <c r="B1057" t="s">
        <v>114</v>
      </c>
      <c r="C1057" t="s">
        <v>34</v>
      </c>
      <c r="D1057" t="s">
        <v>85</v>
      </c>
      <c r="E1057" t="s">
        <v>19</v>
      </c>
      <c r="F1057" s="1">
        <v>45639</v>
      </c>
      <c r="G1057">
        <v>9</v>
      </c>
      <c r="H1057">
        <v>12691.68</v>
      </c>
      <c r="I1057">
        <v>5</v>
      </c>
      <c r="J1057" t="s">
        <v>36</v>
      </c>
      <c r="K1057">
        <v>5711.26</v>
      </c>
      <c r="L1057">
        <v>114225.12</v>
      </c>
      <c r="M1057">
        <v>108513.86</v>
      </c>
      <c r="N1057" t="s">
        <v>51</v>
      </c>
      <c r="O1057">
        <v>2024</v>
      </c>
    </row>
    <row r="1058" spans="1:15" x14ac:dyDescent="0.3">
      <c r="A1058" t="s">
        <v>1143</v>
      </c>
      <c r="B1058" t="s">
        <v>38</v>
      </c>
      <c r="C1058" t="s">
        <v>17</v>
      </c>
      <c r="D1058" t="s">
        <v>59</v>
      </c>
      <c r="E1058" t="s">
        <v>19</v>
      </c>
      <c r="F1058" s="1">
        <v>45313</v>
      </c>
      <c r="G1058">
        <v>3</v>
      </c>
      <c r="H1058">
        <v>24868.27</v>
      </c>
      <c r="I1058">
        <v>0</v>
      </c>
      <c r="J1058" t="s">
        <v>82</v>
      </c>
      <c r="K1058">
        <v>0</v>
      </c>
      <c r="L1058">
        <v>74604.81</v>
      </c>
      <c r="M1058">
        <v>74604.81</v>
      </c>
      <c r="N1058" t="s">
        <v>116</v>
      </c>
      <c r="O1058">
        <v>2024</v>
      </c>
    </row>
    <row r="1059" spans="1:15" x14ac:dyDescent="0.3">
      <c r="A1059" t="s">
        <v>1144</v>
      </c>
      <c r="B1059" t="s">
        <v>43</v>
      </c>
      <c r="C1059" t="s">
        <v>62</v>
      </c>
      <c r="D1059" t="s">
        <v>63</v>
      </c>
      <c r="E1059" t="s">
        <v>56</v>
      </c>
      <c r="F1059" s="1">
        <v>45670</v>
      </c>
      <c r="G1059">
        <v>6</v>
      </c>
      <c r="H1059">
        <v>1917.41</v>
      </c>
      <c r="I1059">
        <v>20</v>
      </c>
      <c r="J1059" t="s">
        <v>20</v>
      </c>
      <c r="K1059">
        <v>2300.89</v>
      </c>
      <c r="L1059">
        <v>11504.46</v>
      </c>
      <c r="M1059">
        <v>9203.57</v>
      </c>
      <c r="N1059" t="s">
        <v>116</v>
      </c>
      <c r="O1059">
        <v>2025</v>
      </c>
    </row>
    <row r="1060" spans="1:15" x14ac:dyDescent="0.3">
      <c r="A1060" t="s">
        <v>1145</v>
      </c>
      <c r="B1060" t="s">
        <v>114</v>
      </c>
      <c r="C1060" t="s">
        <v>54</v>
      </c>
      <c r="D1060" t="s">
        <v>68</v>
      </c>
      <c r="E1060" t="s">
        <v>30</v>
      </c>
      <c r="F1060" s="1">
        <v>45413</v>
      </c>
      <c r="G1060">
        <v>3</v>
      </c>
      <c r="H1060">
        <v>5043.0600000000004</v>
      </c>
      <c r="I1060">
        <v>5</v>
      </c>
      <c r="J1060" t="s">
        <v>82</v>
      </c>
      <c r="K1060">
        <v>756.46</v>
      </c>
      <c r="L1060">
        <v>15129.18</v>
      </c>
      <c r="M1060">
        <v>14372.72</v>
      </c>
      <c r="N1060" t="s">
        <v>101</v>
      </c>
      <c r="O1060">
        <v>2024</v>
      </c>
    </row>
    <row r="1061" spans="1:15" x14ac:dyDescent="0.3">
      <c r="A1061" t="s">
        <v>1146</v>
      </c>
      <c r="B1061" t="s">
        <v>65</v>
      </c>
      <c r="C1061" t="s">
        <v>34</v>
      </c>
      <c r="D1061" t="s">
        <v>85</v>
      </c>
      <c r="E1061" t="s">
        <v>56</v>
      </c>
      <c r="F1061" s="1">
        <v>45617</v>
      </c>
      <c r="G1061">
        <v>10</v>
      </c>
      <c r="H1061">
        <v>13297.48</v>
      </c>
      <c r="I1061">
        <v>5</v>
      </c>
      <c r="J1061" t="s">
        <v>45</v>
      </c>
      <c r="K1061">
        <v>6648.74</v>
      </c>
      <c r="L1061">
        <v>132974.79999999999</v>
      </c>
      <c r="M1061">
        <v>126326.06</v>
      </c>
      <c r="N1061" t="s">
        <v>96</v>
      </c>
      <c r="O1061">
        <v>2024</v>
      </c>
    </row>
    <row r="1062" spans="1:15" x14ac:dyDescent="0.3">
      <c r="A1062" t="s">
        <v>1147</v>
      </c>
      <c r="B1062" t="s">
        <v>93</v>
      </c>
      <c r="C1062" t="s">
        <v>17</v>
      </c>
      <c r="D1062" t="s">
        <v>24</v>
      </c>
      <c r="E1062" t="s">
        <v>50</v>
      </c>
      <c r="F1062" s="1">
        <v>45444</v>
      </c>
      <c r="G1062">
        <v>6</v>
      </c>
      <c r="H1062">
        <v>2885.38</v>
      </c>
      <c r="I1062">
        <v>10</v>
      </c>
      <c r="J1062" t="s">
        <v>40</v>
      </c>
      <c r="K1062">
        <v>1731.23</v>
      </c>
      <c r="L1062">
        <v>17312.28</v>
      </c>
      <c r="M1062">
        <v>15581.05</v>
      </c>
      <c r="N1062" t="s">
        <v>72</v>
      </c>
      <c r="O1062">
        <v>2024</v>
      </c>
    </row>
    <row r="1063" spans="1:15" x14ac:dyDescent="0.3">
      <c r="A1063" t="s">
        <v>1148</v>
      </c>
      <c r="B1063" t="s">
        <v>93</v>
      </c>
      <c r="C1063" t="s">
        <v>34</v>
      </c>
      <c r="D1063" t="s">
        <v>66</v>
      </c>
      <c r="E1063" t="s">
        <v>56</v>
      </c>
      <c r="F1063" s="1">
        <v>45375</v>
      </c>
      <c r="G1063">
        <v>8</v>
      </c>
      <c r="H1063">
        <v>43909.97</v>
      </c>
      <c r="I1063">
        <v>20</v>
      </c>
      <c r="J1063" t="s">
        <v>20</v>
      </c>
      <c r="K1063">
        <v>70255.95</v>
      </c>
      <c r="L1063">
        <v>351279.76</v>
      </c>
      <c r="M1063">
        <v>281023.81</v>
      </c>
      <c r="N1063" t="s">
        <v>83</v>
      </c>
      <c r="O1063">
        <v>2024</v>
      </c>
    </row>
    <row r="1064" spans="1:15" x14ac:dyDescent="0.3">
      <c r="A1064" t="s">
        <v>1149</v>
      </c>
      <c r="B1064" t="s">
        <v>65</v>
      </c>
      <c r="C1064" t="s">
        <v>17</v>
      </c>
      <c r="D1064" t="s">
        <v>59</v>
      </c>
      <c r="E1064" t="s">
        <v>56</v>
      </c>
      <c r="F1064" s="1">
        <v>45802</v>
      </c>
      <c r="G1064">
        <v>9</v>
      </c>
      <c r="H1064">
        <v>25401.67</v>
      </c>
      <c r="I1064">
        <v>10</v>
      </c>
      <c r="J1064" t="s">
        <v>45</v>
      </c>
      <c r="K1064">
        <v>22861.5</v>
      </c>
      <c r="L1064">
        <v>228615.03</v>
      </c>
      <c r="M1064">
        <v>205753.53</v>
      </c>
      <c r="N1064" t="s">
        <v>101</v>
      </c>
      <c r="O1064">
        <v>2025</v>
      </c>
    </row>
    <row r="1065" spans="1:15" x14ac:dyDescent="0.3">
      <c r="A1065" t="s">
        <v>1150</v>
      </c>
      <c r="B1065" t="s">
        <v>16</v>
      </c>
      <c r="C1065" t="s">
        <v>62</v>
      </c>
      <c r="D1065" t="s">
        <v>132</v>
      </c>
      <c r="E1065" t="s">
        <v>56</v>
      </c>
      <c r="F1065" s="1">
        <v>45777</v>
      </c>
      <c r="G1065">
        <v>5</v>
      </c>
      <c r="H1065">
        <v>2613.2399999999998</v>
      </c>
      <c r="I1065">
        <v>20</v>
      </c>
      <c r="J1065" t="s">
        <v>71</v>
      </c>
      <c r="K1065">
        <v>2613.2399999999998</v>
      </c>
      <c r="L1065">
        <v>13066.2</v>
      </c>
      <c r="M1065">
        <v>10452.959999999999</v>
      </c>
      <c r="N1065" t="s">
        <v>27</v>
      </c>
      <c r="O1065">
        <v>2025</v>
      </c>
    </row>
    <row r="1066" spans="1:15" x14ac:dyDescent="0.3">
      <c r="A1066" t="s">
        <v>1151</v>
      </c>
      <c r="B1066" t="s">
        <v>29</v>
      </c>
      <c r="C1066" t="s">
        <v>17</v>
      </c>
      <c r="D1066" t="s">
        <v>59</v>
      </c>
      <c r="E1066" t="s">
        <v>50</v>
      </c>
      <c r="F1066" s="1">
        <v>45532</v>
      </c>
      <c r="G1066">
        <v>7</v>
      </c>
      <c r="H1066">
        <v>23866.21</v>
      </c>
      <c r="I1066">
        <v>15</v>
      </c>
      <c r="J1066" t="s">
        <v>71</v>
      </c>
      <c r="K1066">
        <v>25059.52</v>
      </c>
      <c r="L1066">
        <v>167063.47</v>
      </c>
      <c r="M1066">
        <v>142003.95000000001</v>
      </c>
      <c r="N1066" t="s">
        <v>21</v>
      </c>
      <c r="O1066">
        <v>2024</v>
      </c>
    </row>
    <row r="1067" spans="1:15" x14ac:dyDescent="0.3">
      <c r="A1067" t="s">
        <v>1152</v>
      </c>
      <c r="B1067" t="s">
        <v>53</v>
      </c>
      <c r="C1067" t="s">
        <v>90</v>
      </c>
      <c r="D1067" t="s">
        <v>91</v>
      </c>
      <c r="E1067" t="s">
        <v>44</v>
      </c>
      <c r="F1067" s="1">
        <v>45552</v>
      </c>
      <c r="G1067">
        <v>9</v>
      </c>
      <c r="H1067">
        <v>1381.78</v>
      </c>
      <c r="I1067">
        <v>0</v>
      </c>
      <c r="J1067" t="s">
        <v>45</v>
      </c>
      <c r="K1067">
        <v>0</v>
      </c>
      <c r="L1067">
        <v>12436.02</v>
      </c>
      <c r="M1067">
        <v>12436.02</v>
      </c>
      <c r="N1067" t="s">
        <v>86</v>
      </c>
      <c r="O1067">
        <v>2024</v>
      </c>
    </row>
    <row r="1068" spans="1:15" x14ac:dyDescent="0.3">
      <c r="A1068" t="s">
        <v>1153</v>
      </c>
      <c r="B1068" t="s">
        <v>65</v>
      </c>
      <c r="C1068" t="s">
        <v>62</v>
      </c>
      <c r="D1068" t="s">
        <v>99</v>
      </c>
      <c r="E1068" t="s">
        <v>19</v>
      </c>
      <c r="F1068" s="1">
        <v>45889</v>
      </c>
      <c r="G1068">
        <v>1</v>
      </c>
      <c r="H1068">
        <v>1524.47</v>
      </c>
      <c r="I1068">
        <v>20</v>
      </c>
      <c r="J1068" t="s">
        <v>20</v>
      </c>
      <c r="K1068">
        <v>304.89</v>
      </c>
      <c r="L1068">
        <v>1524.47</v>
      </c>
      <c r="M1068">
        <v>1219.58</v>
      </c>
      <c r="N1068" t="s">
        <v>21</v>
      </c>
      <c r="O1068">
        <v>2025</v>
      </c>
    </row>
    <row r="1069" spans="1:15" x14ac:dyDescent="0.3">
      <c r="A1069" t="s">
        <v>1154</v>
      </c>
      <c r="B1069" t="s">
        <v>89</v>
      </c>
      <c r="C1069" t="s">
        <v>62</v>
      </c>
      <c r="D1069" t="s">
        <v>99</v>
      </c>
      <c r="E1069" t="s">
        <v>56</v>
      </c>
      <c r="F1069" s="1">
        <v>45710</v>
      </c>
      <c r="G1069">
        <v>6</v>
      </c>
      <c r="H1069">
        <v>1651.69</v>
      </c>
      <c r="I1069">
        <v>10</v>
      </c>
      <c r="J1069" t="s">
        <v>31</v>
      </c>
      <c r="K1069">
        <v>991.01</v>
      </c>
      <c r="L1069">
        <v>9910.14</v>
      </c>
      <c r="M1069">
        <v>8919.1299999999992</v>
      </c>
      <c r="N1069" t="s">
        <v>41</v>
      </c>
      <c r="O1069">
        <v>2025</v>
      </c>
    </row>
    <row r="1070" spans="1:15" x14ac:dyDescent="0.3">
      <c r="A1070" t="s">
        <v>1155</v>
      </c>
      <c r="B1070" t="s">
        <v>109</v>
      </c>
      <c r="C1070" t="s">
        <v>62</v>
      </c>
      <c r="D1070" t="s">
        <v>99</v>
      </c>
      <c r="E1070" t="s">
        <v>50</v>
      </c>
      <c r="F1070" s="1">
        <v>45531</v>
      </c>
      <c r="G1070">
        <v>5</v>
      </c>
      <c r="H1070">
        <v>1592.01</v>
      </c>
      <c r="I1070">
        <v>10</v>
      </c>
      <c r="J1070" t="s">
        <v>71</v>
      </c>
      <c r="K1070">
        <v>796.01</v>
      </c>
      <c r="L1070">
        <v>7960.05</v>
      </c>
      <c r="M1070">
        <v>7164.04</v>
      </c>
      <c r="N1070" t="s">
        <v>21</v>
      </c>
      <c r="O1070">
        <v>2024</v>
      </c>
    </row>
    <row r="1071" spans="1:15" x14ac:dyDescent="0.3">
      <c r="A1071" t="s">
        <v>1156</v>
      </c>
      <c r="B1071" t="s">
        <v>38</v>
      </c>
      <c r="C1071" t="s">
        <v>17</v>
      </c>
      <c r="D1071" t="s">
        <v>39</v>
      </c>
      <c r="E1071" t="s">
        <v>81</v>
      </c>
      <c r="F1071" s="1">
        <v>45575</v>
      </c>
      <c r="G1071">
        <v>4</v>
      </c>
      <c r="H1071">
        <v>18307.13</v>
      </c>
      <c r="I1071">
        <v>0</v>
      </c>
      <c r="J1071" t="s">
        <v>82</v>
      </c>
      <c r="K1071">
        <v>0</v>
      </c>
      <c r="L1071">
        <v>73228.52</v>
      </c>
      <c r="M1071">
        <v>73228.52</v>
      </c>
      <c r="N1071" t="s">
        <v>57</v>
      </c>
      <c r="O1071">
        <v>2024</v>
      </c>
    </row>
    <row r="1072" spans="1:15" x14ac:dyDescent="0.3">
      <c r="A1072" t="s">
        <v>1157</v>
      </c>
      <c r="B1072" t="s">
        <v>65</v>
      </c>
      <c r="C1072" t="s">
        <v>62</v>
      </c>
      <c r="D1072" t="s">
        <v>95</v>
      </c>
      <c r="E1072" t="s">
        <v>50</v>
      </c>
      <c r="F1072" s="1">
        <v>45493</v>
      </c>
      <c r="G1072">
        <v>6</v>
      </c>
      <c r="H1072">
        <v>770</v>
      </c>
      <c r="I1072">
        <v>10</v>
      </c>
      <c r="J1072" t="s">
        <v>45</v>
      </c>
      <c r="K1072">
        <v>462</v>
      </c>
      <c r="L1072">
        <v>4620</v>
      </c>
      <c r="M1072">
        <v>4158</v>
      </c>
      <c r="N1072" t="s">
        <v>122</v>
      </c>
      <c r="O1072">
        <v>2024</v>
      </c>
    </row>
    <row r="1073" spans="1:15" x14ac:dyDescent="0.3">
      <c r="A1073" t="s">
        <v>1158</v>
      </c>
      <c r="B1073" t="s">
        <v>53</v>
      </c>
      <c r="C1073" t="s">
        <v>34</v>
      </c>
      <c r="D1073" t="s">
        <v>66</v>
      </c>
      <c r="E1073" t="s">
        <v>44</v>
      </c>
      <c r="F1073" s="1">
        <v>45300</v>
      </c>
      <c r="G1073">
        <v>5</v>
      </c>
      <c r="H1073">
        <v>38818.449999999997</v>
      </c>
      <c r="I1073">
        <v>10</v>
      </c>
      <c r="J1073" t="s">
        <v>40</v>
      </c>
      <c r="K1073">
        <v>19409.23</v>
      </c>
      <c r="L1073">
        <v>194092.25</v>
      </c>
      <c r="M1073">
        <v>174683.02</v>
      </c>
      <c r="N1073" t="s">
        <v>116</v>
      </c>
      <c r="O1073">
        <v>2024</v>
      </c>
    </row>
    <row r="1074" spans="1:15" x14ac:dyDescent="0.3">
      <c r="A1074" t="s">
        <v>1159</v>
      </c>
      <c r="B1074" t="s">
        <v>38</v>
      </c>
      <c r="C1074" t="s">
        <v>90</v>
      </c>
      <c r="D1074" t="s">
        <v>152</v>
      </c>
      <c r="E1074" t="s">
        <v>81</v>
      </c>
      <c r="F1074" s="1">
        <v>45775</v>
      </c>
      <c r="G1074">
        <v>9</v>
      </c>
      <c r="H1074">
        <v>11473.19</v>
      </c>
      <c r="I1074">
        <v>5</v>
      </c>
      <c r="J1074" t="s">
        <v>26</v>
      </c>
      <c r="K1074">
        <v>5162.9399999999996</v>
      </c>
      <c r="L1074">
        <v>103258.71</v>
      </c>
      <c r="M1074">
        <v>98095.77</v>
      </c>
      <c r="N1074" t="s">
        <v>27</v>
      </c>
      <c r="O1074">
        <v>2025</v>
      </c>
    </row>
    <row r="1075" spans="1:15" x14ac:dyDescent="0.3">
      <c r="A1075" t="s">
        <v>1160</v>
      </c>
      <c r="B1075" t="s">
        <v>29</v>
      </c>
      <c r="C1075" t="s">
        <v>90</v>
      </c>
      <c r="D1075" t="s">
        <v>107</v>
      </c>
      <c r="E1075" t="s">
        <v>30</v>
      </c>
      <c r="F1075" s="1">
        <v>45777</v>
      </c>
      <c r="G1075">
        <v>4</v>
      </c>
      <c r="H1075">
        <v>12347.48</v>
      </c>
      <c r="I1075">
        <v>20</v>
      </c>
      <c r="J1075" t="s">
        <v>20</v>
      </c>
      <c r="K1075">
        <v>9877.98</v>
      </c>
      <c r="L1075">
        <v>49389.919999999998</v>
      </c>
      <c r="M1075">
        <v>39511.94</v>
      </c>
      <c r="N1075" t="s">
        <v>27</v>
      </c>
      <c r="O1075">
        <v>2025</v>
      </c>
    </row>
    <row r="1076" spans="1:15" x14ac:dyDescent="0.3">
      <c r="A1076" t="s">
        <v>1161</v>
      </c>
      <c r="B1076" t="s">
        <v>33</v>
      </c>
      <c r="C1076" t="s">
        <v>90</v>
      </c>
      <c r="D1076" t="s">
        <v>152</v>
      </c>
      <c r="E1076" t="s">
        <v>44</v>
      </c>
      <c r="F1076" s="1">
        <v>45612</v>
      </c>
      <c r="G1076">
        <v>4</v>
      </c>
      <c r="H1076">
        <v>11079.18</v>
      </c>
      <c r="I1076">
        <v>15</v>
      </c>
      <c r="J1076" t="s">
        <v>82</v>
      </c>
      <c r="K1076">
        <v>6647.51</v>
      </c>
      <c r="L1076">
        <v>44316.72</v>
      </c>
      <c r="M1076">
        <v>37669.21</v>
      </c>
      <c r="N1076" t="s">
        <v>96</v>
      </c>
      <c r="O1076">
        <v>2024</v>
      </c>
    </row>
    <row r="1077" spans="1:15" x14ac:dyDescent="0.3">
      <c r="A1077" t="s">
        <v>1162</v>
      </c>
      <c r="B1077" t="s">
        <v>89</v>
      </c>
      <c r="C1077" t="s">
        <v>34</v>
      </c>
      <c r="D1077" t="s">
        <v>35</v>
      </c>
      <c r="E1077" t="s">
        <v>44</v>
      </c>
      <c r="F1077" s="1">
        <v>45675</v>
      </c>
      <c r="G1077">
        <v>3</v>
      </c>
      <c r="H1077">
        <v>26109.43</v>
      </c>
      <c r="I1077">
        <v>5</v>
      </c>
      <c r="J1077" t="s">
        <v>26</v>
      </c>
      <c r="K1077">
        <v>3916.41</v>
      </c>
      <c r="L1077">
        <v>78328.289999999994</v>
      </c>
      <c r="M1077">
        <v>74411.88</v>
      </c>
      <c r="N1077" t="s">
        <v>116</v>
      </c>
      <c r="O1077">
        <v>2025</v>
      </c>
    </row>
    <row r="1078" spans="1:15" x14ac:dyDescent="0.3">
      <c r="A1078" t="s">
        <v>1163</v>
      </c>
      <c r="B1078" t="s">
        <v>89</v>
      </c>
      <c r="C1078" t="s">
        <v>62</v>
      </c>
      <c r="D1078" t="s">
        <v>95</v>
      </c>
      <c r="E1078" t="s">
        <v>44</v>
      </c>
      <c r="F1078" s="1">
        <v>45639</v>
      </c>
      <c r="G1078">
        <v>4</v>
      </c>
      <c r="H1078">
        <v>884.21</v>
      </c>
      <c r="I1078">
        <v>15</v>
      </c>
      <c r="J1078" t="s">
        <v>45</v>
      </c>
      <c r="K1078">
        <v>530.53</v>
      </c>
      <c r="L1078">
        <v>3536.84</v>
      </c>
      <c r="M1078">
        <v>3006.31</v>
      </c>
      <c r="N1078" t="s">
        <v>51</v>
      </c>
      <c r="O1078">
        <v>2024</v>
      </c>
    </row>
    <row r="1079" spans="1:15" x14ac:dyDescent="0.3">
      <c r="A1079" t="s">
        <v>1164</v>
      </c>
      <c r="B1079" t="s">
        <v>33</v>
      </c>
      <c r="C1079" t="s">
        <v>54</v>
      </c>
      <c r="D1079" t="s">
        <v>137</v>
      </c>
      <c r="E1079" t="s">
        <v>81</v>
      </c>
      <c r="F1079" s="1">
        <v>45873</v>
      </c>
      <c r="G1079">
        <v>1</v>
      </c>
      <c r="H1079">
        <v>1017.48</v>
      </c>
      <c r="I1079">
        <v>5</v>
      </c>
      <c r="J1079" t="s">
        <v>26</v>
      </c>
      <c r="K1079">
        <v>50.87</v>
      </c>
      <c r="L1079">
        <v>1017.48</v>
      </c>
      <c r="M1079">
        <v>966.61</v>
      </c>
      <c r="N1079" t="s">
        <v>21</v>
      </c>
      <c r="O1079">
        <v>2025</v>
      </c>
    </row>
    <row r="1080" spans="1:15" x14ac:dyDescent="0.3">
      <c r="A1080" t="s">
        <v>1165</v>
      </c>
      <c r="B1080" t="s">
        <v>61</v>
      </c>
      <c r="C1080" t="s">
        <v>62</v>
      </c>
      <c r="D1080" t="s">
        <v>132</v>
      </c>
      <c r="E1080" t="s">
        <v>44</v>
      </c>
      <c r="F1080" s="1">
        <v>45682</v>
      </c>
      <c r="G1080">
        <v>4</v>
      </c>
      <c r="H1080">
        <v>2842.93</v>
      </c>
      <c r="I1080">
        <v>0</v>
      </c>
      <c r="J1080" t="s">
        <v>31</v>
      </c>
      <c r="K1080">
        <v>0</v>
      </c>
      <c r="L1080">
        <v>11371.72</v>
      </c>
      <c r="M1080">
        <v>11371.72</v>
      </c>
      <c r="N1080" t="s">
        <v>116</v>
      </c>
      <c r="O1080">
        <v>2025</v>
      </c>
    </row>
    <row r="1081" spans="1:15" x14ac:dyDescent="0.3">
      <c r="A1081" t="s">
        <v>1166</v>
      </c>
      <c r="B1081" t="s">
        <v>29</v>
      </c>
      <c r="C1081" t="s">
        <v>54</v>
      </c>
      <c r="D1081" t="s">
        <v>68</v>
      </c>
      <c r="E1081" t="s">
        <v>56</v>
      </c>
      <c r="F1081" s="1">
        <v>45628</v>
      </c>
      <c r="G1081">
        <v>10</v>
      </c>
      <c r="H1081">
        <v>5645.4</v>
      </c>
      <c r="I1081">
        <v>10</v>
      </c>
      <c r="J1081" t="s">
        <v>82</v>
      </c>
      <c r="K1081">
        <v>5645.4</v>
      </c>
      <c r="L1081">
        <v>56454</v>
      </c>
      <c r="M1081">
        <v>50808.6</v>
      </c>
      <c r="N1081" t="s">
        <v>51</v>
      </c>
      <c r="O1081">
        <v>2024</v>
      </c>
    </row>
    <row r="1082" spans="1:15" x14ac:dyDescent="0.3">
      <c r="A1082" t="s">
        <v>1167</v>
      </c>
      <c r="B1082" t="s">
        <v>47</v>
      </c>
      <c r="C1082" t="s">
        <v>17</v>
      </c>
      <c r="D1082" t="s">
        <v>59</v>
      </c>
      <c r="E1082" t="s">
        <v>30</v>
      </c>
      <c r="F1082" s="1">
        <v>45324</v>
      </c>
      <c r="G1082">
        <v>10</v>
      </c>
      <c r="H1082">
        <v>25553.83</v>
      </c>
      <c r="I1082">
        <v>5</v>
      </c>
      <c r="J1082" t="s">
        <v>36</v>
      </c>
      <c r="K1082">
        <v>12776.92</v>
      </c>
      <c r="L1082">
        <v>255538.3</v>
      </c>
      <c r="M1082">
        <v>242761.38</v>
      </c>
      <c r="N1082" t="s">
        <v>41</v>
      </c>
      <c r="O1082">
        <v>2024</v>
      </c>
    </row>
    <row r="1083" spans="1:15" x14ac:dyDescent="0.3">
      <c r="A1083" t="s">
        <v>1168</v>
      </c>
      <c r="B1083" t="s">
        <v>114</v>
      </c>
      <c r="C1083" t="s">
        <v>34</v>
      </c>
      <c r="D1083" t="s">
        <v>80</v>
      </c>
      <c r="E1083" t="s">
        <v>56</v>
      </c>
      <c r="F1083" s="1">
        <v>45502</v>
      </c>
      <c r="G1083">
        <v>4</v>
      </c>
      <c r="H1083">
        <v>5836.66</v>
      </c>
      <c r="I1083">
        <v>20</v>
      </c>
      <c r="J1083" t="s">
        <v>40</v>
      </c>
      <c r="K1083">
        <v>4669.33</v>
      </c>
      <c r="L1083">
        <v>23346.639999999999</v>
      </c>
      <c r="M1083">
        <v>18677.310000000001</v>
      </c>
      <c r="N1083" t="s">
        <v>122</v>
      </c>
      <c r="O1083">
        <v>2024</v>
      </c>
    </row>
    <row r="1084" spans="1:15" x14ac:dyDescent="0.3">
      <c r="A1084" t="s">
        <v>1169</v>
      </c>
      <c r="B1084" t="s">
        <v>109</v>
      </c>
      <c r="C1084" t="s">
        <v>17</v>
      </c>
      <c r="D1084" t="s">
        <v>157</v>
      </c>
      <c r="E1084" t="s">
        <v>19</v>
      </c>
      <c r="F1084" s="1">
        <v>45467</v>
      </c>
      <c r="G1084">
        <v>6</v>
      </c>
      <c r="H1084">
        <v>7804.49</v>
      </c>
      <c r="I1084">
        <v>15</v>
      </c>
      <c r="J1084" t="s">
        <v>26</v>
      </c>
      <c r="K1084">
        <v>7024.04</v>
      </c>
      <c r="L1084">
        <v>46826.94</v>
      </c>
      <c r="M1084">
        <v>39802.9</v>
      </c>
      <c r="N1084" t="s">
        <v>72</v>
      </c>
      <c r="O1084">
        <v>2024</v>
      </c>
    </row>
    <row r="1085" spans="1:15" x14ac:dyDescent="0.3">
      <c r="A1085" t="s">
        <v>1170</v>
      </c>
      <c r="B1085" t="s">
        <v>47</v>
      </c>
      <c r="C1085" t="s">
        <v>90</v>
      </c>
      <c r="D1085" t="s">
        <v>107</v>
      </c>
      <c r="E1085" t="s">
        <v>50</v>
      </c>
      <c r="F1085" s="1">
        <v>45781</v>
      </c>
      <c r="G1085">
        <v>2</v>
      </c>
      <c r="H1085">
        <v>11966.98</v>
      </c>
      <c r="I1085">
        <v>5</v>
      </c>
      <c r="J1085" t="s">
        <v>31</v>
      </c>
      <c r="K1085">
        <v>1196.7</v>
      </c>
      <c r="L1085">
        <v>23933.96</v>
      </c>
      <c r="M1085">
        <v>22737.26</v>
      </c>
      <c r="N1085" t="s">
        <v>101</v>
      </c>
      <c r="O1085">
        <v>2025</v>
      </c>
    </row>
    <row r="1086" spans="1:15" x14ac:dyDescent="0.3">
      <c r="A1086" t="s">
        <v>1171</v>
      </c>
      <c r="B1086" t="s">
        <v>43</v>
      </c>
      <c r="C1086" t="s">
        <v>34</v>
      </c>
      <c r="D1086" t="s">
        <v>85</v>
      </c>
      <c r="E1086" t="s">
        <v>56</v>
      </c>
      <c r="F1086" s="1">
        <v>45454</v>
      </c>
      <c r="G1086">
        <v>10</v>
      </c>
      <c r="H1086">
        <v>12525.27</v>
      </c>
      <c r="I1086">
        <v>10</v>
      </c>
      <c r="J1086" t="s">
        <v>71</v>
      </c>
      <c r="K1086">
        <v>12525.27</v>
      </c>
      <c r="L1086">
        <v>125252.7</v>
      </c>
      <c r="M1086">
        <v>112727.43</v>
      </c>
      <c r="N1086" t="s">
        <v>72</v>
      </c>
      <c r="O1086">
        <v>2024</v>
      </c>
    </row>
    <row r="1087" spans="1:15" x14ac:dyDescent="0.3">
      <c r="A1087" t="s">
        <v>1172</v>
      </c>
      <c r="B1087" t="s">
        <v>65</v>
      </c>
      <c r="C1087" t="s">
        <v>54</v>
      </c>
      <c r="D1087" t="s">
        <v>55</v>
      </c>
      <c r="E1087" t="s">
        <v>30</v>
      </c>
      <c r="F1087" s="1">
        <v>45574</v>
      </c>
      <c r="G1087">
        <v>4</v>
      </c>
      <c r="H1087">
        <v>1190.46</v>
      </c>
      <c r="I1087">
        <v>5</v>
      </c>
      <c r="J1087" t="s">
        <v>71</v>
      </c>
      <c r="K1087">
        <v>238.09</v>
      </c>
      <c r="L1087">
        <v>4761.84</v>
      </c>
      <c r="M1087">
        <v>4523.75</v>
      </c>
      <c r="N1087" t="s">
        <v>57</v>
      </c>
      <c r="O1087">
        <v>2024</v>
      </c>
    </row>
    <row r="1088" spans="1:15" x14ac:dyDescent="0.3">
      <c r="A1088" t="s">
        <v>1173</v>
      </c>
      <c r="B1088" t="s">
        <v>38</v>
      </c>
      <c r="C1088" t="s">
        <v>90</v>
      </c>
      <c r="D1088" t="s">
        <v>105</v>
      </c>
      <c r="E1088" t="s">
        <v>56</v>
      </c>
      <c r="F1088" s="1">
        <v>45830</v>
      </c>
      <c r="G1088">
        <v>6</v>
      </c>
      <c r="H1088">
        <v>3946.51</v>
      </c>
      <c r="I1088">
        <v>15</v>
      </c>
      <c r="J1088" t="s">
        <v>20</v>
      </c>
      <c r="K1088">
        <v>3551.86</v>
      </c>
      <c r="L1088">
        <v>23679.06</v>
      </c>
      <c r="M1088">
        <v>20127.2</v>
      </c>
      <c r="N1088" t="s">
        <v>72</v>
      </c>
      <c r="O1088">
        <v>2025</v>
      </c>
    </row>
    <row r="1089" spans="1:15" x14ac:dyDescent="0.3">
      <c r="A1089" t="s">
        <v>1174</v>
      </c>
      <c r="B1089" t="s">
        <v>93</v>
      </c>
      <c r="C1089" t="s">
        <v>90</v>
      </c>
      <c r="D1089" t="s">
        <v>152</v>
      </c>
      <c r="E1089" t="s">
        <v>25</v>
      </c>
      <c r="F1089" s="1">
        <v>45586</v>
      </c>
      <c r="G1089">
        <v>8</v>
      </c>
      <c r="H1089">
        <v>10853.65</v>
      </c>
      <c r="I1089">
        <v>10</v>
      </c>
      <c r="J1089" t="s">
        <v>82</v>
      </c>
      <c r="K1089">
        <v>8682.92</v>
      </c>
      <c r="L1089">
        <v>86829.2</v>
      </c>
      <c r="M1089">
        <v>78146.28</v>
      </c>
      <c r="N1089" t="s">
        <v>57</v>
      </c>
      <c r="O1089">
        <v>2024</v>
      </c>
    </row>
    <row r="1090" spans="1:15" x14ac:dyDescent="0.3">
      <c r="A1090" t="s">
        <v>1175</v>
      </c>
      <c r="B1090" t="s">
        <v>38</v>
      </c>
      <c r="C1090" t="s">
        <v>90</v>
      </c>
      <c r="D1090" t="s">
        <v>91</v>
      </c>
      <c r="E1090" t="s">
        <v>44</v>
      </c>
      <c r="F1090" s="1">
        <v>45717</v>
      </c>
      <c r="G1090">
        <v>4</v>
      </c>
      <c r="H1090">
        <v>1417.34</v>
      </c>
      <c r="I1090">
        <v>20</v>
      </c>
      <c r="J1090" t="s">
        <v>36</v>
      </c>
      <c r="K1090">
        <v>1133.8699999999999</v>
      </c>
      <c r="L1090">
        <v>5669.36</v>
      </c>
      <c r="M1090">
        <v>4535.49</v>
      </c>
      <c r="N1090" t="s">
        <v>83</v>
      </c>
      <c r="O1090">
        <v>2025</v>
      </c>
    </row>
    <row r="1091" spans="1:15" x14ac:dyDescent="0.3">
      <c r="A1091" t="s">
        <v>1176</v>
      </c>
      <c r="B1091" t="s">
        <v>23</v>
      </c>
      <c r="C1091" t="s">
        <v>90</v>
      </c>
      <c r="D1091" t="s">
        <v>152</v>
      </c>
      <c r="E1091" t="s">
        <v>30</v>
      </c>
      <c r="F1091" s="1">
        <v>46007</v>
      </c>
      <c r="G1091">
        <v>10</v>
      </c>
      <c r="H1091">
        <v>10162.719999999999</v>
      </c>
      <c r="I1091">
        <v>0</v>
      </c>
      <c r="J1091" t="s">
        <v>36</v>
      </c>
      <c r="K1091">
        <v>0</v>
      </c>
      <c r="L1091">
        <v>101627.2</v>
      </c>
      <c r="M1091">
        <v>101627.2</v>
      </c>
      <c r="N1091" t="s">
        <v>51</v>
      </c>
      <c r="O1091">
        <v>2025</v>
      </c>
    </row>
    <row r="1092" spans="1:15" x14ac:dyDescent="0.3">
      <c r="A1092" t="s">
        <v>1177</v>
      </c>
      <c r="B1092" t="s">
        <v>43</v>
      </c>
      <c r="C1092" t="s">
        <v>34</v>
      </c>
      <c r="D1092" t="s">
        <v>85</v>
      </c>
      <c r="E1092" t="s">
        <v>30</v>
      </c>
      <c r="F1092" s="1">
        <v>45974</v>
      </c>
      <c r="G1092">
        <v>2</v>
      </c>
      <c r="H1092">
        <v>14183.55</v>
      </c>
      <c r="I1092">
        <v>5</v>
      </c>
      <c r="J1092" t="s">
        <v>40</v>
      </c>
      <c r="K1092">
        <v>1418.36</v>
      </c>
      <c r="L1092">
        <v>28367.1</v>
      </c>
      <c r="M1092">
        <v>26948.74</v>
      </c>
      <c r="N1092" t="s">
        <v>96</v>
      </c>
      <c r="O1092">
        <v>2025</v>
      </c>
    </row>
    <row r="1093" spans="1:15" x14ac:dyDescent="0.3">
      <c r="A1093" t="s">
        <v>1178</v>
      </c>
      <c r="B1093" t="s">
        <v>74</v>
      </c>
      <c r="C1093" t="s">
        <v>90</v>
      </c>
      <c r="D1093" t="s">
        <v>152</v>
      </c>
      <c r="E1093" t="s">
        <v>81</v>
      </c>
      <c r="F1093" s="1">
        <v>45669</v>
      </c>
      <c r="G1093">
        <v>2</v>
      </c>
      <c r="H1093">
        <v>10888.49</v>
      </c>
      <c r="I1093">
        <v>20</v>
      </c>
      <c r="J1093" t="s">
        <v>82</v>
      </c>
      <c r="K1093">
        <v>4355.3999999999996</v>
      </c>
      <c r="L1093">
        <v>21776.98</v>
      </c>
      <c r="M1093">
        <v>17421.580000000002</v>
      </c>
      <c r="N1093" t="s">
        <v>116</v>
      </c>
      <c r="O1093">
        <v>2025</v>
      </c>
    </row>
    <row r="1094" spans="1:15" x14ac:dyDescent="0.3">
      <c r="A1094" t="s">
        <v>1179</v>
      </c>
      <c r="B1094" t="s">
        <v>89</v>
      </c>
      <c r="C1094" t="s">
        <v>62</v>
      </c>
      <c r="D1094" t="s">
        <v>99</v>
      </c>
      <c r="E1094" t="s">
        <v>50</v>
      </c>
      <c r="F1094" s="1">
        <v>45504</v>
      </c>
      <c r="G1094">
        <v>9</v>
      </c>
      <c r="H1094">
        <v>1366.74</v>
      </c>
      <c r="I1094">
        <v>0</v>
      </c>
      <c r="J1094" t="s">
        <v>40</v>
      </c>
      <c r="K1094">
        <v>0</v>
      </c>
      <c r="L1094">
        <v>12300.66</v>
      </c>
      <c r="M1094">
        <v>12300.66</v>
      </c>
      <c r="N1094" t="s">
        <v>122</v>
      </c>
      <c r="O1094">
        <v>2024</v>
      </c>
    </row>
    <row r="1095" spans="1:15" x14ac:dyDescent="0.3">
      <c r="A1095" t="s">
        <v>1180</v>
      </c>
      <c r="B1095" t="s">
        <v>23</v>
      </c>
      <c r="C1095" t="s">
        <v>17</v>
      </c>
      <c r="D1095" t="s">
        <v>157</v>
      </c>
      <c r="E1095" t="s">
        <v>19</v>
      </c>
      <c r="F1095" s="1">
        <v>45491</v>
      </c>
      <c r="G1095">
        <v>7</v>
      </c>
      <c r="H1095">
        <v>6366.11</v>
      </c>
      <c r="I1095">
        <v>10</v>
      </c>
      <c r="J1095" t="s">
        <v>31</v>
      </c>
      <c r="K1095">
        <v>4456.28</v>
      </c>
      <c r="L1095">
        <v>44562.77</v>
      </c>
      <c r="M1095">
        <v>40106.49</v>
      </c>
      <c r="N1095" t="s">
        <v>122</v>
      </c>
      <c r="O1095">
        <v>2024</v>
      </c>
    </row>
    <row r="1096" spans="1:15" x14ac:dyDescent="0.3">
      <c r="A1096" t="s">
        <v>1181</v>
      </c>
      <c r="B1096" t="s">
        <v>33</v>
      </c>
      <c r="C1096" t="s">
        <v>17</v>
      </c>
      <c r="D1096" t="s">
        <v>59</v>
      </c>
      <c r="E1096" t="s">
        <v>30</v>
      </c>
      <c r="F1096" s="1">
        <v>45788</v>
      </c>
      <c r="G1096">
        <v>8</v>
      </c>
      <c r="H1096">
        <v>22926.48</v>
      </c>
      <c r="I1096">
        <v>20</v>
      </c>
      <c r="J1096" t="s">
        <v>71</v>
      </c>
      <c r="K1096">
        <v>36682.370000000003</v>
      </c>
      <c r="L1096">
        <v>183411.84</v>
      </c>
      <c r="M1096">
        <v>146729.47</v>
      </c>
      <c r="N1096" t="s">
        <v>101</v>
      </c>
      <c r="O1096">
        <v>2025</v>
      </c>
    </row>
    <row r="1097" spans="1:15" x14ac:dyDescent="0.3">
      <c r="A1097" t="s">
        <v>1182</v>
      </c>
      <c r="B1097" t="s">
        <v>53</v>
      </c>
      <c r="C1097" t="s">
        <v>34</v>
      </c>
      <c r="D1097" t="s">
        <v>35</v>
      </c>
      <c r="E1097" t="s">
        <v>56</v>
      </c>
      <c r="F1097" s="1">
        <v>45457</v>
      </c>
      <c r="G1097">
        <v>3</v>
      </c>
      <c r="H1097">
        <v>27740.6</v>
      </c>
      <c r="I1097">
        <v>20</v>
      </c>
      <c r="J1097" t="s">
        <v>40</v>
      </c>
      <c r="K1097">
        <v>16644.36</v>
      </c>
      <c r="L1097">
        <v>83221.8</v>
      </c>
      <c r="M1097">
        <v>66577.440000000002</v>
      </c>
      <c r="N1097" t="s">
        <v>72</v>
      </c>
      <c r="O1097">
        <v>2024</v>
      </c>
    </row>
    <row r="1098" spans="1:15" x14ac:dyDescent="0.3">
      <c r="A1098" t="s">
        <v>1183</v>
      </c>
      <c r="B1098" t="s">
        <v>43</v>
      </c>
      <c r="C1098" t="s">
        <v>17</v>
      </c>
      <c r="D1098" t="s">
        <v>59</v>
      </c>
      <c r="E1098" t="s">
        <v>25</v>
      </c>
      <c r="F1098" s="1">
        <v>45464</v>
      </c>
      <c r="G1098">
        <v>2</v>
      </c>
      <c r="H1098">
        <v>26696.2</v>
      </c>
      <c r="I1098">
        <v>0</v>
      </c>
      <c r="J1098" t="s">
        <v>31</v>
      </c>
      <c r="K1098">
        <v>0</v>
      </c>
      <c r="L1098">
        <v>53392.4</v>
      </c>
      <c r="M1098">
        <v>53392.4</v>
      </c>
      <c r="N1098" t="s">
        <v>72</v>
      </c>
      <c r="O1098">
        <v>2024</v>
      </c>
    </row>
    <row r="1099" spans="1:15" x14ac:dyDescent="0.3">
      <c r="A1099" t="s">
        <v>1184</v>
      </c>
      <c r="B1099" t="s">
        <v>89</v>
      </c>
      <c r="C1099" t="s">
        <v>62</v>
      </c>
      <c r="D1099" t="s">
        <v>63</v>
      </c>
      <c r="E1099" t="s">
        <v>19</v>
      </c>
      <c r="F1099" s="1">
        <v>45513</v>
      </c>
      <c r="G1099">
        <v>1</v>
      </c>
      <c r="H1099">
        <v>2021.71</v>
      </c>
      <c r="I1099">
        <v>20</v>
      </c>
      <c r="J1099" t="s">
        <v>36</v>
      </c>
      <c r="K1099">
        <v>404.34</v>
      </c>
      <c r="L1099">
        <v>2021.71</v>
      </c>
      <c r="M1099">
        <v>1617.37</v>
      </c>
      <c r="N1099" t="s">
        <v>21</v>
      </c>
      <c r="O1099">
        <v>2024</v>
      </c>
    </row>
    <row r="1100" spans="1:15" x14ac:dyDescent="0.3">
      <c r="A1100" t="s">
        <v>1185</v>
      </c>
      <c r="B1100" t="s">
        <v>16</v>
      </c>
      <c r="C1100" t="s">
        <v>34</v>
      </c>
      <c r="D1100" t="s">
        <v>35</v>
      </c>
      <c r="E1100" t="s">
        <v>25</v>
      </c>
      <c r="F1100" s="1">
        <v>45691</v>
      </c>
      <c r="G1100">
        <v>5</v>
      </c>
      <c r="H1100">
        <v>25274.92</v>
      </c>
      <c r="I1100">
        <v>20</v>
      </c>
      <c r="J1100" t="s">
        <v>82</v>
      </c>
      <c r="K1100">
        <v>25274.92</v>
      </c>
      <c r="L1100">
        <v>126374.6</v>
      </c>
      <c r="M1100">
        <v>101099.68</v>
      </c>
      <c r="N1100" t="s">
        <v>41</v>
      </c>
      <c r="O1100">
        <v>2025</v>
      </c>
    </row>
    <row r="1101" spans="1:15" x14ac:dyDescent="0.3">
      <c r="A1101" t="s">
        <v>1186</v>
      </c>
      <c r="B1101" t="s">
        <v>74</v>
      </c>
      <c r="C1101" t="s">
        <v>17</v>
      </c>
      <c r="D1101" t="s">
        <v>18</v>
      </c>
      <c r="E1101" t="s">
        <v>56</v>
      </c>
      <c r="F1101" s="1">
        <v>45547</v>
      </c>
      <c r="G1101">
        <v>6</v>
      </c>
      <c r="H1101">
        <v>73267.289999999994</v>
      </c>
      <c r="I1101">
        <v>5</v>
      </c>
      <c r="J1101" t="s">
        <v>20</v>
      </c>
      <c r="K1101">
        <v>21980.19</v>
      </c>
      <c r="L1101">
        <v>439603.74</v>
      </c>
      <c r="M1101">
        <v>417623.55</v>
      </c>
      <c r="N1101" t="s">
        <v>86</v>
      </c>
      <c r="O1101">
        <v>2024</v>
      </c>
    </row>
    <row r="1102" spans="1:15" x14ac:dyDescent="0.3">
      <c r="A1102" t="s">
        <v>1187</v>
      </c>
      <c r="B1102" t="s">
        <v>23</v>
      </c>
      <c r="C1102" t="s">
        <v>17</v>
      </c>
      <c r="D1102" t="s">
        <v>18</v>
      </c>
      <c r="E1102" t="s">
        <v>25</v>
      </c>
      <c r="F1102" s="1">
        <v>45637</v>
      </c>
      <c r="G1102">
        <v>4</v>
      </c>
      <c r="H1102">
        <v>76504.28</v>
      </c>
      <c r="I1102">
        <v>0</v>
      </c>
      <c r="J1102" t="s">
        <v>26</v>
      </c>
      <c r="K1102">
        <v>0</v>
      </c>
      <c r="L1102">
        <v>306017.12</v>
      </c>
      <c r="M1102">
        <v>306017.12</v>
      </c>
      <c r="N1102" t="s">
        <v>51</v>
      </c>
      <c r="O1102">
        <v>2024</v>
      </c>
    </row>
    <row r="1103" spans="1:15" x14ac:dyDescent="0.3">
      <c r="A1103" t="s">
        <v>1188</v>
      </c>
      <c r="B1103" t="s">
        <v>74</v>
      </c>
      <c r="C1103" t="s">
        <v>34</v>
      </c>
      <c r="D1103" t="s">
        <v>80</v>
      </c>
      <c r="E1103" t="s">
        <v>44</v>
      </c>
      <c r="F1103" s="1">
        <v>45463</v>
      </c>
      <c r="G1103">
        <v>1</v>
      </c>
      <c r="H1103">
        <v>6023.52</v>
      </c>
      <c r="I1103">
        <v>0</v>
      </c>
      <c r="J1103" t="s">
        <v>36</v>
      </c>
      <c r="K1103">
        <v>0</v>
      </c>
      <c r="L1103">
        <v>6023.52</v>
      </c>
      <c r="M1103">
        <v>6023.52</v>
      </c>
      <c r="N1103" t="s">
        <v>72</v>
      </c>
      <c r="O1103">
        <v>2024</v>
      </c>
    </row>
    <row r="1104" spans="1:15" x14ac:dyDescent="0.3">
      <c r="A1104" t="s">
        <v>1189</v>
      </c>
      <c r="B1104" t="s">
        <v>65</v>
      </c>
      <c r="C1104" t="s">
        <v>62</v>
      </c>
      <c r="D1104" t="s">
        <v>119</v>
      </c>
      <c r="E1104" t="s">
        <v>30</v>
      </c>
      <c r="F1104" s="1">
        <v>45931</v>
      </c>
      <c r="G1104">
        <v>4</v>
      </c>
      <c r="H1104">
        <v>4364.29</v>
      </c>
      <c r="I1104">
        <v>15</v>
      </c>
      <c r="J1104" t="s">
        <v>20</v>
      </c>
      <c r="K1104">
        <v>2618.5700000000002</v>
      </c>
      <c r="L1104">
        <v>17457.16</v>
      </c>
      <c r="M1104">
        <v>14838.59</v>
      </c>
      <c r="N1104" t="s">
        <v>57</v>
      </c>
      <c r="O1104">
        <v>2025</v>
      </c>
    </row>
    <row r="1105" spans="1:15" x14ac:dyDescent="0.3">
      <c r="A1105" t="s">
        <v>1190</v>
      </c>
      <c r="B1105" t="s">
        <v>29</v>
      </c>
      <c r="C1105" t="s">
        <v>90</v>
      </c>
      <c r="D1105" t="s">
        <v>105</v>
      </c>
      <c r="E1105" t="s">
        <v>50</v>
      </c>
      <c r="F1105" s="1">
        <v>45657</v>
      </c>
      <c r="G1105">
        <v>6</v>
      </c>
      <c r="H1105">
        <v>3632.11</v>
      </c>
      <c r="I1105">
        <v>15</v>
      </c>
      <c r="J1105" t="s">
        <v>82</v>
      </c>
      <c r="K1105">
        <v>3268.9</v>
      </c>
      <c r="L1105">
        <v>21792.66</v>
      </c>
      <c r="M1105">
        <v>18523.759999999998</v>
      </c>
      <c r="N1105" t="s">
        <v>51</v>
      </c>
      <c r="O1105">
        <v>2024</v>
      </c>
    </row>
    <row r="1106" spans="1:15" x14ac:dyDescent="0.3">
      <c r="A1106" t="s">
        <v>1191</v>
      </c>
      <c r="B1106" t="s">
        <v>23</v>
      </c>
      <c r="C1106" t="s">
        <v>62</v>
      </c>
      <c r="D1106" t="s">
        <v>95</v>
      </c>
      <c r="E1106" t="s">
        <v>50</v>
      </c>
      <c r="F1106" s="1">
        <v>45517</v>
      </c>
      <c r="G1106">
        <v>2</v>
      </c>
      <c r="H1106">
        <v>851.59</v>
      </c>
      <c r="I1106">
        <v>10</v>
      </c>
      <c r="J1106" t="s">
        <v>71</v>
      </c>
      <c r="K1106">
        <v>170.32</v>
      </c>
      <c r="L1106">
        <v>1703.18</v>
      </c>
      <c r="M1106">
        <v>1532.86</v>
      </c>
      <c r="N1106" t="s">
        <v>21</v>
      </c>
      <c r="O1106">
        <v>2024</v>
      </c>
    </row>
    <row r="1107" spans="1:15" x14ac:dyDescent="0.3">
      <c r="A1107" t="s">
        <v>1192</v>
      </c>
      <c r="B1107" t="s">
        <v>109</v>
      </c>
      <c r="C1107" t="s">
        <v>54</v>
      </c>
      <c r="D1107" t="s">
        <v>137</v>
      </c>
      <c r="E1107" t="s">
        <v>25</v>
      </c>
      <c r="F1107" s="1">
        <v>45712</v>
      </c>
      <c r="G1107">
        <v>5</v>
      </c>
      <c r="H1107">
        <v>982.7</v>
      </c>
      <c r="I1107">
        <v>15</v>
      </c>
      <c r="J1107" t="s">
        <v>20</v>
      </c>
      <c r="K1107">
        <v>737.02</v>
      </c>
      <c r="L1107">
        <v>4913.5</v>
      </c>
      <c r="M1107">
        <v>4176.4799999999996</v>
      </c>
      <c r="N1107" t="s">
        <v>41</v>
      </c>
      <c r="O1107">
        <v>2025</v>
      </c>
    </row>
    <row r="1108" spans="1:15" x14ac:dyDescent="0.3">
      <c r="A1108" t="s">
        <v>1193</v>
      </c>
      <c r="B1108" t="s">
        <v>74</v>
      </c>
      <c r="C1108" t="s">
        <v>17</v>
      </c>
      <c r="D1108" t="s">
        <v>24</v>
      </c>
      <c r="E1108" t="s">
        <v>44</v>
      </c>
      <c r="F1108" s="1">
        <v>45549</v>
      </c>
      <c r="G1108">
        <v>2</v>
      </c>
      <c r="H1108">
        <v>3149.9</v>
      </c>
      <c r="I1108">
        <v>15</v>
      </c>
      <c r="J1108" t="s">
        <v>36</v>
      </c>
      <c r="K1108">
        <v>944.97</v>
      </c>
      <c r="L1108">
        <v>6299.8</v>
      </c>
      <c r="M1108">
        <v>5354.83</v>
      </c>
      <c r="N1108" t="s">
        <v>86</v>
      </c>
      <c r="O1108">
        <v>2024</v>
      </c>
    </row>
    <row r="1109" spans="1:15" x14ac:dyDescent="0.3">
      <c r="A1109" t="s">
        <v>1194</v>
      </c>
      <c r="B1109" t="s">
        <v>53</v>
      </c>
      <c r="C1109" t="s">
        <v>34</v>
      </c>
      <c r="D1109" t="s">
        <v>48</v>
      </c>
      <c r="E1109" t="s">
        <v>30</v>
      </c>
      <c r="F1109" s="1">
        <v>45974</v>
      </c>
      <c r="G1109">
        <v>8</v>
      </c>
      <c r="H1109">
        <v>8068.53</v>
      </c>
      <c r="I1109">
        <v>0</v>
      </c>
      <c r="J1109" t="s">
        <v>45</v>
      </c>
      <c r="K1109">
        <v>0</v>
      </c>
      <c r="L1109">
        <v>64548.24</v>
      </c>
      <c r="M1109">
        <v>64548.24</v>
      </c>
      <c r="N1109" t="s">
        <v>96</v>
      </c>
      <c r="O1109">
        <v>2025</v>
      </c>
    </row>
    <row r="1110" spans="1:15" x14ac:dyDescent="0.3">
      <c r="A1110" t="s">
        <v>1195</v>
      </c>
      <c r="B1110" t="s">
        <v>89</v>
      </c>
      <c r="C1110" t="s">
        <v>54</v>
      </c>
      <c r="D1110" t="s">
        <v>77</v>
      </c>
      <c r="E1110" t="s">
        <v>56</v>
      </c>
      <c r="F1110" s="1">
        <v>45807</v>
      </c>
      <c r="G1110">
        <v>10</v>
      </c>
      <c r="H1110">
        <v>5380.79</v>
      </c>
      <c r="I1110">
        <v>0</v>
      </c>
      <c r="J1110" t="s">
        <v>20</v>
      </c>
      <c r="K1110">
        <v>0</v>
      </c>
      <c r="L1110">
        <v>53807.9</v>
      </c>
      <c r="M1110">
        <v>53807.9</v>
      </c>
      <c r="N1110" t="s">
        <v>101</v>
      </c>
      <c r="O1110">
        <v>2025</v>
      </c>
    </row>
    <row r="1111" spans="1:15" x14ac:dyDescent="0.3">
      <c r="A1111" t="s">
        <v>1196</v>
      </c>
      <c r="B1111" t="s">
        <v>93</v>
      </c>
      <c r="C1111" t="s">
        <v>34</v>
      </c>
      <c r="D1111" t="s">
        <v>80</v>
      </c>
      <c r="E1111" t="s">
        <v>44</v>
      </c>
      <c r="F1111" s="1">
        <v>45608</v>
      </c>
      <c r="G1111">
        <v>4</v>
      </c>
      <c r="H1111">
        <v>7157.56</v>
      </c>
      <c r="I1111">
        <v>5</v>
      </c>
      <c r="J1111" t="s">
        <v>82</v>
      </c>
      <c r="K1111">
        <v>1431.51</v>
      </c>
      <c r="L1111">
        <v>28630.240000000002</v>
      </c>
      <c r="M1111">
        <v>27198.73</v>
      </c>
      <c r="N1111" t="s">
        <v>96</v>
      </c>
      <c r="O1111">
        <v>2024</v>
      </c>
    </row>
    <row r="1112" spans="1:15" x14ac:dyDescent="0.3">
      <c r="A1112" t="s">
        <v>1197</v>
      </c>
      <c r="B1112" t="s">
        <v>109</v>
      </c>
      <c r="C1112" t="s">
        <v>54</v>
      </c>
      <c r="D1112" t="s">
        <v>70</v>
      </c>
      <c r="E1112" t="s">
        <v>50</v>
      </c>
      <c r="F1112" s="1">
        <v>45802</v>
      </c>
      <c r="G1112">
        <v>5</v>
      </c>
      <c r="H1112">
        <v>2376.2600000000002</v>
      </c>
      <c r="I1112">
        <v>15</v>
      </c>
      <c r="J1112" t="s">
        <v>45</v>
      </c>
      <c r="K1112">
        <v>1782.19</v>
      </c>
      <c r="L1112">
        <v>11881.3</v>
      </c>
      <c r="M1112">
        <v>10099.11</v>
      </c>
      <c r="N1112" t="s">
        <v>101</v>
      </c>
      <c r="O1112">
        <v>2025</v>
      </c>
    </row>
    <row r="1113" spans="1:15" x14ac:dyDescent="0.3">
      <c r="A1113" t="s">
        <v>1198</v>
      </c>
      <c r="B1113" t="s">
        <v>29</v>
      </c>
      <c r="C1113" t="s">
        <v>34</v>
      </c>
      <c r="D1113" t="s">
        <v>80</v>
      </c>
      <c r="E1113" t="s">
        <v>30</v>
      </c>
      <c r="F1113" s="1">
        <v>45628</v>
      </c>
      <c r="G1113">
        <v>3</v>
      </c>
      <c r="H1113">
        <v>6398.91</v>
      </c>
      <c r="I1113">
        <v>0</v>
      </c>
      <c r="J1113" t="s">
        <v>71</v>
      </c>
      <c r="K1113">
        <v>0</v>
      </c>
      <c r="L1113">
        <v>19196.73</v>
      </c>
      <c r="M1113">
        <v>19196.73</v>
      </c>
      <c r="N1113" t="s">
        <v>51</v>
      </c>
      <c r="O1113">
        <v>2024</v>
      </c>
    </row>
    <row r="1114" spans="1:15" x14ac:dyDescent="0.3">
      <c r="A1114" t="s">
        <v>1199</v>
      </c>
      <c r="B1114" t="s">
        <v>61</v>
      </c>
      <c r="C1114" t="s">
        <v>54</v>
      </c>
      <c r="D1114" t="s">
        <v>68</v>
      </c>
      <c r="E1114" t="s">
        <v>44</v>
      </c>
      <c r="F1114" s="1">
        <v>45316</v>
      </c>
      <c r="G1114">
        <v>4</v>
      </c>
      <c r="H1114">
        <v>5002.8</v>
      </c>
      <c r="I1114">
        <v>10</v>
      </c>
      <c r="J1114" t="s">
        <v>40</v>
      </c>
      <c r="K1114">
        <v>2001.12</v>
      </c>
      <c r="L1114">
        <v>20011.2</v>
      </c>
      <c r="M1114">
        <v>18010.080000000002</v>
      </c>
      <c r="N1114" t="s">
        <v>116</v>
      </c>
      <c r="O1114">
        <v>2024</v>
      </c>
    </row>
    <row r="1115" spans="1:15" x14ac:dyDescent="0.3">
      <c r="A1115" t="s">
        <v>1200</v>
      </c>
      <c r="B1115" t="s">
        <v>29</v>
      </c>
      <c r="C1115" t="s">
        <v>62</v>
      </c>
      <c r="D1115" t="s">
        <v>63</v>
      </c>
      <c r="E1115" t="s">
        <v>81</v>
      </c>
      <c r="F1115" s="1">
        <v>45972</v>
      </c>
      <c r="G1115">
        <v>4</v>
      </c>
      <c r="H1115">
        <v>2178.7199999999998</v>
      </c>
      <c r="I1115">
        <v>5</v>
      </c>
      <c r="J1115" t="s">
        <v>26</v>
      </c>
      <c r="K1115">
        <v>435.74</v>
      </c>
      <c r="L1115">
        <v>8714.8799999999992</v>
      </c>
      <c r="M1115">
        <v>8279.14</v>
      </c>
      <c r="N1115" t="s">
        <v>96</v>
      </c>
      <c r="O1115">
        <v>2025</v>
      </c>
    </row>
    <row r="1116" spans="1:15" x14ac:dyDescent="0.3">
      <c r="A1116" t="s">
        <v>1201</v>
      </c>
      <c r="B1116" t="s">
        <v>65</v>
      </c>
      <c r="C1116" t="s">
        <v>54</v>
      </c>
      <c r="D1116" t="s">
        <v>68</v>
      </c>
      <c r="E1116" t="s">
        <v>19</v>
      </c>
      <c r="F1116" s="1">
        <v>45744</v>
      </c>
      <c r="G1116">
        <v>1</v>
      </c>
      <c r="H1116">
        <v>4122.6899999999996</v>
      </c>
      <c r="I1116">
        <v>15</v>
      </c>
      <c r="J1116" t="s">
        <v>36</v>
      </c>
      <c r="K1116">
        <v>618.4</v>
      </c>
      <c r="L1116">
        <v>4122.6899999999996</v>
      </c>
      <c r="M1116">
        <v>3504.29</v>
      </c>
      <c r="N1116" t="s">
        <v>83</v>
      </c>
      <c r="O1116">
        <v>2025</v>
      </c>
    </row>
    <row r="1117" spans="1:15" x14ac:dyDescent="0.3">
      <c r="A1117" t="s">
        <v>1202</v>
      </c>
      <c r="B1117" t="s">
        <v>109</v>
      </c>
      <c r="C1117" t="s">
        <v>17</v>
      </c>
      <c r="D1117" t="s">
        <v>59</v>
      </c>
      <c r="E1117" t="s">
        <v>30</v>
      </c>
      <c r="F1117" s="1">
        <v>45501</v>
      </c>
      <c r="G1117">
        <v>3</v>
      </c>
      <c r="H1117">
        <v>23073.5</v>
      </c>
      <c r="I1117">
        <v>20</v>
      </c>
      <c r="J1117" t="s">
        <v>36</v>
      </c>
      <c r="K1117">
        <v>13844.1</v>
      </c>
      <c r="L1117">
        <v>69220.5</v>
      </c>
      <c r="M1117">
        <v>55376.4</v>
      </c>
      <c r="N1117" t="s">
        <v>122</v>
      </c>
      <c r="O1117">
        <v>2024</v>
      </c>
    </row>
    <row r="1118" spans="1:15" x14ac:dyDescent="0.3">
      <c r="A1118" t="s">
        <v>1203</v>
      </c>
      <c r="B1118" t="s">
        <v>29</v>
      </c>
      <c r="C1118" t="s">
        <v>54</v>
      </c>
      <c r="D1118" t="s">
        <v>55</v>
      </c>
      <c r="E1118" t="s">
        <v>81</v>
      </c>
      <c r="F1118" s="1">
        <v>45728</v>
      </c>
      <c r="G1118">
        <v>8</v>
      </c>
      <c r="H1118">
        <v>1173.44</v>
      </c>
      <c r="I1118">
        <v>5</v>
      </c>
      <c r="J1118" t="s">
        <v>82</v>
      </c>
      <c r="K1118">
        <v>469.38</v>
      </c>
      <c r="L1118">
        <v>9387.52</v>
      </c>
      <c r="M1118">
        <v>8918.14</v>
      </c>
      <c r="N1118" t="s">
        <v>83</v>
      </c>
      <c r="O1118">
        <v>2025</v>
      </c>
    </row>
    <row r="1119" spans="1:15" x14ac:dyDescent="0.3">
      <c r="A1119" t="s">
        <v>1204</v>
      </c>
      <c r="B1119" t="s">
        <v>53</v>
      </c>
      <c r="C1119" t="s">
        <v>34</v>
      </c>
      <c r="D1119" t="s">
        <v>35</v>
      </c>
      <c r="E1119" t="s">
        <v>81</v>
      </c>
      <c r="F1119" s="1">
        <v>45602</v>
      </c>
      <c r="G1119">
        <v>5</v>
      </c>
      <c r="H1119">
        <v>28712.9</v>
      </c>
      <c r="I1119">
        <v>5</v>
      </c>
      <c r="J1119" t="s">
        <v>20</v>
      </c>
      <c r="K1119">
        <v>7178.23</v>
      </c>
      <c r="L1119">
        <v>143564.5</v>
      </c>
      <c r="M1119">
        <v>136386.26999999999</v>
      </c>
      <c r="N1119" t="s">
        <v>96</v>
      </c>
      <c r="O1119">
        <v>2024</v>
      </c>
    </row>
    <row r="1120" spans="1:15" x14ac:dyDescent="0.3">
      <c r="A1120" t="s">
        <v>1205</v>
      </c>
      <c r="B1120" t="s">
        <v>47</v>
      </c>
      <c r="C1120" t="s">
        <v>62</v>
      </c>
      <c r="D1120" t="s">
        <v>99</v>
      </c>
      <c r="E1120" t="s">
        <v>19</v>
      </c>
      <c r="F1120" s="1">
        <v>45678</v>
      </c>
      <c r="G1120">
        <v>3</v>
      </c>
      <c r="H1120">
        <v>1526.52</v>
      </c>
      <c r="I1120">
        <v>15</v>
      </c>
      <c r="J1120" t="s">
        <v>31</v>
      </c>
      <c r="K1120">
        <v>686.93</v>
      </c>
      <c r="L1120">
        <v>4579.5600000000004</v>
      </c>
      <c r="M1120">
        <v>3892.63</v>
      </c>
      <c r="N1120" t="s">
        <v>116</v>
      </c>
      <c r="O1120">
        <v>2025</v>
      </c>
    </row>
    <row r="1121" spans="1:15" x14ac:dyDescent="0.3">
      <c r="A1121" t="s">
        <v>1206</v>
      </c>
      <c r="B1121" t="s">
        <v>16</v>
      </c>
      <c r="C1121" t="s">
        <v>54</v>
      </c>
      <c r="D1121" t="s">
        <v>77</v>
      </c>
      <c r="E1121" t="s">
        <v>56</v>
      </c>
      <c r="F1121" s="1">
        <v>45785</v>
      </c>
      <c r="G1121">
        <v>1</v>
      </c>
      <c r="H1121">
        <v>5452.41</v>
      </c>
      <c r="I1121">
        <v>15</v>
      </c>
      <c r="J1121" t="s">
        <v>36</v>
      </c>
      <c r="K1121">
        <v>817.86</v>
      </c>
      <c r="L1121">
        <v>5452.41</v>
      </c>
      <c r="M1121">
        <v>4634.55</v>
      </c>
      <c r="N1121" t="s">
        <v>101</v>
      </c>
      <c r="O1121">
        <v>2025</v>
      </c>
    </row>
    <row r="1122" spans="1:15" x14ac:dyDescent="0.3">
      <c r="A1122" t="s">
        <v>1207</v>
      </c>
      <c r="B1122" t="s">
        <v>93</v>
      </c>
      <c r="C1122" t="s">
        <v>17</v>
      </c>
      <c r="D1122" t="s">
        <v>39</v>
      </c>
      <c r="E1122" t="s">
        <v>81</v>
      </c>
      <c r="F1122" s="1">
        <v>45858</v>
      </c>
      <c r="G1122">
        <v>3</v>
      </c>
      <c r="H1122">
        <v>17357.810000000001</v>
      </c>
      <c r="I1122">
        <v>15</v>
      </c>
      <c r="J1122" t="s">
        <v>36</v>
      </c>
      <c r="K1122">
        <v>7811.01</v>
      </c>
      <c r="L1122">
        <v>52073.43</v>
      </c>
      <c r="M1122">
        <v>44262.42</v>
      </c>
      <c r="N1122" t="s">
        <v>122</v>
      </c>
      <c r="O1122">
        <v>2025</v>
      </c>
    </row>
    <row r="1123" spans="1:15" x14ac:dyDescent="0.3">
      <c r="A1123" t="s">
        <v>1208</v>
      </c>
      <c r="B1123" t="s">
        <v>43</v>
      </c>
      <c r="C1123" t="s">
        <v>62</v>
      </c>
      <c r="D1123" t="s">
        <v>99</v>
      </c>
      <c r="E1123" t="s">
        <v>56</v>
      </c>
      <c r="F1123" s="1">
        <v>45365</v>
      </c>
      <c r="G1123">
        <v>6</v>
      </c>
      <c r="H1123">
        <v>1401.25</v>
      </c>
      <c r="I1123">
        <v>15</v>
      </c>
      <c r="J1123" t="s">
        <v>71</v>
      </c>
      <c r="K1123">
        <v>1261.1199999999999</v>
      </c>
      <c r="L1123">
        <v>8407.5</v>
      </c>
      <c r="M1123">
        <v>7146.38</v>
      </c>
      <c r="N1123" t="s">
        <v>83</v>
      </c>
      <c r="O1123">
        <v>2024</v>
      </c>
    </row>
    <row r="1124" spans="1:15" x14ac:dyDescent="0.3">
      <c r="A1124" t="s">
        <v>1209</v>
      </c>
      <c r="B1124" t="s">
        <v>114</v>
      </c>
      <c r="C1124" t="s">
        <v>34</v>
      </c>
      <c r="D1124" t="s">
        <v>85</v>
      </c>
      <c r="E1124" t="s">
        <v>50</v>
      </c>
      <c r="F1124" s="1">
        <v>45305</v>
      </c>
      <c r="G1124">
        <v>9</v>
      </c>
      <c r="H1124">
        <v>12991.11</v>
      </c>
      <c r="I1124">
        <v>10</v>
      </c>
      <c r="J1124" t="s">
        <v>26</v>
      </c>
      <c r="K1124">
        <v>11692</v>
      </c>
      <c r="L1124">
        <v>116919.99</v>
      </c>
      <c r="M1124">
        <v>105227.99</v>
      </c>
      <c r="N1124" t="s">
        <v>116</v>
      </c>
      <c r="O1124">
        <v>2024</v>
      </c>
    </row>
    <row r="1125" spans="1:15" x14ac:dyDescent="0.3">
      <c r="A1125" t="s">
        <v>1210</v>
      </c>
      <c r="B1125" t="s">
        <v>114</v>
      </c>
      <c r="C1125" t="s">
        <v>90</v>
      </c>
      <c r="D1125" t="s">
        <v>152</v>
      </c>
      <c r="E1125" t="s">
        <v>56</v>
      </c>
      <c r="F1125" s="1">
        <v>45674</v>
      </c>
      <c r="G1125">
        <v>7</v>
      </c>
      <c r="H1125">
        <v>10223.879999999999</v>
      </c>
      <c r="I1125">
        <v>20</v>
      </c>
      <c r="J1125" t="s">
        <v>31</v>
      </c>
      <c r="K1125">
        <v>14313.43</v>
      </c>
      <c r="L1125">
        <v>71567.16</v>
      </c>
      <c r="M1125">
        <v>57253.73</v>
      </c>
      <c r="N1125" t="s">
        <v>116</v>
      </c>
      <c r="O1125">
        <v>2025</v>
      </c>
    </row>
    <row r="1126" spans="1:15" x14ac:dyDescent="0.3">
      <c r="A1126" t="s">
        <v>1211</v>
      </c>
      <c r="B1126" t="s">
        <v>114</v>
      </c>
      <c r="C1126" t="s">
        <v>17</v>
      </c>
      <c r="D1126" t="s">
        <v>157</v>
      </c>
      <c r="E1126" t="s">
        <v>25</v>
      </c>
      <c r="F1126" s="1">
        <v>45686</v>
      </c>
      <c r="G1126">
        <v>10</v>
      </c>
      <c r="H1126">
        <v>6584.13</v>
      </c>
      <c r="I1126">
        <v>15</v>
      </c>
      <c r="J1126" t="s">
        <v>82</v>
      </c>
      <c r="K1126">
        <v>9876.19</v>
      </c>
      <c r="L1126">
        <v>65841.3</v>
      </c>
      <c r="M1126">
        <v>55965.11</v>
      </c>
      <c r="N1126" t="s">
        <v>116</v>
      </c>
      <c r="O1126">
        <v>2025</v>
      </c>
    </row>
    <row r="1127" spans="1:15" x14ac:dyDescent="0.3">
      <c r="A1127" t="s">
        <v>1212</v>
      </c>
      <c r="B1127" t="s">
        <v>65</v>
      </c>
      <c r="C1127" t="s">
        <v>62</v>
      </c>
      <c r="D1127" t="s">
        <v>119</v>
      </c>
      <c r="E1127" t="s">
        <v>30</v>
      </c>
      <c r="F1127" s="1">
        <v>45942</v>
      </c>
      <c r="G1127">
        <v>6</v>
      </c>
      <c r="H1127">
        <v>4135.34</v>
      </c>
      <c r="I1127">
        <v>15</v>
      </c>
      <c r="J1127" t="s">
        <v>71</v>
      </c>
      <c r="K1127">
        <v>3721.81</v>
      </c>
      <c r="L1127">
        <v>24812.04</v>
      </c>
      <c r="M1127">
        <v>21090.23</v>
      </c>
      <c r="N1127" t="s">
        <v>57</v>
      </c>
      <c r="O1127">
        <v>2025</v>
      </c>
    </row>
    <row r="1128" spans="1:15" x14ac:dyDescent="0.3">
      <c r="A1128" t="s">
        <v>1213</v>
      </c>
      <c r="B1128" t="s">
        <v>29</v>
      </c>
      <c r="C1128" t="s">
        <v>90</v>
      </c>
      <c r="D1128" t="s">
        <v>107</v>
      </c>
      <c r="E1128" t="s">
        <v>56</v>
      </c>
      <c r="F1128" s="1">
        <v>45662</v>
      </c>
      <c r="G1128">
        <v>1</v>
      </c>
      <c r="H1128">
        <v>12892.41</v>
      </c>
      <c r="I1128">
        <v>5</v>
      </c>
      <c r="J1128" t="s">
        <v>26</v>
      </c>
      <c r="K1128">
        <v>644.62</v>
      </c>
      <c r="L1128">
        <v>12892.41</v>
      </c>
      <c r="M1128">
        <v>12247.79</v>
      </c>
      <c r="N1128" t="s">
        <v>116</v>
      </c>
      <c r="O1128">
        <v>2025</v>
      </c>
    </row>
    <row r="1129" spans="1:15" x14ac:dyDescent="0.3">
      <c r="A1129" t="s">
        <v>1214</v>
      </c>
      <c r="B1129" t="s">
        <v>89</v>
      </c>
      <c r="C1129" t="s">
        <v>62</v>
      </c>
      <c r="D1129" t="s">
        <v>132</v>
      </c>
      <c r="E1129" t="s">
        <v>30</v>
      </c>
      <c r="F1129" s="1">
        <v>45552</v>
      </c>
      <c r="G1129">
        <v>4</v>
      </c>
      <c r="H1129">
        <v>2626.34</v>
      </c>
      <c r="I1129">
        <v>5</v>
      </c>
      <c r="J1129" t="s">
        <v>36</v>
      </c>
      <c r="K1129">
        <v>525.27</v>
      </c>
      <c r="L1129">
        <v>10505.36</v>
      </c>
      <c r="M1129">
        <v>9980.09</v>
      </c>
      <c r="N1129" t="s">
        <v>86</v>
      </c>
      <c r="O1129">
        <v>2024</v>
      </c>
    </row>
    <row r="1130" spans="1:15" x14ac:dyDescent="0.3">
      <c r="A1130" t="s">
        <v>1215</v>
      </c>
      <c r="B1130" t="s">
        <v>74</v>
      </c>
      <c r="C1130" t="s">
        <v>17</v>
      </c>
      <c r="D1130" t="s">
        <v>18</v>
      </c>
      <c r="E1130" t="s">
        <v>25</v>
      </c>
      <c r="F1130" s="1">
        <v>45699</v>
      </c>
      <c r="G1130">
        <v>10</v>
      </c>
      <c r="H1130">
        <v>74329.87</v>
      </c>
      <c r="I1130">
        <v>0</v>
      </c>
      <c r="J1130" t="s">
        <v>31</v>
      </c>
      <c r="K1130">
        <v>0</v>
      </c>
      <c r="L1130">
        <v>743298.7</v>
      </c>
      <c r="M1130">
        <v>743298.7</v>
      </c>
      <c r="N1130" t="s">
        <v>41</v>
      </c>
      <c r="O1130">
        <v>2025</v>
      </c>
    </row>
    <row r="1131" spans="1:15" x14ac:dyDescent="0.3">
      <c r="A1131" t="s">
        <v>1216</v>
      </c>
      <c r="B1131" t="s">
        <v>114</v>
      </c>
      <c r="C1131" t="s">
        <v>54</v>
      </c>
      <c r="D1131" t="s">
        <v>55</v>
      </c>
      <c r="E1131" t="s">
        <v>56</v>
      </c>
      <c r="F1131" s="1">
        <v>45729</v>
      </c>
      <c r="G1131">
        <v>5</v>
      </c>
      <c r="H1131">
        <v>1287.55</v>
      </c>
      <c r="I1131">
        <v>20</v>
      </c>
      <c r="J1131" t="s">
        <v>36</v>
      </c>
      <c r="K1131">
        <v>1287.55</v>
      </c>
      <c r="L1131">
        <v>6437.75</v>
      </c>
      <c r="M1131">
        <v>5150.2</v>
      </c>
      <c r="N1131" t="s">
        <v>83</v>
      </c>
      <c r="O1131">
        <v>2025</v>
      </c>
    </row>
    <row r="1132" spans="1:15" x14ac:dyDescent="0.3">
      <c r="A1132" t="s">
        <v>1217</v>
      </c>
      <c r="B1132" t="s">
        <v>93</v>
      </c>
      <c r="C1132" t="s">
        <v>54</v>
      </c>
      <c r="D1132" t="s">
        <v>68</v>
      </c>
      <c r="E1132" t="s">
        <v>19</v>
      </c>
      <c r="F1132" s="1">
        <v>45383</v>
      </c>
      <c r="G1132">
        <v>2</v>
      </c>
      <c r="H1132">
        <v>4765.7</v>
      </c>
      <c r="I1132">
        <v>10</v>
      </c>
      <c r="J1132" t="s">
        <v>31</v>
      </c>
      <c r="K1132">
        <v>953.14</v>
      </c>
      <c r="L1132">
        <v>9531.4</v>
      </c>
      <c r="M1132">
        <v>8578.26</v>
      </c>
      <c r="N1132" t="s">
        <v>27</v>
      </c>
      <c r="O1132">
        <v>2024</v>
      </c>
    </row>
    <row r="1133" spans="1:15" x14ac:dyDescent="0.3">
      <c r="A1133" t="s">
        <v>1218</v>
      </c>
      <c r="B1133" t="s">
        <v>16</v>
      </c>
      <c r="C1133" t="s">
        <v>34</v>
      </c>
      <c r="D1133" t="s">
        <v>48</v>
      </c>
      <c r="E1133" t="s">
        <v>50</v>
      </c>
      <c r="F1133" s="1">
        <v>46007</v>
      </c>
      <c r="G1133">
        <v>5</v>
      </c>
      <c r="H1133">
        <v>7934.12</v>
      </c>
      <c r="I1133">
        <v>5</v>
      </c>
      <c r="J1133" t="s">
        <v>31</v>
      </c>
      <c r="K1133">
        <v>1983.53</v>
      </c>
      <c r="L1133">
        <v>39670.6</v>
      </c>
      <c r="M1133">
        <v>37687.07</v>
      </c>
      <c r="N1133" t="s">
        <v>51</v>
      </c>
      <c r="O1133">
        <v>2025</v>
      </c>
    </row>
    <row r="1134" spans="1:15" x14ac:dyDescent="0.3">
      <c r="A1134" t="s">
        <v>1219</v>
      </c>
      <c r="B1134" t="s">
        <v>47</v>
      </c>
      <c r="C1134" t="s">
        <v>90</v>
      </c>
      <c r="D1134" t="s">
        <v>105</v>
      </c>
      <c r="E1134" t="s">
        <v>25</v>
      </c>
      <c r="F1134" s="1">
        <v>45829</v>
      </c>
      <c r="G1134">
        <v>7</v>
      </c>
      <c r="H1134">
        <v>3722.71</v>
      </c>
      <c r="I1134">
        <v>15</v>
      </c>
      <c r="J1134" t="s">
        <v>31</v>
      </c>
      <c r="K1134">
        <v>3908.85</v>
      </c>
      <c r="L1134">
        <v>26058.97</v>
      </c>
      <c r="M1134">
        <v>22150.12</v>
      </c>
      <c r="N1134" t="s">
        <v>72</v>
      </c>
      <c r="O1134">
        <v>2025</v>
      </c>
    </row>
    <row r="1135" spans="1:15" x14ac:dyDescent="0.3">
      <c r="A1135" t="s">
        <v>1220</v>
      </c>
      <c r="B1135" t="s">
        <v>33</v>
      </c>
      <c r="C1135" t="s">
        <v>34</v>
      </c>
      <c r="D1135" t="s">
        <v>85</v>
      </c>
      <c r="E1135" t="s">
        <v>50</v>
      </c>
      <c r="F1135" s="1">
        <v>45494</v>
      </c>
      <c r="G1135">
        <v>8</v>
      </c>
      <c r="H1135">
        <v>11345.95</v>
      </c>
      <c r="I1135">
        <v>0</v>
      </c>
      <c r="J1135" t="s">
        <v>36</v>
      </c>
      <c r="K1135">
        <v>0</v>
      </c>
      <c r="L1135">
        <v>90767.6</v>
      </c>
      <c r="M1135">
        <v>90767.6</v>
      </c>
      <c r="N1135" t="s">
        <v>122</v>
      </c>
      <c r="O1135">
        <v>2024</v>
      </c>
    </row>
    <row r="1136" spans="1:15" x14ac:dyDescent="0.3">
      <c r="A1136" t="s">
        <v>1221</v>
      </c>
      <c r="B1136" t="s">
        <v>38</v>
      </c>
      <c r="C1136" t="s">
        <v>90</v>
      </c>
      <c r="D1136" t="s">
        <v>91</v>
      </c>
      <c r="E1136" t="s">
        <v>50</v>
      </c>
      <c r="F1136" s="1">
        <v>45497</v>
      </c>
      <c r="G1136">
        <v>1</v>
      </c>
      <c r="H1136">
        <v>1631.22</v>
      </c>
      <c r="I1136">
        <v>5</v>
      </c>
      <c r="J1136" t="s">
        <v>36</v>
      </c>
      <c r="K1136">
        <v>81.56</v>
      </c>
      <c r="L1136">
        <v>1631.22</v>
      </c>
      <c r="M1136">
        <v>1549.66</v>
      </c>
      <c r="N1136" t="s">
        <v>122</v>
      </c>
      <c r="O1136">
        <v>2024</v>
      </c>
    </row>
    <row r="1137" spans="1:15" x14ac:dyDescent="0.3">
      <c r="A1137" t="s">
        <v>1222</v>
      </c>
      <c r="B1137" t="s">
        <v>89</v>
      </c>
      <c r="C1137" t="s">
        <v>62</v>
      </c>
      <c r="D1137" t="s">
        <v>99</v>
      </c>
      <c r="E1137" t="s">
        <v>30</v>
      </c>
      <c r="F1137" s="1">
        <v>45943</v>
      </c>
      <c r="G1137">
        <v>3</v>
      </c>
      <c r="H1137">
        <v>1517.92</v>
      </c>
      <c r="I1137">
        <v>0</v>
      </c>
      <c r="J1137" t="s">
        <v>82</v>
      </c>
      <c r="K1137">
        <v>0</v>
      </c>
      <c r="L1137">
        <v>4553.76</v>
      </c>
      <c r="M1137">
        <v>4553.76</v>
      </c>
      <c r="N1137" t="s">
        <v>57</v>
      </c>
      <c r="O1137">
        <v>2025</v>
      </c>
    </row>
    <row r="1138" spans="1:15" x14ac:dyDescent="0.3">
      <c r="A1138" t="s">
        <v>1223</v>
      </c>
      <c r="B1138" t="s">
        <v>43</v>
      </c>
      <c r="C1138" t="s">
        <v>90</v>
      </c>
      <c r="D1138" t="s">
        <v>105</v>
      </c>
      <c r="E1138" t="s">
        <v>25</v>
      </c>
      <c r="F1138" s="1">
        <v>45322</v>
      </c>
      <c r="G1138">
        <v>10</v>
      </c>
      <c r="H1138">
        <v>3355.43</v>
      </c>
      <c r="I1138">
        <v>15</v>
      </c>
      <c r="J1138" t="s">
        <v>45</v>
      </c>
      <c r="K1138">
        <v>5033.1499999999996</v>
      </c>
      <c r="L1138">
        <v>33554.300000000003</v>
      </c>
      <c r="M1138">
        <v>28521.15</v>
      </c>
      <c r="N1138" t="s">
        <v>116</v>
      </c>
      <c r="O1138">
        <v>2024</v>
      </c>
    </row>
    <row r="1139" spans="1:15" x14ac:dyDescent="0.3">
      <c r="A1139" t="s">
        <v>1224</v>
      </c>
      <c r="B1139" t="s">
        <v>109</v>
      </c>
      <c r="C1139" t="s">
        <v>17</v>
      </c>
      <c r="D1139" t="s">
        <v>18</v>
      </c>
      <c r="E1139" t="s">
        <v>19</v>
      </c>
      <c r="F1139" s="1">
        <v>45973</v>
      </c>
      <c r="G1139">
        <v>10</v>
      </c>
      <c r="H1139">
        <v>78457.08</v>
      </c>
      <c r="I1139">
        <v>0</v>
      </c>
      <c r="J1139" t="s">
        <v>26</v>
      </c>
      <c r="K1139">
        <v>0</v>
      </c>
      <c r="L1139">
        <v>784570.8</v>
      </c>
      <c r="M1139">
        <v>784570.8</v>
      </c>
      <c r="N1139" t="s">
        <v>96</v>
      </c>
      <c r="O1139">
        <v>2025</v>
      </c>
    </row>
    <row r="1140" spans="1:15" x14ac:dyDescent="0.3">
      <c r="A1140" t="s">
        <v>1225</v>
      </c>
      <c r="B1140" t="s">
        <v>65</v>
      </c>
      <c r="C1140" t="s">
        <v>17</v>
      </c>
      <c r="D1140" t="s">
        <v>59</v>
      </c>
      <c r="E1140" t="s">
        <v>44</v>
      </c>
      <c r="F1140" s="1">
        <v>45676</v>
      </c>
      <c r="G1140">
        <v>10</v>
      </c>
      <c r="H1140">
        <v>25750.46</v>
      </c>
      <c r="I1140">
        <v>10</v>
      </c>
      <c r="J1140" t="s">
        <v>26</v>
      </c>
      <c r="K1140">
        <v>25750.46</v>
      </c>
      <c r="L1140">
        <v>257504.6</v>
      </c>
      <c r="M1140">
        <v>231754.14</v>
      </c>
      <c r="N1140" t="s">
        <v>116</v>
      </c>
      <c r="O1140">
        <v>2025</v>
      </c>
    </row>
    <row r="1141" spans="1:15" x14ac:dyDescent="0.3">
      <c r="A1141" t="s">
        <v>1226</v>
      </c>
      <c r="B1141" t="s">
        <v>74</v>
      </c>
      <c r="C1141" t="s">
        <v>90</v>
      </c>
      <c r="D1141" t="s">
        <v>152</v>
      </c>
      <c r="E1141" t="s">
        <v>19</v>
      </c>
      <c r="F1141" s="1">
        <v>45636</v>
      </c>
      <c r="G1141">
        <v>6</v>
      </c>
      <c r="H1141">
        <v>11775.11</v>
      </c>
      <c r="I1141">
        <v>10</v>
      </c>
      <c r="J1141" t="s">
        <v>31</v>
      </c>
      <c r="K1141">
        <v>7065.07</v>
      </c>
      <c r="L1141">
        <v>70650.66</v>
      </c>
      <c r="M1141">
        <v>63585.59</v>
      </c>
      <c r="N1141" t="s">
        <v>51</v>
      </c>
      <c r="O1141">
        <v>2024</v>
      </c>
    </row>
    <row r="1142" spans="1:15" x14ac:dyDescent="0.3">
      <c r="A1142" t="s">
        <v>1227</v>
      </c>
      <c r="B1142" t="s">
        <v>33</v>
      </c>
      <c r="C1142" t="s">
        <v>62</v>
      </c>
      <c r="D1142" t="s">
        <v>63</v>
      </c>
      <c r="E1142" t="s">
        <v>30</v>
      </c>
      <c r="F1142" s="1">
        <v>45679</v>
      </c>
      <c r="G1142">
        <v>10</v>
      </c>
      <c r="H1142">
        <v>1645.76</v>
      </c>
      <c r="I1142">
        <v>10</v>
      </c>
      <c r="J1142" t="s">
        <v>31</v>
      </c>
      <c r="K1142">
        <v>1645.76</v>
      </c>
      <c r="L1142">
        <v>16457.599999999999</v>
      </c>
      <c r="M1142">
        <v>14811.84</v>
      </c>
      <c r="N1142" t="s">
        <v>116</v>
      </c>
      <c r="O1142">
        <v>2025</v>
      </c>
    </row>
    <row r="1143" spans="1:15" x14ac:dyDescent="0.3">
      <c r="A1143" t="s">
        <v>1228</v>
      </c>
      <c r="B1143" t="s">
        <v>109</v>
      </c>
      <c r="C1143" t="s">
        <v>62</v>
      </c>
      <c r="D1143" t="s">
        <v>95</v>
      </c>
      <c r="E1143" t="s">
        <v>56</v>
      </c>
      <c r="F1143" s="1">
        <v>45434</v>
      </c>
      <c r="G1143">
        <v>1</v>
      </c>
      <c r="H1143">
        <v>840.38</v>
      </c>
      <c r="I1143">
        <v>20</v>
      </c>
      <c r="J1143" t="s">
        <v>31</v>
      </c>
      <c r="K1143">
        <v>168.08</v>
      </c>
      <c r="L1143">
        <v>840.38</v>
      </c>
      <c r="M1143">
        <v>672.3</v>
      </c>
      <c r="N1143" t="s">
        <v>101</v>
      </c>
      <c r="O1143">
        <v>2024</v>
      </c>
    </row>
    <row r="1144" spans="1:15" x14ac:dyDescent="0.3">
      <c r="A1144" t="s">
        <v>1229</v>
      </c>
      <c r="B1144" t="s">
        <v>33</v>
      </c>
      <c r="C1144" t="s">
        <v>62</v>
      </c>
      <c r="D1144" t="s">
        <v>63</v>
      </c>
      <c r="E1144" t="s">
        <v>56</v>
      </c>
      <c r="F1144" s="1">
        <v>45819</v>
      </c>
      <c r="G1144">
        <v>7</v>
      </c>
      <c r="H1144">
        <v>1917.1</v>
      </c>
      <c r="I1144">
        <v>0</v>
      </c>
      <c r="J1144" t="s">
        <v>71</v>
      </c>
      <c r="K1144">
        <v>0</v>
      </c>
      <c r="L1144">
        <v>13419.7</v>
      </c>
      <c r="M1144">
        <v>13419.7</v>
      </c>
      <c r="N1144" t="s">
        <v>72</v>
      </c>
      <c r="O1144">
        <v>2025</v>
      </c>
    </row>
    <row r="1145" spans="1:15" x14ac:dyDescent="0.3">
      <c r="A1145" t="s">
        <v>1230</v>
      </c>
      <c r="B1145" t="s">
        <v>61</v>
      </c>
      <c r="C1145" t="s">
        <v>62</v>
      </c>
      <c r="D1145" t="s">
        <v>95</v>
      </c>
      <c r="E1145" t="s">
        <v>19</v>
      </c>
      <c r="F1145" s="1">
        <v>45625</v>
      </c>
      <c r="G1145">
        <v>8</v>
      </c>
      <c r="H1145">
        <v>843.38</v>
      </c>
      <c r="I1145">
        <v>15</v>
      </c>
      <c r="J1145" t="s">
        <v>26</v>
      </c>
      <c r="K1145">
        <v>1012.06</v>
      </c>
      <c r="L1145">
        <v>6747.04</v>
      </c>
      <c r="M1145">
        <v>5734.98</v>
      </c>
      <c r="N1145" t="s">
        <v>96</v>
      </c>
      <c r="O1145">
        <v>2024</v>
      </c>
    </row>
    <row r="1146" spans="1:15" x14ac:dyDescent="0.3">
      <c r="A1146" t="s">
        <v>1231</v>
      </c>
      <c r="B1146" t="s">
        <v>74</v>
      </c>
      <c r="C1146" t="s">
        <v>90</v>
      </c>
      <c r="D1146" t="s">
        <v>91</v>
      </c>
      <c r="E1146" t="s">
        <v>25</v>
      </c>
      <c r="F1146" s="1">
        <v>45730</v>
      </c>
      <c r="G1146">
        <v>8</v>
      </c>
      <c r="H1146">
        <v>1720.08</v>
      </c>
      <c r="I1146">
        <v>0</v>
      </c>
      <c r="J1146" t="s">
        <v>45</v>
      </c>
      <c r="K1146">
        <v>0</v>
      </c>
      <c r="L1146">
        <v>13760.64</v>
      </c>
      <c r="M1146">
        <v>13760.64</v>
      </c>
      <c r="N1146" t="s">
        <v>83</v>
      </c>
      <c r="O1146">
        <v>2025</v>
      </c>
    </row>
    <row r="1147" spans="1:15" x14ac:dyDescent="0.3">
      <c r="A1147" t="s">
        <v>1232</v>
      </c>
      <c r="B1147" t="s">
        <v>93</v>
      </c>
      <c r="C1147" t="s">
        <v>90</v>
      </c>
      <c r="D1147" t="s">
        <v>115</v>
      </c>
      <c r="E1147" t="s">
        <v>50</v>
      </c>
      <c r="F1147" s="1">
        <v>45824</v>
      </c>
      <c r="G1147">
        <v>10</v>
      </c>
      <c r="H1147">
        <v>8769.7199999999993</v>
      </c>
      <c r="I1147">
        <v>20</v>
      </c>
      <c r="J1147" t="s">
        <v>36</v>
      </c>
      <c r="K1147">
        <v>17539.439999999999</v>
      </c>
      <c r="L1147">
        <v>87697.2</v>
      </c>
      <c r="M1147">
        <v>70157.759999999995</v>
      </c>
      <c r="N1147" t="s">
        <v>72</v>
      </c>
      <c r="O1147">
        <v>2025</v>
      </c>
    </row>
    <row r="1148" spans="1:15" x14ac:dyDescent="0.3">
      <c r="A1148" t="s">
        <v>1233</v>
      </c>
      <c r="B1148" t="s">
        <v>89</v>
      </c>
      <c r="C1148" t="s">
        <v>17</v>
      </c>
      <c r="D1148" t="s">
        <v>59</v>
      </c>
      <c r="E1148" t="s">
        <v>44</v>
      </c>
      <c r="F1148" s="1">
        <v>45600</v>
      </c>
      <c r="G1148">
        <v>9</v>
      </c>
      <c r="H1148">
        <v>31537.13</v>
      </c>
      <c r="I1148">
        <v>15</v>
      </c>
      <c r="J1148" t="s">
        <v>82</v>
      </c>
      <c r="K1148">
        <v>42575.13</v>
      </c>
      <c r="L1148">
        <v>283834.17</v>
      </c>
      <c r="M1148">
        <v>241259.04</v>
      </c>
      <c r="N1148" t="s">
        <v>96</v>
      </c>
      <c r="O1148">
        <v>2024</v>
      </c>
    </row>
    <row r="1149" spans="1:15" x14ac:dyDescent="0.3">
      <c r="A1149" t="s">
        <v>1234</v>
      </c>
      <c r="B1149" t="s">
        <v>47</v>
      </c>
      <c r="C1149" t="s">
        <v>34</v>
      </c>
      <c r="D1149" t="s">
        <v>35</v>
      </c>
      <c r="E1149" t="s">
        <v>56</v>
      </c>
      <c r="F1149" s="1">
        <v>45541</v>
      </c>
      <c r="G1149">
        <v>4</v>
      </c>
      <c r="H1149">
        <v>23565.21</v>
      </c>
      <c r="I1149">
        <v>0</v>
      </c>
      <c r="J1149" t="s">
        <v>20</v>
      </c>
      <c r="K1149">
        <v>0</v>
      </c>
      <c r="L1149">
        <v>94260.84</v>
      </c>
      <c r="M1149">
        <v>94260.84</v>
      </c>
      <c r="N1149" t="s">
        <v>86</v>
      </c>
      <c r="O1149">
        <v>2024</v>
      </c>
    </row>
    <row r="1150" spans="1:15" x14ac:dyDescent="0.3">
      <c r="A1150" t="s">
        <v>1235</v>
      </c>
      <c r="B1150" t="s">
        <v>16</v>
      </c>
      <c r="C1150" t="s">
        <v>17</v>
      </c>
      <c r="D1150" t="s">
        <v>157</v>
      </c>
      <c r="E1150" t="s">
        <v>25</v>
      </c>
      <c r="F1150" s="1">
        <v>45626</v>
      </c>
      <c r="G1150">
        <v>7</v>
      </c>
      <c r="H1150">
        <v>8405.14</v>
      </c>
      <c r="I1150">
        <v>5</v>
      </c>
      <c r="J1150" t="s">
        <v>36</v>
      </c>
      <c r="K1150">
        <v>2941.8</v>
      </c>
      <c r="L1150">
        <v>58835.98</v>
      </c>
      <c r="M1150">
        <v>55894.18</v>
      </c>
      <c r="N1150" t="s">
        <v>96</v>
      </c>
      <c r="O1150">
        <v>2024</v>
      </c>
    </row>
    <row r="1151" spans="1:15" x14ac:dyDescent="0.3">
      <c r="A1151" t="s">
        <v>1236</v>
      </c>
      <c r="B1151" t="s">
        <v>114</v>
      </c>
      <c r="C1151" t="s">
        <v>62</v>
      </c>
      <c r="D1151" t="s">
        <v>99</v>
      </c>
      <c r="E1151" t="s">
        <v>30</v>
      </c>
      <c r="F1151" s="1">
        <v>45973</v>
      </c>
      <c r="G1151">
        <v>3</v>
      </c>
      <c r="H1151">
        <v>1865.63</v>
      </c>
      <c r="I1151">
        <v>15</v>
      </c>
      <c r="J1151" t="s">
        <v>82</v>
      </c>
      <c r="K1151">
        <v>839.53</v>
      </c>
      <c r="L1151">
        <v>5596.89</v>
      </c>
      <c r="M1151">
        <v>4757.3599999999997</v>
      </c>
      <c r="N1151" t="s">
        <v>96</v>
      </c>
      <c r="O1151">
        <v>2025</v>
      </c>
    </row>
    <row r="1152" spans="1:15" x14ac:dyDescent="0.3">
      <c r="A1152" t="s">
        <v>1237</v>
      </c>
      <c r="B1152" t="s">
        <v>38</v>
      </c>
      <c r="C1152" t="s">
        <v>17</v>
      </c>
      <c r="D1152" t="s">
        <v>39</v>
      </c>
      <c r="E1152" t="s">
        <v>50</v>
      </c>
      <c r="F1152" s="1">
        <v>45951</v>
      </c>
      <c r="G1152">
        <v>6</v>
      </c>
      <c r="H1152">
        <v>19686.2</v>
      </c>
      <c r="I1152">
        <v>15</v>
      </c>
      <c r="J1152" t="s">
        <v>82</v>
      </c>
      <c r="K1152">
        <v>17717.580000000002</v>
      </c>
      <c r="L1152">
        <v>118117.2</v>
      </c>
      <c r="M1152">
        <v>100399.62</v>
      </c>
      <c r="N1152" t="s">
        <v>57</v>
      </c>
      <c r="O1152">
        <v>2025</v>
      </c>
    </row>
    <row r="1153" spans="1:15" x14ac:dyDescent="0.3">
      <c r="A1153" t="s">
        <v>1238</v>
      </c>
      <c r="B1153" t="s">
        <v>74</v>
      </c>
      <c r="C1153" t="s">
        <v>54</v>
      </c>
      <c r="D1153" t="s">
        <v>68</v>
      </c>
      <c r="E1153" t="s">
        <v>50</v>
      </c>
      <c r="F1153" s="1">
        <v>45557</v>
      </c>
      <c r="G1153">
        <v>2</v>
      </c>
      <c r="H1153">
        <v>4377.3500000000004</v>
      </c>
      <c r="I1153">
        <v>0</v>
      </c>
      <c r="J1153" t="s">
        <v>20</v>
      </c>
      <c r="K1153">
        <v>0</v>
      </c>
      <c r="L1153">
        <v>8754.7000000000007</v>
      </c>
      <c r="M1153">
        <v>8754.7000000000007</v>
      </c>
      <c r="N1153" t="s">
        <v>86</v>
      </c>
      <c r="O1153">
        <v>2024</v>
      </c>
    </row>
    <row r="1154" spans="1:15" x14ac:dyDescent="0.3">
      <c r="A1154" t="s">
        <v>1239</v>
      </c>
      <c r="B1154" t="s">
        <v>16</v>
      </c>
      <c r="C1154" t="s">
        <v>17</v>
      </c>
      <c r="D1154" t="s">
        <v>39</v>
      </c>
      <c r="E1154" t="s">
        <v>81</v>
      </c>
      <c r="F1154" s="1">
        <v>45410</v>
      </c>
      <c r="G1154">
        <v>10</v>
      </c>
      <c r="H1154">
        <v>17854.82</v>
      </c>
      <c r="I1154">
        <v>10</v>
      </c>
      <c r="J1154" t="s">
        <v>20</v>
      </c>
      <c r="K1154">
        <v>17854.82</v>
      </c>
      <c r="L1154">
        <v>178548.2</v>
      </c>
      <c r="M1154">
        <v>160693.38</v>
      </c>
      <c r="N1154" t="s">
        <v>27</v>
      </c>
      <c r="O1154">
        <v>2024</v>
      </c>
    </row>
    <row r="1155" spans="1:15" x14ac:dyDescent="0.3">
      <c r="A1155" t="s">
        <v>1240</v>
      </c>
      <c r="B1155" t="s">
        <v>16</v>
      </c>
      <c r="C1155" t="s">
        <v>90</v>
      </c>
      <c r="D1155" t="s">
        <v>91</v>
      </c>
      <c r="E1155" t="s">
        <v>25</v>
      </c>
      <c r="F1155" s="1">
        <v>45355</v>
      </c>
      <c r="G1155">
        <v>10</v>
      </c>
      <c r="H1155">
        <v>1550.85</v>
      </c>
      <c r="I1155">
        <v>15</v>
      </c>
      <c r="J1155" t="s">
        <v>40</v>
      </c>
      <c r="K1155">
        <v>2326.2800000000002</v>
      </c>
      <c r="L1155">
        <v>15508.5</v>
      </c>
      <c r="M1155">
        <v>13182.22</v>
      </c>
      <c r="N1155" t="s">
        <v>83</v>
      </c>
      <c r="O1155">
        <v>2024</v>
      </c>
    </row>
    <row r="1156" spans="1:15" x14ac:dyDescent="0.3">
      <c r="A1156" t="s">
        <v>1241</v>
      </c>
      <c r="B1156" t="s">
        <v>74</v>
      </c>
      <c r="C1156" t="s">
        <v>90</v>
      </c>
      <c r="D1156" t="s">
        <v>115</v>
      </c>
      <c r="E1156" t="s">
        <v>19</v>
      </c>
      <c r="F1156" s="1">
        <v>45824</v>
      </c>
      <c r="G1156">
        <v>10</v>
      </c>
      <c r="H1156">
        <v>8381.5499999999993</v>
      </c>
      <c r="I1156">
        <v>0</v>
      </c>
      <c r="J1156" t="s">
        <v>36</v>
      </c>
      <c r="K1156">
        <v>0</v>
      </c>
      <c r="L1156">
        <v>83815.5</v>
      </c>
      <c r="M1156">
        <v>83815.5</v>
      </c>
      <c r="N1156" t="s">
        <v>72</v>
      </c>
      <c r="O1156">
        <v>2025</v>
      </c>
    </row>
    <row r="1157" spans="1:15" x14ac:dyDescent="0.3">
      <c r="A1157" t="s">
        <v>1242</v>
      </c>
      <c r="B1157" t="s">
        <v>65</v>
      </c>
      <c r="C1157" t="s">
        <v>90</v>
      </c>
      <c r="D1157" t="s">
        <v>105</v>
      </c>
      <c r="E1157" t="s">
        <v>44</v>
      </c>
      <c r="F1157" s="1">
        <v>45615</v>
      </c>
      <c r="G1157">
        <v>3</v>
      </c>
      <c r="H1157">
        <v>4250.54</v>
      </c>
      <c r="I1157">
        <v>10</v>
      </c>
      <c r="J1157" t="s">
        <v>71</v>
      </c>
      <c r="K1157">
        <v>1275.1600000000001</v>
      </c>
      <c r="L1157">
        <v>12751.62</v>
      </c>
      <c r="M1157">
        <v>11476.46</v>
      </c>
      <c r="N1157" t="s">
        <v>96</v>
      </c>
      <c r="O1157">
        <v>2024</v>
      </c>
    </row>
    <row r="1158" spans="1:15" x14ac:dyDescent="0.3">
      <c r="A1158" t="s">
        <v>1243</v>
      </c>
      <c r="B1158" t="s">
        <v>61</v>
      </c>
      <c r="C1158" t="s">
        <v>34</v>
      </c>
      <c r="D1158" t="s">
        <v>35</v>
      </c>
      <c r="E1158" t="s">
        <v>56</v>
      </c>
      <c r="F1158" s="1">
        <v>45907</v>
      </c>
      <c r="G1158">
        <v>5</v>
      </c>
      <c r="H1158">
        <v>23411.69</v>
      </c>
      <c r="I1158">
        <v>0</v>
      </c>
      <c r="J1158" t="s">
        <v>36</v>
      </c>
      <c r="K1158">
        <v>0</v>
      </c>
      <c r="L1158">
        <v>117058.45</v>
      </c>
      <c r="M1158">
        <v>117058.45</v>
      </c>
      <c r="N1158" t="s">
        <v>86</v>
      </c>
      <c r="O1158">
        <v>2025</v>
      </c>
    </row>
    <row r="1159" spans="1:15" x14ac:dyDescent="0.3">
      <c r="A1159" t="s">
        <v>1244</v>
      </c>
      <c r="B1159" t="s">
        <v>43</v>
      </c>
      <c r="C1159" t="s">
        <v>54</v>
      </c>
      <c r="D1159" t="s">
        <v>137</v>
      </c>
      <c r="E1159" t="s">
        <v>81</v>
      </c>
      <c r="F1159" s="1">
        <v>45572</v>
      </c>
      <c r="G1159">
        <v>10</v>
      </c>
      <c r="H1159">
        <v>1009.37</v>
      </c>
      <c r="I1159">
        <v>5</v>
      </c>
      <c r="J1159" t="s">
        <v>82</v>
      </c>
      <c r="K1159">
        <v>504.69</v>
      </c>
      <c r="L1159">
        <v>10093.700000000001</v>
      </c>
      <c r="M1159">
        <v>9589.01</v>
      </c>
      <c r="N1159" t="s">
        <v>57</v>
      </c>
      <c r="O1159">
        <v>2024</v>
      </c>
    </row>
    <row r="1160" spans="1:15" x14ac:dyDescent="0.3">
      <c r="A1160" t="s">
        <v>1245</v>
      </c>
      <c r="B1160" t="s">
        <v>16</v>
      </c>
      <c r="C1160" t="s">
        <v>90</v>
      </c>
      <c r="D1160" t="s">
        <v>115</v>
      </c>
      <c r="E1160" t="s">
        <v>56</v>
      </c>
      <c r="F1160" s="1">
        <v>45633</v>
      </c>
      <c r="G1160">
        <v>3</v>
      </c>
      <c r="H1160">
        <v>9741.35</v>
      </c>
      <c r="I1160">
        <v>5</v>
      </c>
      <c r="J1160" t="s">
        <v>26</v>
      </c>
      <c r="K1160">
        <v>1461.2</v>
      </c>
      <c r="L1160">
        <v>29224.05</v>
      </c>
      <c r="M1160">
        <v>27762.85</v>
      </c>
      <c r="N1160" t="s">
        <v>51</v>
      </c>
      <c r="O1160">
        <v>2024</v>
      </c>
    </row>
    <row r="1161" spans="1:15" x14ac:dyDescent="0.3">
      <c r="A1161" t="s">
        <v>1246</v>
      </c>
      <c r="B1161" t="s">
        <v>114</v>
      </c>
      <c r="C1161" t="s">
        <v>34</v>
      </c>
      <c r="D1161" t="s">
        <v>80</v>
      </c>
      <c r="E1161" t="s">
        <v>44</v>
      </c>
      <c r="F1161" s="1">
        <v>45791</v>
      </c>
      <c r="G1161">
        <v>7</v>
      </c>
      <c r="H1161">
        <v>5848.65</v>
      </c>
      <c r="I1161">
        <v>5</v>
      </c>
      <c r="J1161" t="s">
        <v>36</v>
      </c>
      <c r="K1161">
        <v>2047.03</v>
      </c>
      <c r="L1161">
        <v>40940.550000000003</v>
      </c>
      <c r="M1161">
        <v>38893.519999999997</v>
      </c>
      <c r="N1161" t="s">
        <v>101</v>
      </c>
      <c r="O1161">
        <v>2025</v>
      </c>
    </row>
    <row r="1162" spans="1:15" x14ac:dyDescent="0.3">
      <c r="A1162" t="s">
        <v>1247</v>
      </c>
      <c r="B1162" t="s">
        <v>23</v>
      </c>
      <c r="C1162" t="s">
        <v>17</v>
      </c>
      <c r="D1162" t="s">
        <v>24</v>
      </c>
      <c r="E1162" t="s">
        <v>19</v>
      </c>
      <c r="F1162" s="1">
        <v>45986</v>
      </c>
      <c r="G1162">
        <v>8</v>
      </c>
      <c r="H1162">
        <v>3787.01</v>
      </c>
      <c r="I1162">
        <v>15</v>
      </c>
      <c r="J1162" t="s">
        <v>31</v>
      </c>
      <c r="K1162">
        <v>4544.41</v>
      </c>
      <c r="L1162">
        <v>30296.080000000002</v>
      </c>
      <c r="M1162">
        <v>25751.67</v>
      </c>
      <c r="N1162" t="s">
        <v>96</v>
      </c>
      <c r="O1162">
        <v>2025</v>
      </c>
    </row>
    <row r="1163" spans="1:15" x14ac:dyDescent="0.3">
      <c r="A1163" t="s">
        <v>1248</v>
      </c>
      <c r="B1163" t="s">
        <v>65</v>
      </c>
      <c r="C1163" t="s">
        <v>90</v>
      </c>
      <c r="D1163" t="s">
        <v>105</v>
      </c>
      <c r="E1163" t="s">
        <v>30</v>
      </c>
      <c r="F1163" s="1">
        <v>45581</v>
      </c>
      <c r="G1163">
        <v>4</v>
      </c>
      <c r="H1163">
        <v>4139.82</v>
      </c>
      <c r="I1163">
        <v>20</v>
      </c>
      <c r="J1163" t="s">
        <v>40</v>
      </c>
      <c r="K1163">
        <v>3311.86</v>
      </c>
      <c r="L1163">
        <v>16559.28</v>
      </c>
      <c r="M1163">
        <v>13247.42</v>
      </c>
      <c r="N1163" t="s">
        <v>57</v>
      </c>
      <c r="O1163">
        <v>2024</v>
      </c>
    </row>
    <row r="1164" spans="1:15" x14ac:dyDescent="0.3">
      <c r="A1164" t="s">
        <v>1249</v>
      </c>
      <c r="B1164" t="s">
        <v>53</v>
      </c>
      <c r="C1164" t="s">
        <v>90</v>
      </c>
      <c r="D1164" t="s">
        <v>105</v>
      </c>
      <c r="E1164" t="s">
        <v>19</v>
      </c>
      <c r="F1164" s="1">
        <v>46018</v>
      </c>
      <c r="G1164">
        <v>5</v>
      </c>
      <c r="H1164">
        <v>3905.38</v>
      </c>
      <c r="I1164">
        <v>5</v>
      </c>
      <c r="J1164" t="s">
        <v>26</v>
      </c>
      <c r="K1164">
        <v>976.35</v>
      </c>
      <c r="L1164">
        <v>19526.900000000001</v>
      </c>
      <c r="M1164">
        <v>18550.55</v>
      </c>
      <c r="N1164" t="s">
        <v>51</v>
      </c>
      <c r="O1164">
        <v>2025</v>
      </c>
    </row>
    <row r="1165" spans="1:15" x14ac:dyDescent="0.3">
      <c r="A1165" t="s">
        <v>1250</v>
      </c>
      <c r="B1165" t="s">
        <v>89</v>
      </c>
      <c r="C1165" t="s">
        <v>54</v>
      </c>
      <c r="D1165" t="s">
        <v>55</v>
      </c>
      <c r="E1165" t="s">
        <v>30</v>
      </c>
      <c r="F1165" s="1">
        <v>45590</v>
      </c>
      <c r="G1165">
        <v>3</v>
      </c>
      <c r="H1165">
        <v>1257.22</v>
      </c>
      <c r="I1165">
        <v>5</v>
      </c>
      <c r="J1165" t="s">
        <v>71</v>
      </c>
      <c r="K1165">
        <v>188.58</v>
      </c>
      <c r="L1165">
        <v>3771.66</v>
      </c>
      <c r="M1165">
        <v>3583.08</v>
      </c>
      <c r="N1165" t="s">
        <v>57</v>
      </c>
      <c r="O1165">
        <v>2024</v>
      </c>
    </row>
    <row r="1166" spans="1:15" x14ac:dyDescent="0.3">
      <c r="A1166" t="s">
        <v>1251</v>
      </c>
      <c r="B1166" t="s">
        <v>16</v>
      </c>
      <c r="C1166" t="s">
        <v>17</v>
      </c>
      <c r="D1166" t="s">
        <v>39</v>
      </c>
      <c r="E1166" t="s">
        <v>44</v>
      </c>
      <c r="F1166" s="1">
        <v>45986</v>
      </c>
      <c r="G1166">
        <v>3</v>
      </c>
      <c r="H1166">
        <v>19683.95</v>
      </c>
      <c r="I1166">
        <v>15</v>
      </c>
      <c r="J1166" t="s">
        <v>82</v>
      </c>
      <c r="K1166">
        <v>8857.7800000000007</v>
      </c>
      <c r="L1166">
        <v>59051.85</v>
      </c>
      <c r="M1166">
        <v>50194.07</v>
      </c>
      <c r="N1166" t="s">
        <v>96</v>
      </c>
      <c r="O1166">
        <v>2025</v>
      </c>
    </row>
    <row r="1167" spans="1:15" x14ac:dyDescent="0.3">
      <c r="A1167" t="s">
        <v>1252</v>
      </c>
      <c r="B1167" t="s">
        <v>47</v>
      </c>
      <c r="C1167" t="s">
        <v>34</v>
      </c>
      <c r="D1167" t="s">
        <v>80</v>
      </c>
      <c r="E1167" t="s">
        <v>19</v>
      </c>
      <c r="F1167" s="1">
        <v>45475</v>
      </c>
      <c r="G1167">
        <v>1</v>
      </c>
      <c r="H1167">
        <v>5576.02</v>
      </c>
      <c r="I1167">
        <v>20</v>
      </c>
      <c r="J1167" t="s">
        <v>71</v>
      </c>
      <c r="K1167">
        <v>1115.2</v>
      </c>
      <c r="L1167">
        <v>5576.02</v>
      </c>
      <c r="M1167">
        <v>4460.82</v>
      </c>
      <c r="N1167" t="s">
        <v>122</v>
      </c>
      <c r="O1167">
        <v>2024</v>
      </c>
    </row>
    <row r="1168" spans="1:15" x14ac:dyDescent="0.3">
      <c r="A1168" t="s">
        <v>1253</v>
      </c>
      <c r="B1168" t="s">
        <v>23</v>
      </c>
      <c r="C1168" t="s">
        <v>62</v>
      </c>
      <c r="D1168" t="s">
        <v>132</v>
      </c>
      <c r="E1168" t="s">
        <v>50</v>
      </c>
      <c r="F1168" s="1">
        <v>45542</v>
      </c>
      <c r="G1168">
        <v>1</v>
      </c>
      <c r="H1168">
        <v>2324.25</v>
      </c>
      <c r="I1168">
        <v>15</v>
      </c>
      <c r="J1168" t="s">
        <v>31</v>
      </c>
      <c r="K1168">
        <v>348.64</v>
      </c>
      <c r="L1168">
        <v>2324.25</v>
      </c>
      <c r="M1168">
        <v>1975.61</v>
      </c>
      <c r="N1168" t="s">
        <v>86</v>
      </c>
      <c r="O1168">
        <v>2024</v>
      </c>
    </row>
    <row r="1169" spans="1:15" x14ac:dyDescent="0.3">
      <c r="A1169" t="s">
        <v>1254</v>
      </c>
      <c r="B1169" t="s">
        <v>16</v>
      </c>
      <c r="C1169" t="s">
        <v>90</v>
      </c>
      <c r="D1169" t="s">
        <v>115</v>
      </c>
      <c r="E1169" t="s">
        <v>81</v>
      </c>
      <c r="F1169" s="1">
        <v>45960</v>
      </c>
      <c r="G1169">
        <v>7</v>
      </c>
      <c r="H1169">
        <v>9626.8700000000008</v>
      </c>
      <c r="I1169">
        <v>0</v>
      </c>
      <c r="J1169" t="s">
        <v>36</v>
      </c>
      <c r="K1169">
        <v>0</v>
      </c>
      <c r="L1169">
        <v>67388.09</v>
      </c>
      <c r="M1169">
        <v>67388.09</v>
      </c>
      <c r="N1169" t="s">
        <v>57</v>
      </c>
      <c r="O1169">
        <v>2025</v>
      </c>
    </row>
    <row r="1170" spans="1:15" x14ac:dyDescent="0.3">
      <c r="A1170" t="s">
        <v>1255</v>
      </c>
      <c r="B1170" t="s">
        <v>43</v>
      </c>
      <c r="C1170" t="s">
        <v>90</v>
      </c>
      <c r="D1170" t="s">
        <v>152</v>
      </c>
      <c r="E1170" t="s">
        <v>30</v>
      </c>
      <c r="F1170" s="1">
        <v>45668</v>
      </c>
      <c r="G1170">
        <v>1</v>
      </c>
      <c r="H1170">
        <v>9300</v>
      </c>
      <c r="I1170">
        <v>0</v>
      </c>
      <c r="J1170" t="s">
        <v>71</v>
      </c>
      <c r="K1170">
        <v>0</v>
      </c>
      <c r="L1170">
        <v>9300</v>
      </c>
      <c r="M1170">
        <v>9300</v>
      </c>
      <c r="N1170" t="s">
        <v>116</v>
      </c>
      <c r="O1170">
        <v>2025</v>
      </c>
    </row>
    <row r="1171" spans="1:15" x14ac:dyDescent="0.3">
      <c r="A1171" t="s">
        <v>1256</v>
      </c>
      <c r="B1171" t="s">
        <v>61</v>
      </c>
      <c r="C1171" t="s">
        <v>17</v>
      </c>
      <c r="D1171" t="s">
        <v>157</v>
      </c>
      <c r="E1171" t="s">
        <v>30</v>
      </c>
      <c r="F1171" s="1">
        <v>45315</v>
      </c>
      <c r="G1171">
        <v>10</v>
      </c>
      <c r="H1171">
        <v>7302.72</v>
      </c>
      <c r="I1171">
        <v>20</v>
      </c>
      <c r="J1171" t="s">
        <v>20</v>
      </c>
      <c r="K1171">
        <v>14605.44</v>
      </c>
      <c r="L1171">
        <v>73027.199999999997</v>
      </c>
      <c r="M1171">
        <v>58421.760000000002</v>
      </c>
      <c r="N1171" t="s">
        <v>116</v>
      </c>
      <c r="O1171">
        <v>2024</v>
      </c>
    </row>
    <row r="1172" spans="1:15" x14ac:dyDescent="0.3">
      <c r="A1172" t="s">
        <v>1257</v>
      </c>
      <c r="B1172" t="s">
        <v>16</v>
      </c>
      <c r="C1172" t="s">
        <v>90</v>
      </c>
      <c r="D1172" t="s">
        <v>115</v>
      </c>
      <c r="E1172" t="s">
        <v>30</v>
      </c>
      <c r="F1172" s="1">
        <v>45899</v>
      </c>
      <c r="G1172">
        <v>3</v>
      </c>
      <c r="H1172">
        <v>7967.92</v>
      </c>
      <c r="I1172">
        <v>15</v>
      </c>
      <c r="J1172" t="s">
        <v>82</v>
      </c>
      <c r="K1172">
        <v>3585.56</v>
      </c>
      <c r="L1172">
        <v>23903.759999999998</v>
      </c>
      <c r="M1172">
        <v>20318.2</v>
      </c>
      <c r="N1172" t="s">
        <v>21</v>
      </c>
      <c r="O1172">
        <v>2025</v>
      </c>
    </row>
    <row r="1173" spans="1:15" x14ac:dyDescent="0.3">
      <c r="A1173" t="s">
        <v>1258</v>
      </c>
      <c r="B1173" t="s">
        <v>53</v>
      </c>
      <c r="C1173" t="s">
        <v>62</v>
      </c>
      <c r="D1173" t="s">
        <v>132</v>
      </c>
      <c r="E1173" t="s">
        <v>25</v>
      </c>
      <c r="F1173" s="1">
        <v>45357</v>
      </c>
      <c r="G1173">
        <v>9</v>
      </c>
      <c r="H1173">
        <v>2365.56</v>
      </c>
      <c r="I1173">
        <v>0</v>
      </c>
      <c r="J1173" t="s">
        <v>45</v>
      </c>
      <c r="K1173">
        <v>0</v>
      </c>
      <c r="L1173">
        <v>21290.04</v>
      </c>
      <c r="M1173">
        <v>21290.04</v>
      </c>
      <c r="N1173" t="s">
        <v>83</v>
      </c>
      <c r="O1173">
        <v>2024</v>
      </c>
    </row>
    <row r="1174" spans="1:15" x14ac:dyDescent="0.3">
      <c r="A1174" t="s">
        <v>1259</v>
      </c>
      <c r="B1174" t="s">
        <v>38</v>
      </c>
      <c r="C1174" t="s">
        <v>90</v>
      </c>
      <c r="D1174" t="s">
        <v>91</v>
      </c>
      <c r="E1174" t="s">
        <v>81</v>
      </c>
      <c r="F1174" s="1">
        <v>45357</v>
      </c>
      <c r="G1174">
        <v>9</v>
      </c>
      <c r="H1174">
        <v>1663.93</v>
      </c>
      <c r="I1174">
        <v>20</v>
      </c>
      <c r="J1174" t="s">
        <v>71</v>
      </c>
      <c r="K1174">
        <v>2995.07</v>
      </c>
      <c r="L1174">
        <v>14975.37</v>
      </c>
      <c r="M1174">
        <v>11980.3</v>
      </c>
      <c r="N1174" t="s">
        <v>83</v>
      </c>
      <c r="O1174">
        <v>2024</v>
      </c>
    </row>
    <row r="1175" spans="1:15" x14ac:dyDescent="0.3">
      <c r="A1175" t="s">
        <v>1260</v>
      </c>
      <c r="B1175" t="s">
        <v>61</v>
      </c>
      <c r="C1175" t="s">
        <v>17</v>
      </c>
      <c r="D1175" t="s">
        <v>59</v>
      </c>
      <c r="E1175" t="s">
        <v>25</v>
      </c>
      <c r="F1175" s="1">
        <v>45905</v>
      </c>
      <c r="G1175">
        <v>3</v>
      </c>
      <c r="H1175">
        <v>22533.279999999999</v>
      </c>
      <c r="I1175">
        <v>15</v>
      </c>
      <c r="J1175" t="s">
        <v>36</v>
      </c>
      <c r="K1175">
        <v>10139.98</v>
      </c>
      <c r="L1175">
        <v>67599.839999999997</v>
      </c>
      <c r="M1175">
        <v>57459.86</v>
      </c>
      <c r="N1175" t="s">
        <v>86</v>
      </c>
      <c r="O1175">
        <v>2025</v>
      </c>
    </row>
    <row r="1176" spans="1:15" x14ac:dyDescent="0.3">
      <c r="A1176" t="s">
        <v>1261</v>
      </c>
      <c r="B1176" t="s">
        <v>109</v>
      </c>
      <c r="C1176" t="s">
        <v>62</v>
      </c>
      <c r="D1176" t="s">
        <v>95</v>
      </c>
      <c r="E1176" t="s">
        <v>50</v>
      </c>
      <c r="F1176" s="1">
        <v>45960</v>
      </c>
      <c r="G1176">
        <v>3</v>
      </c>
      <c r="H1176">
        <v>811.32</v>
      </c>
      <c r="I1176">
        <v>10</v>
      </c>
      <c r="J1176" t="s">
        <v>20</v>
      </c>
      <c r="K1176">
        <v>243.4</v>
      </c>
      <c r="L1176">
        <v>2433.96</v>
      </c>
      <c r="M1176">
        <v>2190.56</v>
      </c>
      <c r="N1176" t="s">
        <v>57</v>
      </c>
      <c r="O1176">
        <v>2025</v>
      </c>
    </row>
    <row r="1177" spans="1:15" x14ac:dyDescent="0.3">
      <c r="A1177" t="s">
        <v>1262</v>
      </c>
      <c r="B1177" t="s">
        <v>47</v>
      </c>
      <c r="C1177" t="s">
        <v>17</v>
      </c>
      <c r="D1177" t="s">
        <v>18</v>
      </c>
      <c r="E1177" t="s">
        <v>81</v>
      </c>
      <c r="F1177" s="1">
        <v>45664</v>
      </c>
      <c r="G1177">
        <v>9</v>
      </c>
      <c r="H1177">
        <v>61288.55</v>
      </c>
      <c r="I1177">
        <v>0</v>
      </c>
      <c r="J1177" t="s">
        <v>40</v>
      </c>
      <c r="K1177">
        <v>0</v>
      </c>
      <c r="L1177">
        <v>551596.94999999995</v>
      </c>
      <c r="M1177">
        <v>551596.94999999995</v>
      </c>
      <c r="N1177" t="s">
        <v>116</v>
      </c>
      <c r="O1177">
        <v>2025</v>
      </c>
    </row>
    <row r="1178" spans="1:15" x14ac:dyDescent="0.3">
      <c r="A1178" t="s">
        <v>1263</v>
      </c>
      <c r="B1178" t="s">
        <v>109</v>
      </c>
      <c r="C1178" t="s">
        <v>34</v>
      </c>
      <c r="D1178" t="s">
        <v>48</v>
      </c>
      <c r="E1178" t="s">
        <v>81</v>
      </c>
      <c r="F1178" s="1">
        <v>45966</v>
      </c>
      <c r="G1178">
        <v>9</v>
      </c>
      <c r="H1178">
        <v>8898.82</v>
      </c>
      <c r="I1178">
        <v>20</v>
      </c>
      <c r="J1178" t="s">
        <v>40</v>
      </c>
      <c r="K1178">
        <v>16017.88</v>
      </c>
      <c r="L1178">
        <v>80089.38</v>
      </c>
      <c r="M1178">
        <v>64071.5</v>
      </c>
      <c r="N1178" t="s">
        <v>96</v>
      </c>
      <c r="O1178">
        <v>2025</v>
      </c>
    </row>
    <row r="1179" spans="1:15" x14ac:dyDescent="0.3">
      <c r="A1179" t="s">
        <v>1264</v>
      </c>
      <c r="B1179" t="s">
        <v>65</v>
      </c>
      <c r="C1179" t="s">
        <v>90</v>
      </c>
      <c r="D1179" t="s">
        <v>115</v>
      </c>
      <c r="E1179" t="s">
        <v>19</v>
      </c>
      <c r="F1179" s="1">
        <v>45996</v>
      </c>
      <c r="G1179">
        <v>2</v>
      </c>
      <c r="H1179">
        <v>9377.76</v>
      </c>
      <c r="I1179">
        <v>0</v>
      </c>
      <c r="J1179" t="s">
        <v>20</v>
      </c>
      <c r="K1179">
        <v>0</v>
      </c>
      <c r="L1179">
        <v>18755.52</v>
      </c>
      <c r="M1179">
        <v>18755.52</v>
      </c>
      <c r="N1179" t="s">
        <v>51</v>
      </c>
      <c r="O1179">
        <v>2025</v>
      </c>
    </row>
    <row r="1180" spans="1:15" x14ac:dyDescent="0.3">
      <c r="A1180" t="s">
        <v>1265</v>
      </c>
      <c r="B1180" t="s">
        <v>29</v>
      </c>
      <c r="C1180" t="s">
        <v>34</v>
      </c>
      <c r="D1180" t="s">
        <v>80</v>
      </c>
      <c r="E1180" t="s">
        <v>50</v>
      </c>
      <c r="F1180" s="1">
        <v>45512</v>
      </c>
      <c r="G1180">
        <v>3</v>
      </c>
      <c r="H1180">
        <v>6303.22</v>
      </c>
      <c r="I1180">
        <v>5</v>
      </c>
      <c r="J1180" t="s">
        <v>40</v>
      </c>
      <c r="K1180">
        <v>945.48</v>
      </c>
      <c r="L1180">
        <v>18909.66</v>
      </c>
      <c r="M1180">
        <v>17964.18</v>
      </c>
      <c r="N1180" t="s">
        <v>21</v>
      </c>
      <c r="O1180">
        <v>2024</v>
      </c>
    </row>
    <row r="1181" spans="1:15" x14ac:dyDescent="0.3">
      <c r="A1181" t="s">
        <v>1266</v>
      </c>
      <c r="B1181" t="s">
        <v>43</v>
      </c>
      <c r="C1181" t="s">
        <v>54</v>
      </c>
      <c r="D1181" t="s">
        <v>137</v>
      </c>
      <c r="E1181" t="s">
        <v>50</v>
      </c>
      <c r="F1181" s="1">
        <v>45368</v>
      </c>
      <c r="G1181">
        <v>9</v>
      </c>
      <c r="H1181">
        <v>867.37</v>
      </c>
      <c r="I1181">
        <v>15</v>
      </c>
      <c r="J1181" t="s">
        <v>31</v>
      </c>
      <c r="K1181">
        <v>1170.95</v>
      </c>
      <c r="L1181">
        <v>7806.33</v>
      </c>
      <c r="M1181">
        <v>6635.38</v>
      </c>
      <c r="N1181" t="s">
        <v>83</v>
      </c>
      <c r="O1181">
        <v>2024</v>
      </c>
    </row>
    <row r="1182" spans="1:15" x14ac:dyDescent="0.3">
      <c r="A1182" t="s">
        <v>1267</v>
      </c>
      <c r="B1182" t="s">
        <v>89</v>
      </c>
      <c r="C1182" t="s">
        <v>34</v>
      </c>
      <c r="D1182" t="s">
        <v>35</v>
      </c>
      <c r="E1182" t="s">
        <v>25</v>
      </c>
      <c r="F1182" s="1">
        <v>45984</v>
      </c>
      <c r="G1182">
        <v>7</v>
      </c>
      <c r="H1182">
        <v>31213.87</v>
      </c>
      <c r="I1182">
        <v>5</v>
      </c>
      <c r="J1182" t="s">
        <v>40</v>
      </c>
      <c r="K1182">
        <v>10924.85</v>
      </c>
      <c r="L1182">
        <v>218497.09</v>
      </c>
      <c r="M1182">
        <v>207572.24</v>
      </c>
      <c r="N1182" t="s">
        <v>96</v>
      </c>
      <c r="O1182">
        <v>2025</v>
      </c>
    </row>
    <row r="1183" spans="1:15" x14ac:dyDescent="0.3">
      <c r="A1183" t="s">
        <v>1268</v>
      </c>
      <c r="B1183" t="s">
        <v>47</v>
      </c>
      <c r="C1183" t="s">
        <v>54</v>
      </c>
      <c r="D1183" t="s">
        <v>55</v>
      </c>
      <c r="E1183" t="s">
        <v>30</v>
      </c>
      <c r="F1183" s="1">
        <v>45940</v>
      </c>
      <c r="G1183">
        <v>4</v>
      </c>
      <c r="H1183">
        <v>1423.77</v>
      </c>
      <c r="I1183">
        <v>20</v>
      </c>
      <c r="J1183" t="s">
        <v>40</v>
      </c>
      <c r="K1183">
        <v>1139.02</v>
      </c>
      <c r="L1183">
        <v>5695.08</v>
      </c>
      <c r="M1183">
        <v>4556.0600000000004</v>
      </c>
      <c r="N1183" t="s">
        <v>57</v>
      </c>
      <c r="O1183">
        <v>2025</v>
      </c>
    </row>
    <row r="1184" spans="1:15" x14ac:dyDescent="0.3">
      <c r="A1184" t="s">
        <v>1269</v>
      </c>
      <c r="B1184" t="s">
        <v>53</v>
      </c>
      <c r="C1184" t="s">
        <v>54</v>
      </c>
      <c r="D1184" t="s">
        <v>77</v>
      </c>
      <c r="E1184" t="s">
        <v>56</v>
      </c>
      <c r="F1184" s="1">
        <v>45615</v>
      </c>
      <c r="G1184">
        <v>7</v>
      </c>
      <c r="H1184">
        <v>5471.05</v>
      </c>
      <c r="I1184">
        <v>20</v>
      </c>
      <c r="J1184" t="s">
        <v>36</v>
      </c>
      <c r="K1184">
        <v>7659.47</v>
      </c>
      <c r="L1184">
        <v>38297.35</v>
      </c>
      <c r="M1184">
        <v>30637.88</v>
      </c>
      <c r="N1184" t="s">
        <v>96</v>
      </c>
      <c r="O1184">
        <v>2024</v>
      </c>
    </row>
    <row r="1185" spans="1:15" x14ac:dyDescent="0.3">
      <c r="A1185" t="s">
        <v>1270</v>
      </c>
      <c r="B1185" t="s">
        <v>43</v>
      </c>
      <c r="C1185" t="s">
        <v>34</v>
      </c>
      <c r="D1185" t="s">
        <v>80</v>
      </c>
      <c r="E1185" t="s">
        <v>25</v>
      </c>
      <c r="F1185" s="1">
        <v>45992</v>
      </c>
      <c r="G1185">
        <v>9</v>
      </c>
      <c r="H1185">
        <v>6611.19</v>
      </c>
      <c r="I1185">
        <v>10</v>
      </c>
      <c r="J1185" t="s">
        <v>82</v>
      </c>
      <c r="K1185">
        <v>5950.07</v>
      </c>
      <c r="L1185">
        <v>59500.71</v>
      </c>
      <c r="M1185">
        <v>53550.64</v>
      </c>
      <c r="N1185" t="s">
        <v>51</v>
      </c>
      <c r="O1185">
        <v>2025</v>
      </c>
    </row>
    <row r="1186" spans="1:15" x14ac:dyDescent="0.3">
      <c r="A1186" t="s">
        <v>1271</v>
      </c>
      <c r="B1186" t="s">
        <v>114</v>
      </c>
      <c r="C1186" t="s">
        <v>17</v>
      </c>
      <c r="D1186" t="s">
        <v>39</v>
      </c>
      <c r="E1186" t="s">
        <v>19</v>
      </c>
      <c r="F1186" s="1">
        <v>45441</v>
      </c>
      <c r="G1186">
        <v>4</v>
      </c>
      <c r="H1186">
        <v>17431.41</v>
      </c>
      <c r="I1186">
        <v>0</v>
      </c>
      <c r="J1186" t="s">
        <v>40</v>
      </c>
      <c r="K1186">
        <v>0</v>
      </c>
      <c r="L1186">
        <v>69725.64</v>
      </c>
      <c r="M1186">
        <v>69725.64</v>
      </c>
      <c r="N1186" t="s">
        <v>101</v>
      </c>
      <c r="O1186">
        <v>2024</v>
      </c>
    </row>
    <row r="1187" spans="1:15" x14ac:dyDescent="0.3">
      <c r="A1187" t="s">
        <v>1272</v>
      </c>
      <c r="B1187" t="s">
        <v>23</v>
      </c>
      <c r="C1187" t="s">
        <v>90</v>
      </c>
      <c r="D1187" t="s">
        <v>107</v>
      </c>
      <c r="E1187" t="s">
        <v>25</v>
      </c>
      <c r="F1187" s="1">
        <v>45471</v>
      </c>
      <c r="G1187">
        <v>9</v>
      </c>
      <c r="H1187">
        <v>12984.98</v>
      </c>
      <c r="I1187">
        <v>10</v>
      </c>
      <c r="J1187" t="s">
        <v>82</v>
      </c>
      <c r="K1187">
        <v>11686.48</v>
      </c>
      <c r="L1187">
        <v>116864.82</v>
      </c>
      <c r="M1187">
        <v>105178.34</v>
      </c>
      <c r="N1187" t="s">
        <v>72</v>
      </c>
      <c r="O1187">
        <v>2024</v>
      </c>
    </row>
    <row r="1188" spans="1:15" x14ac:dyDescent="0.3">
      <c r="A1188" t="s">
        <v>1273</v>
      </c>
      <c r="B1188" t="s">
        <v>47</v>
      </c>
      <c r="C1188" t="s">
        <v>54</v>
      </c>
      <c r="D1188" t="s">
        <v>68</v>
      </c>
      <c r="E1188" t="s">
        <v>81</v>
      </c>
      <c r="F1188" s="1">
        <v>46009</v>
      </c>
      <c r="G1188">
        <v>10</v>
      </c>
      <c r="H1188">
        <v>5525.93</v>
      </c>
      <c r="I1188">
        <v>20</v>
      </c>
      <c r="J1188" t="s">
        <v>45</v>
      </c>
      <c r="K1188">
        <v>11051.86</v>
      </c>
      <c r="L1188">
        <v>55259.3</v>
      </c>
      <c r="M1188">
        <v>44207.44</v>
      </c>
      <c r="N1188" t="s">
        <v>51</v>
      </c>
      <c r="O1188">
        <v>2025</v>
      </c>
    </row>
    <row r="1189" spans="1:15" x14ac:dyDescent="0.3">
      <c r="A1189" t="s">
        <v>1274</v>
      </c>
      <c r="B1189" t="s">
        <v>47</v>
      </c>
      <c r="C1189" t="s">
        <v>62</v>
      </c>
      <c r="D1189" t="s">
        <v>132</v>
      </c>
      <c r="E1189" t="s">
        <v>25</v>
      </c>
      <c r="F1189" s="1">
        <v>45617</v>
      </c>
      <c r="G1189">
        <v>7</v>
      </c>
      <c r="H1189">
        <v>2599.21</v>
      </c>
      <c r="I1189">
        <v>20</v>
      </c>
      <c r="J1189" t="s">
        <v>36</v>
      </c>
      <c r="K1189">
        <v>3638.89</v>
      </c>
      <c r="L1189">
        <v>18194.47</v>
      </c>
      <c r="M1189">
        <v>14555.58</v>
      </c>
      <c r="N1189" t="s">
        <v>96</v>
      </c>
      <c r="O1189">
        <v>2024</v>
      </c>
    </row>
    <row r="1190" spans="1:15" x14ac:dyDescent="0.3">
      <c r="A1190" t="s">
        <v>1275</v>
      </c>
      <c r="B1190" t="s">
        <v>114</v>
      </c>
      <c r="C1190" t="s">
        <v>54</v>
      </c>
      <c r="D1190" t="s">
        <v>77</v>
      </c>
      <c r="E1190" t="s">
        <v>44</v>
      </c>
      <c r="F1190" s="1">
        <v>45780</v>
      </c>
      <c r="G1190">
        <v>10</v>
      </c>
      <c r="H1190">
        <v>4659.47</v>
      </c>
      <c r="I1190">
        <v>0</v>
      </c>
      <c r="J1190" t="s">
        <v>31</v>
      </c>
      <c r="K1190">
        <v>0</v>
      </c>
      <c r="L1190">
        <v>46594.7</v>
      </c>
      <c r="M1190">
        <v>46594.7</v>
      </c>
      <c r="N1190" t="s">
        <v>101</v>
      </c>
      <c r="O1190">
        <v>2025</v>
      </c>
    </row>
    <row r="1191" spans="1:15" x14ac:dyDescent="0.3">
      <c r="A1191" t="s">
        <v>1276</v>
      </c>
      <c r="B1191" t="s">
        <v>61</v>
      </c>
      <c r="C1191" t="s">
        <v>54</v>
      </c>
      <c r="D1191" t="s">
        <v>55</v>
      </c>
      <c r="E1191" t="s">
        <v>50</v>
      </c>
      <c r="F1191" s="1">
        <v>45679</v>
      </c>
      <c r="G1191">
        <v>10</v>
      </c>
      <c r="H1191">
        <v>1300.6300000000001</v>
      </c>
      <c r="I1191">
        <v>0</v>
      </c>
      <c r="J1191" t="s">
        <v>36</v>
      </c>
      <c r="K1191">
        <v>0</v>
      </c>
      <c r="L1191">
        <v>13006.3</v>
      </c>
      <c r="M1191">
        <v>13006.3</v>
      </c>
      <c r="N1191" t="s">
        <v>116</v>
      </c>
      <c r="O1191">
        <v>2025</v>
      </c>
    </row>
    <row r="1192" spans="1:15" x14ac:dyDescent="0.3">
      <c r="A1192" t="s">
        <v>1277</v>
      </c>
      <c r="B1192" t="s">
        <v>61</v>
      </c>
      <c r="C1192" t="s">
        <v>62</v>
      </c>
      <c r="D1192" t="s">
        <v>63</v>
      </c>
      <c r="E1192" t="s">
        <v>81</v>
      </c>
      <c r="F1192" s="1">
        <v>46015</v>
      </c>
      <c r="G1192">
        <v>8</v>
      </c>
      <c r="H1192">
        <v>1872.64</v>
      </c>
      <c r="I1192">
        <v>10</v>
      </c>
      <c r="J1192" t="s">
        <v>31</v>
      </c>
      <c r="K1192">
        <v>1498.11</v>
      </c>
      <c r="L1192">
        <v>14981.12</v>
      </c>
      <c r="M1192">
        <v>13483.01</v>
      </c>
      <c r="N1192" t="s">
        <v>51</v>
      </c>
      <c r="O1192">
        <v>2025</v>
      </c>
    </row>
    <row r="1193" spans="1:15" x14ac:dyDescent="0.3">
      <c r="A1193" t="s">
        <v>1278</v>
      </c>
      <c r="B1193" t="s">
        <v>43</v>
      </c>
      <c r="C1193" t="s">
        <v>90</v>
      </c>
      <c r="D1193" t="s">
        <v>91</v>
      </c>
      <c r="E1193" t="s">
        <v>19</v>
      </c>
      <c r="F1193" s="1">
        <v>45825</v>
      </c>
      <c r="G1193">
        <v>4</v>
      </c>
      <c r="H1193">
        <v>1464.45</v>
      </c>
      <c r="I1193">
        <v>0</v>
      </c>
      <c r="J1193" t="s">
        <v>31</v>
      </c>
      <c r="K1193">
        <v>0</v>
      </c>
      <c r="L1193">
        <v>5857.8</v>
      </c>
      <c r="M1193">
        <v>5857.8</v>
      </c>
      <c r="N1193" t="s">
        <v>72</v>
      </c>
      <c r="O1193">
        <v>2025</v>
      </c>
    </row>
    <row r="1194" spans="1:15" x14ac:dyDescent="0.3">
      <c r="A1194" t="s">
        <v>1279</v>
      </c>
      <c r="B1194" t="s">
        <v>74</v>
      </c>
      <c r="C1194" t="s">
        <v>62</v>
      </c>
      <c r="D1194" t="s">
        <v>99</v>
      </c>
      <c r="E1194" t="s">
        <v>19</v>
      </c>
      <c r="F1194" s="1">
        <v>45941</v>
      </c>
      <c r="G1194">
        <v>2</v>
      </c>
      <c r="H1194">
        <v>1516.64</v>
      </c>
      <c r="I1194">
        <v>5</v>
      </c>
      <c r="J1194" t="s">
        <v>82</v>
      </c>
      <c r="K1194">
        <v>151.66</v>
      </c>
      <c r="L1194">
        <v>3033.28</v>
      </c>
      <c r="M1194">
        <v>2881.62</v>
      </c>
      <c r="N1194" t="s">
        <v>57</v>
      </c>
      <c r="O1194">
        <v>2025</v>
      </c>
    </row>
    <row r="1195" spans="1:15" x14ac:dyDescent="0.3">
      <c r="A1195" t="s">
        <v>1280</v>
      </c>
      <c r="B1195" t="s">
        <v>93</v>
      </c>
      <c r="C1195" t="s">
        <v>17</v>
      </c>
      <c r="D1195" t="s">
        <v>59</v>
      </c>
      <c r="E1195" t="s">
        <v>25</v>
      </c>
      <c r="F1195" s="1">
        <v>45584</v>
      </c>
      <c r="G1195">
        <v>9</v>
      </c>
      <c r="H1195">
        <v>31140.92</v>
      </c>
      <c r="I1195">
        <v>0</v>
      </c>
      <c r="J1195" t="s">
        <v>82</v>
      </c>
      <c r="K1195">
        <v>0</v>
      </c>
      <c r="L1195">
        <v>280268.28000000003</v>
      </c>
      <c r="M1195">
        <v>280268.28000000003</v>
      </c>
      <c r="N1195" t="s">
        <v>57</v>
      </c>
      <c r="O1195">
        <v>2024</v>
      </c>
    </row>
    <row r="1196" spans="1:15" x14ac:dyDescent="0.3">
      <c r="A1196" t="s">
        <v>1281</v>
      </c>
      <c r="B1196" t="s">
        <v>114</v>
      </c>
      <c r="C1196" t="s">
        <v>90</v>
      </c>
      <c r="D1196" t="s">
        <v>91</v>
      </c>
      <c r="E1196" t="s">
        <v>30</v>
      </c>
      <c r="F1196" s="1">
        <v>45783</v>
      </c>
      <c r="G1196">
        <v>8</v>
      </c>
      <c r="H1196">
        <v>1543.13</v>
      </c>
      <c r="I1196">
        <v>20</v>
      </c>
      <c r="J1196" t="s">
        <v>36</v>
      </c>
      <c r="K1196">
        <v>2469.0100000000002</v>
      </c>
      <c r="L1196">
        <v>12345.04</v>
      </c>
      <c r="M1196">
        <v>9876.0300000000007</v>
      </c>
      <c r="N1196" t="s">
        <v>101</v>
      </c>
      <c r="O1196">
        <v>2025</v>
      </c>
    </row>
    <row r="1197" spans="1:15" x14ac:dyDescent="0.3">
      <c r="A1197" t="s">
        <v>1282</v>
      </c>
      <c r="B1197" t="s">
        <v>109</v>
      </c>
      <c r="C1197" t="s">
        <v>17</v>
      </c>
      <c r="D1197" t="s">
        <v>157</v>
      </c>
      <c r="E1197" t="s">
        <v>81</v>
      </c>
      <c r="F1197" s="1">
        <v>45299</v>
      </c>
      <c r="G1197">
        <v>7</v>
      </c>
      <c r="H1197">
        <v>7529.54</v>
      </c>
      <c r="I1197">
        <v>10</v>
      </c>
      <c r="J1197" t="s">
        <v>20</v>
      </c>
      <c r="K1197">
        <v>5270.68</v>
      </c>
      <c r="L1197">
        <v>52706.78</v>
      </c>
      <c r="M1197">
        <v>47436.1</v>
      </c>
      <c r="N1197" t="s">
        <v>116</v>
      </c>
      <c r="O1197">
        <v>2024</v>
      </c>
    </row>
    <row r="1198" spans="1:15" x14ac:dyDescent="0.3">
      <c r="A1198" t="s">
        <v>1283</v>
      </c>
      <c r="B1198" t="s">
        <v>61</v>
      </c>
      <c r="C1198" t="s">
        <v>34</v>
      </c>
      <c r="D1198" t="s">
        <v>66</v>
      </c>
      <c r="E1198" t="s">
        <v>81</v>
      </c>
      <c r="F1198" s="1">
        <v>45913</v>
      </c>
      <c r="G1198">
        <v>8</v>
      </c>
      <c r="H1198">
        <v>45646.47</v>
      </c>
      <c r="I1198">
        <v>20</v>
      </c>
      <c r="J1198" t="s">
        <v>26</v>
      </c>
      <c r="K1198">
        <v>73034.350000000006</v>
      </c>
      <c r="L1198">
        <v>365171.76</v>
      </c>
      <c r="M1198">
        <v>292137.40999999997</v>
      </c>
      <c r="N1198" t="s">
        <v>86</v>
      </c>
      <c r="O1198">
        <v>2025</v>
      </c>
    </row>
    <row r="1199" spans="1:15" x14ac:dyDescent="0.3">
      <c r="A1199" t="s">
        <v>1284</v>
      </c>
      <c r="B1199" t="s">
        <v>47</v>
      </c>
      <c r="C1199" t="s">
        <v>34</v>
      </c>
      <c r="D1199" t="s">
        <v>85</v>
      </c>
      <c r="E1199" t="s">
        <v>19</v>
      </c>
      <c r="F1199" s="1">
        <v>45818</v>
      </c>
      <c r="G1199">
        <v>6</v>
      </c>
      <c r="H1199">
        <v>13657.45</v>
      </c>
      <c r="I1199">
        <v>15</v>
      </c>
      <c r="J1199" t="s">
        <v>36</v>
      </c>
      <c r="K1199">
        <v>12291.7</v>
      </c>
      <c r="L1199">
        <v>81944.7</v>
      </c>
      <c r="M1199">
        <v>69653</v>
      </c>
      <c r="N1199" t="s">
        <v>72</v>
      </c>
      <c r="O1199">
        <v>2025</v>
      </c>
    </row>
    <row r="1200" spans="1:15" x14ac:dyDescent="0.3">
      <c r="A1200" t="s">
        <v>1285</v>
      </c>
      <c r="B1200" t="s">
        <v>53</v>
      </c>
      <c r="C1200" t="s">
        <v>90</v>
      </c>
      <c r="D1200" t="s">
        <v>152</v>
      </c>
      <c r="E1200" t="s">
        <v>19</v>
      </c>
      <c r="F1200" s="1">
        <v>45638</v>
      </c>
      <c r="G1200">
        <v>4</v>
      </c>
      <c r="H1200">
        <v>12187.25</v>
      </c>
      <c r="I1200">
        <v>0</v>
      </c>
      <c r="J1200" t="s">
        <v>82</v>
      </c>
      <c r="K1200">
        <v>0</v>
      </c>
      <c r="L1200">
        <v>48749</v>
      </c>
      <c r="M1200">
        <v>48749</v>
      </c>
      <c r="N1200" t="s">
        <v>51</v>
      </c>
      <c r="O1200">
        <v>2024</v>
      </c>
    </row>
    <row r="1201" spans="1:15" x14ac:dyDescent="0.3">
      <c r="A1201" t="s">
        <v>1286</v>
      </c>
      <c r="B1201" t="s">
        <v>89</v>
      </c>
      <c r="C1201" t="s">
        <v>62</v>
      </c>
      <c r="D1201" t="s">
        <v>119</v>
      </c>
      <c r="E1201" t="s">
        <v>19</v>
      </c>
      <c r="F1201" s="1">
        <v>45510</v>
      </c>
      <c r="G1201">
        <v>1</v>
      </c>
      <c r="H1201">
        <v>3795.77</v>
      </c>
      <c r="I1201">
        <v>20</v>
      </c>
      <c r="J1201" t="s">
        <v>40</v>
      </c>
      <c r="K1201">
        <v>759.15</v>
      </c>
      <c r="L1201">
        <v>3795.77</v>
      </c>
      <c r="M1201">
        <v>3036.62</v>
      </c>
      <c r="N1201" t="s">
        <v>21</v>
      </c>
      <c r="O1201">
        <v>2024</v>
      </c>
    </row>
    <row r="1202" spans="1:15" x14ac:dyDescent="0.3">
      <c r="A1202" t="s">
        <v>1287</v>
      </c>
      <c r="B1202" t="s">
        <v>114</v>
      </c>
      <c r="C1202" t="s">
        <v>90</v>
      </c>
      <c r="D1202" t="s">
        <v>107</v>
      </c>
      <c r="E1202" t="s">
        <v>19</v>
      </c>
      <c r="F1202" s="1">
        <v>45766</v>
      </c>
      <c r="G1202">
        <v>10</v>
      </c>
      <c r="H1202">
        <v>13345.06</v>
      </c>
      <c r="I1202">
        <v>0</v>
      </c>
      <c r="J1202" t="s">
        <v>26</v>
      </c>
      <c r="K1202">
        <v>0</v>
      </c>
      <c r="L1202">
        <v>133450.6</v>
      </c>
      <c r="M1202">
        <v>133450.6</v>
      </c>
      <c r="N1202" t="s">
        <v>27</v>
      </c>
      <c r="O1202">
        <v>2025</v>
      </c>
    </row>
    <row r="1203" spans="1:15" x14ac:dyDescent="0.3">
      <c r="A1203" t="s">
        <v>1288</v>
      </c>
      <c r="B1203" t="s">
        <v>93</v>
      </c>
      <c r="C1203" t="s">
        <v>62</v>
      </c>
      <c r="D1203" t="s">
        <v>95</v>
      </c>
      <c r="E1203" t="s">
        <v>56</v>
      </c>
      <c r="F1203" s="1">
        <v>45597</v>
      </c>
      <c r="G1203">
        <v>6</v>
      </c>
      <c r="H1203">
        <v>815.58</v>
      </c>
      <c r="I1203">
        <v>10</v>
      </c>
      <c r="J1203" t="s">
        <v>45</v>
      </c>
      <c r="K1203">
        <v>489.35</v>
      </c>
      <c r="L1203">
        <v>4893.4799999999996</v>
      </c>
      <c r="M1203">
        <v>4404.13</v>
      </c>
      <c r="N1203" t="s">
        <v>96</v>
      </c>
      <c r="O1203">
        <v>2024</v>
      </c>
    </row>
    <row r="1204" spans="1:15" x14ac:dyDescent="0.3">
      <c r="A1204" t="s">
        <v>1289</v>
      </c>
      <c r="B1204" t="s">
        <v>33</v>
      </c>
      <c r="C1204" t="s">
        <v>34</v>
      </c>
      <c r="D1204" t="s">
        <v>35</v>
      </c>
      <c r="E1204" t="s">
        <v>25</v>
      </c>
      <c r="F1204" s="1">
        <v>45733</v>
      </c>
      <c r="G1204">
        <v>8</v>
      </c>
      <c r="H1204">
        <v>23734.65</v>
      </c>
      <c r="I1204">
        <v>20</v>
      </c>
      <c r="J1204" t="s">
        <v>82</v>
      </c>
      <c r="K1204">
        <v>37975.440000000002</v>
      </c>
      <c r="L1204">
        <v>189877.2</v>
      </c>
      <c r="M1204">
        <v>151901.76000000001</v>
      </c>
      <c r="N1204" t="s">
        <v>83</v>
      </c>
      <c r="O1204">
        <v>2025</v>
      </c>
    </row>
    <row r="1205" spans="1:15" x14ac:dyDescent="0.3">
      <c r="A1205" t="s">
        <v>1290</v>
      </c>
      <c r="B1205" t="s">
        <v>23</v>
      </c>
      <c r="C1205" t="s">
        <v>54</v>
      </c>
      <c r="D1205" t="s">
        <v>55</v>
      </c>
      <c r="E1205" t="s">
        <v>25</v>
      </c>
      <c r="F1205" s="1">
        <v>45299</v>
      </c>
      <c r="G1205">
        <v>3</v>
      </c>
      <c r="H1205">
        <v>1310.83</v>
      </c>
      <c r="I1205">
        <v>10</v>
      </c>
      <c r="J1205" t="s">
        <v>71</v>
      </c>
      <c r="K1205">
        <v>393.25</v>
      </c>
      <c r="L1205">
        <v>3932.49</v>
      </c>
      <c r="M1205">
        <v>3539.24</v>
      </c>
      <c r="N1205" t="s">
        <v>116</v>
      </c>
      <c r="O1205">
        <v>2024</v>
      </c>
    </row>
    <row r="1206" spans="1:15" x14ac:dyDescent="0.3">
      <c r="A1206" t="s">
        <v>1291</v>
      </c>
      <c r="B1206" t="s">
        <v>23</v>
      </c>
      <c r="C1206" t="s">
        <v>34</v>
      </c>
      <c r="D1206" t="s">
        <v>35</v>
      </c>
      <c r="E1206" t="s">
        <v>19</v>
      </c>
      <c r="F1206" s="1">
        <v>45665</v>
      </c>
      <c r="G1206">
        <v>7</v>
      </c>
      <c r="H1206">
        <v>28076.21</v>
      </c>
      <c r="I1206">
        <v>20</v>
      </c>
      <c r="J1206" t="s">
        <v>40</v>
      </c>
      <c r="K1206">
        <v>39306.69</v>
      </c>
      <c r="L1206">
        <v>196533.47</v>
      </c>
      <c r="M1206">
        <v>157226.78</v>
      </c>
      <c r="N1206" t="s">
        <v>116</v>
      </c>
      <c r="O1206">
        <v>2025</v>
      </c>
    </row>
    <row r="1207" spans="1:15" x14ac:dyDescent="0.3">
      <c r="A1207" t="s">
        <v>1292</v>
      </c>
      <c r="B1207" t="s">
        <v>89</v>
      </c>
      <c r="C1207" t="s">
        <v>62</v>
      </c>
      <c r="D1207" t="s">
        <v>95</v>
      </c>
      <c r="E1207" t="s">
        <v>30</v>
      </c>
      <c r="F1207" s="1">
        <v>45457</v>
      </c>
      <c r="G1207">
        <v>3</v>
      </c>
      <c r="H1207">
        <v>790.75</v>
      </c>
      <c r="I1207">
        <v>15</v>
      </c>
      <c r="J1207" t="s">
        <v>71</v>
      </c>
      <c r="K1207">
        <v>355.84</v>
      </c>
      <c r="L1207">
        <v>2372.25</v>
      </c>
      <c r="M1207">
        <v>2016.41</v>
      </c>
      <c r="N1207" t="s">
        <v>72</v>
      </c>
      <c r="O1207">
        <v>2024</v>
      </c>
    </row>
    <row r="1208" spans="1:15" x14ac:dyDescent="0.3">
      <c r="A1208" t="s">
        <v>1293</v>
      </c>
      <c r="B1208" t="s">
        <v>114</v>
      </c>
      <c r="C1208" t="s">
        <v>17</v>
      </c>
      <c r="D1208" t="s">
        <v>39</v>
      </c>
      <c r="E1208" t="s">
        <v>44</v>
      </c>
      <c r="F1208" s="1">
        <v>45405</v>
      </c>
      <c r="G1208">
        <v>4</v>
      </c>
      <c r="H1208">
        <v>17482.05</v>
      </c>
      <c r="I1208">
        <v>5</v>
      </c>
      <c r="J1208" t="s">
        <v>20</v>
      </c>
      <c r="K1208">
        <v>3496.41</v>
      </c>
      <c r="L1208">
        <v>69928.2</v>
      </c>
      <c r="M1208">
        <v>66431.789999999994</v>
      </c>
      <c r="N1208" t="s">
        <v>27</v>
      </c>
      <c r="O1208">
        <v>2024</v>
      </c>
    </row>
    <row r="1209" spans="1:15" x14ac:dyDescent="0.3">
      <c r="A1209" t="s">
        <v>1294</v>
      </c>
      <c r="B1209" t="s">
        <v>16</v>
      </c>
      <c r="C1209" t="s">
        <v>90</v>
      </c>
      <c r="D1209" t="s">
        <v>152</v>
      </c>
      <c r="E1209" t="s">
        <v>19</v>
      </c>
      <c r="F1209" s="1">
        <v>45456</v>
      </c>
      <c r="G1209">
        <v>4</v>
      </c>
      <c r="H1209">
        <v>11370.94</v>
      </c>
      <c r="I1209">
        <v>10</v>
      </c>
      <c r="J1209" t="s">
        <v>26</v>
      </c>
      <c r="K1209">
        <v>4548.38</v>
      </c>
      <c r="L1209">
        <v>45483.76</v>
      </c>
      <c r="M1209">
        <v>40935.379999999997</v>
      </c>
      <c r="N1209" t="s">
        <v>72</v>
      </c>
      <c r="O1209">
        <v>2024</v>
      </c>
    </row>
    <row r="1210" spans="1:15" x14ac:dyDescent="0.3">
      <c r="A1210" t="s">
        <v>1295</v>
      </c>
      <c r="B1210" t="s">
        <v>89</v>
      </c>
      <c r="C1210" t="s">
        <v>17</v>
      </c>
      <c r="D1210" t="s">
        <v>157</v>
      </c>
      <c r="E1210" t="s">
        <v>81</v>
      </c>
      <c r="F1210" s="1">
        <v>45990</v>
      </c>
      <c r="G1210">
        <v>3</v>
      </c>
      <c r="H1210">
        <v>7555.41</v>
      </c>
      <c r="I1210">
        <v>15</v>
      </c>
      <c r="J1210" t="s">
        <v>71</v>
      </c>
      <c r="K1210">
        <v>3399.93</v>
      </c>
      <c r="L1210">
        <v>22666.23</v>
      </c>
      <c r="M1210">
        <v>19266.3</v>
      </c>
      <c r="N1210" t="s">
        <v>96</v>
      </c>
      <c r="O1210">
        <v>2025</v>
      </c>
    </row>
    <row r="1211" spans="1:15" x14ac:dyDescent="0.3">
      <c r="A1211" t="s">
        <v>1296</v>
      </c>
      <c r="B1211" t="s">
        <v>53</v>
      </c>
      <c r="C1211" t="s">
        <v>54</v>
      </c>
      <c r="D1211" t="s">
        <v>68</v>
      </c>
      <c r="E1211" t="s">
        <v>25</v>
      </c>
      <c r="F1211" s="1">
        <v>45313</v>
      </c>
      <c r="G1211">
        <v>3</v>
      </c>
      <c r="H1211">
        <v>4224.9799999999996</v>
      </c>
      <c r="I1211">
        <v>20</v>
      </c>
      <c r="J1211" t="s">
        <v>82</v>
      </c>
      <c r="K1211">
        <v>2534.9899999999998</v>
      </c>
      <c r="L1211">
        <v>12674.94</v>
      </c>
      <c r="M1211">
        <v>10139.950000000001</v>
      </c>
      <c r="N1211" t="s">
        <v>116</v>
      </c>
      <c r="O1211">
        <v>2024</v>
      </c>
    </row>
    <row r="1212" spans="1:15" x14ac:dyDescent="0.3">
      <c r="A1212" t="s">
        <v>1297</v>
      </c>
      <c r="B1212" t="s">
        <v>109</v>
      </c>
      <c r="C1212" t="s">
        <v>17</v>
      </c>
      <c r="D1212" t="s">
        <v>59</v>
      </c>
      <c r="E1212" t="s">
        <v>30</v>
      </c>
      <c r="F1212" s="1">
        <v>45731</v>
      </c>
      <c r="G1212">
        <v>10</v>
      </c>
      <c r="H1212">
        <v>27108.95</v>
      </c>
      <c r="I1212">
        <v>15</v>
      </c>
      <c r="J1212" t="s">
        <v>45</v>
      </c>
      <c r="K1212">
        <v>40663.42</v>
      </c>
      <c r="L1212">
        <v>271089.5</v>
      </c>
      <c r="M1212">
        <v>230426.08</v>
      </c>
      <c r="N1212" t="s">
        <v>83</v>
      </c>
      <c r="O1212">
        <v>2025</v>
      </c>
    </row>
    <row r="1213" spans="1:15" x14ac:dyDescent="0.3">
      <c r="A1213" t="s">
        <v>1298</v>
      </c>
      <c r="B1213" t="s">
        <v>43</v>
      </c>
      <c r="C1213" t="s">
        <v>90</v>
      </c>
      <c r="D1213" t="s">
        <v>115</v>
      </c>
      <c r="E1213" t="s">
        <v>56</v>
      </c>
      <c r="F1213" s="1">
        <v>45731</v>
      </c>
      <c r="G1213">
        <v>4</v>
      </c>
      <c r="H1213">
        <v>8435.23</v>
      </c>
      <c r="I1213">
        <v>20</v>
      </c>
      <c r="J1213" t="s">
        <v>82</v>
      </c>
      <c r="K1213">
        <v>6748.18</v>
      </c>
      <c r="L1213">
        <v>33740.92</v>
      </c>
      <c r="M1213">
        <v>26992.74</v>
      </c>
      <c r="N1213" t="s">
        <v>83</v>
      </c>
      <c r="O1213">
        <v>2025</v>
      </c>
    </row>
    <row r="1214" spans="1:15" x14ac:dyDescent="0.3">
      <c r="A1214" t="s">
        <v>1299</v>
      </c>
      <c r="B1214" t="s">
        <v>43</v>
      </c>
      <c r="C1214" t="s">
        <v>34</v>
      </c>
      <c r="D1214" t="s">
        <v>85</v>
      </c>
      <c r="E1214" t="s">
        <v>44</v>
      </c>
      <c r="F1214" s="1">
        <v>45561</v>
      </c>
      <c r="G1214">
        <v>4</v>
      </c>
      <c r="H1214">
        <v>12798.99</v>
      </c>
      <c r="I1214">
        <v>15</v>
      </c>
      <c r="J1214" t="s">
        <v>82</v>
      </c>
      <c r="K1214">
        <v>7679.39</v>
      </c>
      <c r="L1214">
        <v>51195.96</v>
      </c>
      <c r="M1214">
        <v>43516.57</v>
      </c>
      <c r="N1214" t="s">
        <v>86</v>
      </c>
      <c r="O1214">
        <v>2024</v>
      </c>
    </row>
    <row r="1215" spans="1:15" x14ac:dyDescent="0.3">
      <c r="A1215" t="s">
        <v>1300</v>
      </c>
      <c r="B1215" t="s">
        <v>16</v>
      </c>
      <c r="C1215" t="s">
        <v>34</v>
      </c>
      <c r="D1215" t="s">
        <v>35</v>
      </c>
      <c r="E1215" t="s">
        <v>44</v>
      </c>
      <c r="F1215" s="1">
        <v>46009</v>
      </c>
      <c r="G1215">
        <v>9</v>
      </c>
      <c r="H1215">
        <v>28951.32</v>
      </c>
      <c r="I1215">
        <v>5</v>
      </c>
      <c r="J1215" t="s">
        <v>82</v>
      </c>
      <c r="K1215">
        <v>13028.09</v>
      </c>
      <c r="L1215">
        <v>260561.88</v>
      </c>
      <c r="M1215">
        <v>247533.79</v>
      </c>
      <c r="N1215" t="s">
        <v>51</v>
      </c>
      <c r="O1215">
        <v>2025</v>
      </c>
    </row>
    <row r="1216" spans="1:15" x14ac:dyDescent="0.3">
      <c r="A1216" t="s">
        <v>1301</v>
      </c>
      <c r="B1216" t="s">
        <v>29</v>
      </c>
      <c r="C1216" t="s">
        <v>54</v>
      </c>
      <c r="D1216" t="s">
        <v>55</v>
      </c>
      <c r="E1216" t="s">
        <v>25</v>
      </c>
      <c r="F1216" s="1">
        <v>45702</v>
      </c>
      <c r="G1216">
        <v>1</v>
      </c>
      <c r="H1216">
        <v>1162.1600000000001</v>
      </c>
      <c r="I1216">
        <v>5</v>
      </c>
      <c r="J1216" t="s">
        <v>36</v>
      </c>
      <c r="K1216">
        <v>58.11</v>
      </c>
      <c r="L1216">
        <v>1162.1600000000001</v>
      </c>
      <c r="M1216">
        <v>1104.05</v>
      </c>
      <c r="N1216" t="s">
        <v>41</v>
      </c>
      <c r="O1216">
        <v>2025</v>
      </c>
    </row>
    <row r="1217" spans="1:15" x14ac:dyDescent="0.3">
      <c r="A1217" t="s">
        <v>1302</v>
      </c>
      <c r="B1217" t="s">
        <v>109</v>
      </c>
      <c r="C1217" t="s">
        <v>34</v>
      </c>
      <c r="D1217" t="s">
        <v>35</v>
      </c>
      <c r="E1217" t="s">
        <v>81</v>
      </c>
      <c r="F1217" s="1">
        <v>45385</v>
      </c>
      <c r="G1217">
        <v>1</v>
      </c>
      <c r="H1217">
        <v>24877.200000000001</v>
      </c>
      <c r="I1217">
        <v>20</v>
      </c>
      <c r="J1217" t="s">
        <v>20</v>
      </c>
      <c r="K1217">
        <v>4975.4399999999996</v>
      </c>
      <c r="L1217">
        <v>24877.200000000001</v>
      </c>
      <c r="M1217">
        <v>19901.759999999998</v>
      </c>
      <c r="N1217" t="s">
        <v>27</v>
      </c>
      <c r="O1217">
        <v>2024</v>
      </c>
    </row>
    <row r="1218" spans="1:15" x14ac:dyDescent="0.3">
      <c r="A1218" t="s">
        <v>1303</v>
      </c>
      <c r="B1218" t="s">
        <v>29</v>
      </c>
      <c r="C1218" t="s">
        <v>62</v>
      </c>
      <c r="D1218" t="s">
        <v>63</v>
      </c>
      <c r="E1218" t="s">
        <v>19</v>
      </c>
      <c r="F1218" s="1">
        <v>45782</v>
      </c>
      <c r="G1218">
        <v>1</v>
      </c>
      <c r="H1218">
        <v>1849.44</v>
      </c>
      <c r="I1218">
        <v>0</v>
      </c>
      <c r="J1218" t="s">
        <v>31</v>
      </c>
      <c r="K1218">
        <v>0</v>
      </c>
      <c r="L1218">
        <v>1849.44</v>
      </c>
      <c r="M1218">
        <v>1849.44</v>
      </c>
      <c r="N1218" t="s">
        <v>101</v>
      </c>
      <c r="O1218">
        <v>2025</v>
      </c>
    </row>
    <row r="1219" spans="1:15" x14ac:dyDescent="0.3">
      <c r="A1219" t="s">
        <v>1304</v>
      </c>
      <c r="B1219" t="s">
        <v>43</v>
      </c>
      <c r="C1219" t="s">
        <v>62</v>
      </c>
      <c r="D1219" t="s">
        <v>95</v>
      </c>
      <c r="E1219" t="s">
        <v>19</v>
      </c>
      <c r="F1219" s="1">
        <v>45651</v>
      </c>
      <c r="G1219">
        <v>7</v>
      </c>
      <c r="H1219">
        <v>846.33</v>
      </c>
      <c r="I1219">
        <v>0</v>
      </c>
      <c r="J1219" t="s">
        <v>40</v>
      </c>
      <c r="K1219">
        <v>0</v>
      </c>
      <c r="L1219">
        <v>5924.31</v>
      </c>
      <c r="M1219">
        <v>5924.31</v>
      </c>
      <c r="N1219" t="s">
        <v>51</v>
      </c>
      <c r="O1219">
        <v>2024</v>
      </c>
    </row>
    <row r="1220" spans="1:15" x14ac:dyDescent="0.3">
      <c r="A1220" t="s">
        <v>1305</v>
      </c>
      <c r="B1220" t="s">
        <v>109</v>
      </c>
      <c r="C1220" t="s">
        <v>34</v>
      </c>
      <c r="D1220" t="s">
        <v>80</v>
      </c>
      <c r="E1220" t="s">
        <v>25</v>
      </c>
      <c r="F1220" s="1">
        <v>45509</v>
      </c>
      <c r="G1220">
        <v>5</v>
      </c>
      <c r="H1220">
        <v>6108.09</v>
      </c>
      <c r="I1220">
        <v>20</v>
      </c>
      <c r="J1220" t="s">
        <v>45</v>
      </c>
      <c r="K1220">
        <v>6108.09</v>
      </c>
      <c r="L1220">
        <v>30540.45</v>
      </c>
      <c r="M1220">
        <v>24432.36</v>
      </c>
      <c r="N1220" t="s">
        <v>21</v>
      </c>
      <c r="O1220">
        <v>2024</v>
      </c>
    </row>
    <row r="1221" spans="1:15" x14ac:dyDescent="0.3">
      <c r="A1221" t="s">
        <v>1306</v>
      </c>
      <c r="B1221" t="s">
        <v>53</v>
      </c>
      <c r="C1221" t="s">
        <v>17</v>
      </c>
      <c r="D1221" t="s">
        <v>157</v>
      </c>
      <c r="E1221" t="s">
        <v>19</v>
      </c>
      <c r="F1221" s="1">
        <v>45664</v>
      </c>
      <c r="G1221">
        <v>6</v>
      </c>
      <c r="H1221">
        <v>6832.62</v>
      </c>
      <c r="I1221">
        <v>0</v>
      </c>
      <c r="J1221" t="s">
        <v>71</v>
      </c>
      <c r="K1221">
        <v>0</v>
      </c>
      <c r="L1221">
        <v>40995.72</v>
      </c>
      <c r="M1221">
        <v>40995.72</v>
      </c>
      <c r="N1221" t="s">
        <v>116</v>
      </c>
      <c r="O1221">
        <v>2025</v>
      </c>
    </row>
    <row r="1222" spans="1:15" x14ac:dyDescent="0.3">
      <c r="A1222" t="s">
        <v>1307</v>
      </c>
      <c r="B1222" t="s">
        <v>74</v>
      </c>
      <c r="C1222" t="s">
        <v>17</v>
      </c>
      <c r="D1222" t="s">
        <v>24</v>
      </c>
      <c r="E1222" t="s">
        <v>44</v>
      </c>
      <c r="F1222" s="1">
        <v>45631</v>
      </c>
      <c r="G1222">
        <v>6</v>
      </c>
      <c r="H1222">
        <v>3581.57</v>
      </c>
      <c r="I1222">
        <v>10</v>
      </c>
      <c r="J1222" t="s">
        <v>36</v>
      </c>
      <c r="K1222">
        <v>2148.94</v>
      </c>
      <c r="L1222">
        <v>21489.42</v>
      </c>
      <c r="M1222">
        <v>19340.48</v>
      </c>
      <c r="N1222" t="s">
        <v>51</v>
      </c>
      <c r="O1222">
        <v>2024</v>
      </c>
    </row>
    <row r="1223" spans="1:15" x14ac:dyDescent="0.3">
      <c r="A1223" t="s">
        <v>1308</v>
      </c>
      <c r="B1223" t="s">
        <v>93</v>
      </c>
      <c r="C1223" t="s">
        <v>54</v>
      </c>
      <c r="D1223" t="s">
        <v>77</v>
      </c>
      <c r="E1223" t="s">
        <v>19</v>
      </c>
      <c r="F1223" s="1">
        <v>45957</v>
      </c>
      <c r="G1223">
        <v>5</v>
      </c>
      <c r="H1223">
        <v>5238.8</v>
      </c>
      <c r="I1223">
        <v>15</v>
      </c>
      <c r="J1223" t="s">
        <v>20</v>
      </c>
      <c r="K1223">
        <v>3929.1</v>
      </c>
      <c r="L1223">
        <v>26194</v>
      </c>
      <c r="M1223">
        <v>22264.9</v>
      </c>
      <c r="N1223" t="s">
        <v>57</v>
      </c>
      <c r="O1223">
        <v>2025</v>
      </c>
    </row>
    <row r="1224" spans="1:15" x14ac:dyDescent="0.3">
      <c r="A1224" t="s">
        <v>1309</v>
      </c>
      <c r="B1224" t="s">
        <v>53</v>
      </c>
      <c r="C1224" t="s">
        <v>17</v>
      </c>
      <c r="D1224" t="s">
        <v>18</v>
      </c>
      <c r="E1224" t="s">
        <v>30</v>
      </c>
      <c r="F1224" s="1">
        <v>45334</v>
      </c>
      <c r="G1224">
        <v>10</v>
      </c>
      <c r="H1224">
        <v>74235.37</v>
      </c>
      <c r="I1224">
        <v>5</v>
      </c>
      <c r="J1224" t="s">
        <v>82</v>
      </c>
      <c r="K1224">
        <v>37117.68</v>
      </c>
      <c r="L1224">
        <v>742353.7</v>
      </c>
      <c r="M1224">
        <v>705236.02</v>
      </c>
      <c r="N1224" t="s">
        <v>41</v>
      </c>
      <c r="O1224">
        <v>2024</v>
      </c>
    </row>
    <row r="1225" spans="1:15" x14ac:dyDescent="0.3">
      <c r="A1225" t="s">
        <v>1310</v>
      </c>
      <c r="B1225" t="s">
        <v>114</v>
      </c>
      <c r="C1225" t="s">
        <v>34</v>
      </c>
      <c r="D1225" t="s">
        <v>35</v>
      </c>
      <c r="E1225" t="s">
        <v>25</v>
      </c>
      <c r="F1225" s="1">
        <v>45851</v>
      </c>
      <c r="G1225">
        <v>10</v>
      </c>
      <c r="H1225">
        <v>24643.11</v>
      </c>
      <c r="I1225">
        <v>15</v>
      </c>
      <c r="J1225" t="s">
        <v>82</v>
      </c>
      <c r="K1225">
        <v>36964.67</v>
      </c>
      <c r="L1225">
        <v>246431.1</v>
      </c>
      <c r="M1225">
        <v>209466.43</v>
      </c>
      <c r="N1225" t="s">
        <v>122</v>
      </c>
      <c r="O1225">
        <v>2025</v>
      </c>
    </row>
    <row r="1226" spans="1:15" x14ac:dyDescent="0.3">
      <c r="A1226" t="s">
        <v>1311</v>
      </c>
      <c r="B1226" t="s">
        <v>16</v>
      </c>
      <c r="C1226" t="s">
        <v>34</v>
      </c>
      <c r="D1226" t="s">
        <v>66</v>
      </c>
      <c r="E1226" t="s">
        <v>50</v>
      </c>
      <c r="F1226" s="1">
        <v>45422</v>
      </c>
      <c r="G1226">
        <v>4</v>
      </c>
      <c r="H1226">
        <v>40182.129999999997</v>
      </c>
      <c r="I1226">
        <v>10</v>
      </c>
      <c r="J1226" t="s">
        <v>26</v>
      </c>
      <c r="K1226">
        <v>16072.85</v>
      </c>
      <c r="L1226">
        <v>160728.51999999999</v>
      </c>
      <c r="M1226">
        <v>144655.67000000001</v>
      </c>
      <c r="N1226" t="s">
        <v>101</v>
      </c>
      <c r="O1226">
        <v>2024</v>
      </c>
    </row>
    <row r="1227" spans="1:15" x14ac:dyDescent="0.3">
      <c r="A1227" t="s">
        <v>1312</v>
      </c>
      <c r="B1227" t="s">
        <v>114</v>
      </c>
      <c r="C1227" t="s">
        <v>54</v>
      </c>
      <c r="D1227" t="s">
        <v>137</v>
      </c>
      <c r="E1227" t="s">
        <v>19</v>
      </c>
      <c r="F1227" s="1">
        <v>45936</v>
      </c>
      <c r="G1227">
        <v>2</v>
      </c>
      <c r="H1227">
        <v>1116.44</v>
      </c>
      <c r="I1227">
        <v>0</v>
      </c>
      <c r="J1227" t="s">
        <v>71</v>
      </c>
      <c r="K1227">
        <v>0</v>
      </c>
      <c r="L1227">
        <v>2232.88</v>
      </c>
      <c r="M1227">
        <v>2232.88</v>
      </c>
      <c r="N1227" t="s">
        <v>57</v>
      </c>
      <c r="O1227">
        <v>2025</v>
      </c>
    </row>
    <row r="1228" spans="1:15" x14ac:dyDescent="0.3">
      <c r="A1228" t="s">
        <v>1313</v>
      </c>
      <c r="B1228" t="s">
        <v>65</v>
      </c>
      <c r="C1228" t="s">
        <v>90</v>
      </c>
      <c r="D1228" t="s">
        <v>152</v>
      </c>
      <c r="E1228" t="s">
        <v>81</v>
      </c>
      <c r="F1228" s="1">
        <v>45462</v>
      </c>
      <c r="G1228">
        <v>10</v>
      </c>
      <c r="H1228">
        <v>9685.3700000000008</v>
      </c>
      <c r="I1228">
        <v>5</v>
      </c>
      <c r="J1228" t="s">
        <v>26</v>
      </c>
      <c r="K1228">
        <v>4842.6899999999996</v>
      </c>
      <c r="L1228">
        <v>96853.7</v>
      </c>
      <c r="M1228">
        <v>92011.01</v>
      </c>
      <c r="N1228" t="s">
        <v>72</v>
      </c>
      <c r="O1228">
        <v>2024</v>
      </c>
    </row>
    <row r="1229" spans="1:15" x14ac:dyDescent="0.3">
      <c r="A1229" t="s">
        <v>1314</v>
      </c>
      <c r="B1229" t="s">
        <v>93</v>
      </c>
      <c r="C1229" t="s">
        <v>62</v>
      </c>
      <c r="D1229" t="s">
        <v>95</v>
      </c>
      <c r="E1229" t="s">
        <v>25</v>
      </c>
      <c r="F1229" s="1">
        <v>45699</v>
      </c>
      <c r="G1229">
        <v>8</v>
      </c>
      <c r="H1229">
        <v>856.94</v>
      </c>
      <c r="I1229">
        <v>20</v>
      </c>
      <c r="J1229" t="s">
        <v>20</v>
      </c>
      <c r="K1229">
        <v>1371.1</v>
      </c>
      <c r="L1229">
        <v>6855.52</v>
      </c>
      <c r="M1229">
        <v>5484.42</v>
      </c>
      <c r="N1229" t="s">
        <v>41</v>
      </c>
      <c r="O1229">
        <v>2025</v>
      </c>
    </row>
    <row r="1230" spans="1:15" x14ac:dyDescent="0.3">
      <c r="A1230" t="s">
        <v>1315</v>
      </c>
      <c r="B1230" t="s">
        <v>89</v>
      </c>
      <c r="C1230" t="s">
        <v>17</v>
      </c>
      <c r="D1230" t="s">
        <v>59</v>
      </c>
      <c r="E1230" t="s">
        <v>44</v>
      </c>
      <c r="F1230" s="1">
        <v>45867</v>
      </c>
      <c r="G1230">
        <v>7</v>
      </c>
      <c r="H1230">
        <v>25005.31</v>
      </c>
      <c r="I1230">
        <v>10</v>
      </c>
      <c r="J1230" t="s">
        <v>31</v>
      </c>
      <c r="K1230">
        <v>17503.72</v>
      </c>
      <c r="L1230">
        <v>175037.17</v>
      </c>
      <c r="M1230">
        <v>157533.45000000001</v>
      </c>
      <c r="N1230" t="s">
        <v>122</v>
      </c>
      <c r="O1230">
        <v>2025</v>
      </c>
    </row>
    <row r="1231" spans="1:15" x14ac:dyDescent="0.3">
      <c r="A1231" t="s">
        <v>1316</v>
      </c>
      <c r="B1231" t="s">
        <v>109</v>
      </c>
      <c r="C1231" t="s">
        <v>34</v>
      </c>
      <c r="D1231" t="s">
        <v>85</v>
      </c>
      <c r="E1231" t="s">
        <v>50</v>
      </c>
      <c r="F1231" s="1">
        <v>45898</v>
      </c>
      <c r="G1231">
        <v>1</v>
      </c>
      <c r="H1231">
        <v>13437.47</v>
      </c>
      <c r="I1231">
        <v>20</v>
      </c>
      <c r="J1231" t="s">
        <v>20</v>
      </c>
      <c r="K1231">
        <v>2687.49</v>
      </c>
      <c r="L1231">
        <v>13437.47</v>
      </c>
      <c r="M1231">
        <v>10749.98</v>
      </c>
      <c r="N1231" t="s">
        <v>21</v>
      </c>
      <c r="O1231">
        <v>2025</v>
      </c>
    </row>
    <row r="1232" spans="1:15" x14ac:dyDescent="0.3">
      <c r="A1232" t="s">
        <v>1317</v>
      </c>
      <c r="B1232" t="s">
        <v>16</v>
      </c>
      <c r="C1232" t="s">
        <v>90</v>
      </c>
      <c r="D1232" t="s">
        <v>91</v>
      </c>
      <c r="E1232" t="s">
        <v>30</v>
      </c>
      <c r="F1232" s="1">
        <v>45602</v>
      </c>
      <c r="G1232">
        <v>4</v>
      </c>
      <c r="H1232">
        <v>1607.25</v>
      </c>
      <c r="I1232">
        <v>10</v>
      </c>
      <c r="J1232" t="s">
        <v>40</v>
      </c>
      <c r="K1232">
        <v>642.9</v>
      </c>
      <c r="L1232">
        <v>6429</v>
      </c>
      <c r="M1232">
        <v>5786.1</v>
      </c>
      <c r="N1232" t="s">
        <v>96</v>
      </c>
      <c r="O1232">
        <v>2024</v>
      </c>
    </row>
    <row r="1233" spans="1:15" x14ac:dyDescent="0.3">
      <c r="A1233" t="s">
        <v>1318</v>
      </c>
      <c r="B1233" t="s">
        <v>53</v>
      </c>
      <c r="C1233" t="s">
        <v>54</v>
      </c>
      <c r="D1233" t="s">
        <v>70</v>
      </c>
      <c r="E1233" t="s">
        <v>50</v>
      </c>
      <c r="F1233" s="1">
        <v>45838</v>
      </c>
      <c r="G1233">
        <v>4</v>
      </c>
      <c r="H1233">
        <v>2432.4</v>
      </c>
      <c r="I1233">
        <v>5</v>
      </c>
      <c r="J1233" t="s">
        <v>26</v>
      </c>
      <c r="K1233">
        <v>486.48</v>
      </c>
      <c r="L1233">
        <v>9729.6</v>
      </c>
      <c r="M1233">
        <v>9243.1200000000008</v>
      </c>
      <c r="N1233" t="s">
        <v>72</v>
      </c>
      <c r="O1233">
        <v>2025</v>
      </c>
    </row>
    <row r="1234" spans="1:15" x14ac:dyDescent="0.3">
      <c r="A1234" t="s">
        <v>1319</v>
      </c>
      <c r="B1234" t="s">
        <v>43</v>
      </c>
      <c r="C1234" t="s">
        <v>62</v>
      </c>
      <c r="D1234" t="s">
        <v>63</v>
      </c>
      <c r="E1234" t="s">
        <v>44</v>
      </c>
      <c r="F1234" s="1">
        <v>45949</v>
      </c>
      <c r="G1234">
        <v>4</v>
      </c>
      <c r="H1234">
        <v>2271.8200000000002</v>
      </c>
      <c r="I1234">
        <v>5</v>
      </c>
      <c r="J1234" t="s">
        <v>26</v>
      </c>
      <c r="K1234">
        <v>454.36</v>
      </c>
      <c r="L1234">
        <v>9087.2800000000007</v>
      </c>
      <c r="M1234">
        <v>8632.92</v>
      </c>
      <c r="N1234" t="s">
        <v>57</v>
      </c>
      <c r="O1234">
        <v>2025</v>
      </c>
    </row>
    <row r="1235" spans="1:15" x14ac:dyDescent="0.3">
      <c r="A1235" t="s">
        <v>1320</v>
      </c>
      <c r="B1235" t="s">
        <v>109</v>
      </c>
      <c r="C1235" t="s">
        <v>54</v>
      </c>
      <c r="D1235" t="s">
        <v>70</v>
      </c>
      <c r="E1235" t="s">
        <v>30</v>
      </c>
      <c r="F1235" s="1">
        <v>45939</v>
      </c>
      <c r="G1235">
        <v>10</v>
      </c>
      <c r="H1235">
        <v>3143.4</v>
      </c>
      <c r="I1235">
        <v>10</v>
      </c>
      <c r="J1235" t="s">
        <v>45</v>
      </c>
      <c r="K1235">
        <v>3143.4</v>
      </c>
      <c r="L1235">
        <v>31434</v>
      </c>
      <c r="M1235">
        <v>28290.6</v>
      </c>
      <c r="N1235" t="s">
        <v>57</v>
      </c>
      <c r="O1235">
        <v>2025</v>
      </c>
    </row>
    <row r="1236" spans="1:15" x14ac:dyDescent="0.3">
      <c r="A1236" t="s">
        <v>1321</v>
      </c>
      <c r="B1236" t="s">
        <v>43</v>
      </c>
      <c r="C1236" t="s">
        <v>17</v>
      </c>
      <c r="D1236" t="s">
        <v>24</v>
      </c>
      <c r="E1236" t="s">
        <v>30</v>
      </c>
      <c r="F1236" s="1">
        <v>45710</v>
      </c>
      <c r="G1236">
        <v>10</v>
      </c>
      <c r="H1236">
        <v>2921.17</v>
      </c>
      <c r="I1236">
        <v>0</v>
      </c>
      <c r="J1236" t="s">
        <v>36</v>
      </c>
      <c r="K1236">
        <v>0</v>
      </c>
      <c r="L1236">
        <v>29211.7</v>
      </c>
      <c r="M1236">
        <v>29211.7</v>
      </c>
      <c r="N1236" t="s">
        <v>41</v>
      </c>
      <c r="O1236">
        <v>2025</v>
      </c>
    </row>
    <row r="1237" spans="1:15" x14ac:dyDescent="0.3">
      <c r="A1237" t="s">
        <v>1322</v>
      </c>
      <c r="B1237" t="s">
        <v>29</v>
      </c>
      <c r="C1237" t="s">
        <v>17</v>
      </c>
      <c r="D1237" t="s">
        <v>39</v>
      </c>
      <c r="E1237" t="s">
        <v>30</v>
      </c>
      <c r="F1237" s="1">
        <v>45472</v>
      </c>
      <c r="G1237">
        <v>5</v>
      </c>
      <c r="H1237">
        <v>20572.22</v>
      </c>
      <c r="I1237">
        <v>20</v>
      </c>
      <c r="J1237" t="s">
        <v>40</v>
      </c>
      <c r="K1237">
        <v>20572.22</v>
      </c>
      <c r="L1237">
        <v>102861.1</v>
      </c>
      <c r="M1237">
        <v>82288.88</v>
      </c>
      <c r="N1237" t="s">
        <v>72</v>
      </c>
      <c r="O1237">
        <v>2024</v>
      </c>
    </row>
    <row r="1238" spans="1:15" x14ac:dyDescent="0.3">
      <c r="A1238" t="s">
        <v>1323</v>
      </c>
      <c r="B1238" t="s">
        <v>16</v>
      </c>
      <c r="C1238" t="s">
        <v>54</v>
      </c>
      <c r="D1238" t="s">
        <v>70</v>
      </c>
      <c r="E1238" t="s">
        <v>30</v>
      </c>
      <c r="F1238" s="1">
        <v>45961</v>
      </c>
      <c r="G1238">
        <v>5</v>
      </c>
      <c r="H1238">
        <v>3073.14</v>
      </c>
      <c r="I1238">
        <v>20</v>
      </c>
      <c r="J1238" t="s">
        <v>31</v>
      </c>
      <c r="K1238">
        <v>3073.14</v>
      </c>
      <c r="L1238">
        <v>15365.7</v>
      </c>
      <c r="M1238">
        <v>12292.56</v>
      </c>
      <c r="N1238" t="s">
        <v>57</v>
      </c>
      <c r="O1238">
        <v>2025</v>
      </c>
    </row>
    <row r="1239" spans="1:15" x14ac:dyDescent="0.3">
      <c r="A1239" t="s">
        <v>1324</v>
      </c>
      <c r="B1239" t="s">
        <v>38</v>
      </c>
      <c r="C1239" t="s">
        <v>54</v>
      </c>
      <c r="D1239" t="s">
        <v>55</v>
      </c>
      <c r="E1239" t="s">
        <v>56</v>
      </c>
      <c r="F1239" s="1">
        <v>45624</v>
      </c>
      <c r="G1239">
        <v>5</v>
      </c>
      <c r="H1239">
        <v>1255.29</v>
      </c>
      <c r="I1239">
        <v>15</v>
      </c>
      <c r="J1239" t="s">
        <v>20</v>
      </c>
      <c r="K1239">
        <v>941.47</v>
      </c>
      <c r="L1239">
        <v>6276.45</v>
      </c>
      <c r="M1239">
        <v>5334.98</v>
      </c>
      <c r="N1239" t="s">
        <v>96</v>
      </c>
      <c r="O1239">
        <v>2024</v>
      </c>
    </row>
    <row r="1240" spans="1:15" x14ac:dyDescent="0.3">
      <c r="A1240" t="s">
        <v>1325</v>
      </c>
      <c r="B1240" t="s">
        <v>29</v>
      </c>
      <c r="C1240" t="s">
        <v>34</v>
      </c>
      <c r="D1240" t="s">
        <v>35</v>
      </c>
      <c r="E1240" t="s">
        <v>30</v>
      </c>
      <c r="F1240" s="1">
        <v>45669</v>
      </c>
      <c r="G1240">
        <v>3</v>
      </c>
      <c r="H1240">
        <v>28138.55</v>
      </c>
      <c r="I1240">
        <v>0</v>
      </c>
      <c r="J1240" t="s">
        <v>31</v>
      </c>
      <c r="K1240">
        <v>0</v>
      </c>
      <c r="L1240">
        <v>84415.65</v>
      </c>
      <c r="M1240">
        <v>84415.65</v>
      </c>
      <c r="N1240" t="s">
        <v>116</v>
      </c>
      <c r="O1240">
        <v>2025</v>
      </c>
    </row>
    <row r="1241" spans="1:15" x14ac:dyDescent="0.3">
      <c r="A1241" t="s">
        <v>1326</v>
      </c>
      <c r="B1241" t="s">
        <v>89</v>
      </c>
      <c r="C1241" t="s">
        <v>90</v>
      </c>
      <c r="D1241" t="s">
        <v>107</v>
      </c>
      <c r="E1241" t="s">
        <v>50</v>
      </c>
      <c r="F1241" s="1">
        <v>45485</v>
      </c>
      <c r="G1241">
        <v>10</v>
      </c>
      <c r="H1241">
        <v>12271.56</v>
      </c>
      <c r="I1241">
        <v>5</v>
      </c>
      <c r="J1241" t="s">
        <v>36</v>
      </c>
      <c r="K1241">
        <v>6135.78</v>
      </c>
      <c r="L1241">
        <v>122715.6</v>
      </c>
      <c r="M1241">
        <v>116579.82</v>
      </c>
      <c r="N1241" t="s">
        <v>122</v>
      </c>
      <c r="O1241">
        <v>2024</v>
      </c>
    </row>
    <row r="1242" spans="1:15" x14ac:dyDescent="0.3">
      <c r="A1242" t="s">
        <v>1327</v>
      </c>
      <c r="B1242" t="s">
        <v>43</v>
      </c>
      <c r="C1242" t="s">
        <v>62</v>
      </c>
      <c r="D1242" t="s">
        <v>95</v>
      </c>
      <c r="E1242" t="s">
        <v>50</v>
      </c>
      <c r="F1242" s="1">
        <v>45695</v>
      </c>
      <c r="G1242">
        <v>10</v>
      </c>
      <c r="H1242">
        <v>757.57</v>
      </c>
      <c r="I1242">
        <v>5</v>
      </c>
      <c r="J1242" t="s">
        <v>36</v>
      </c>
      <c r="K1242">
        <v>378.79</v>
      </c>
      <c r="L1242">
        <v>7575.7</v>
      </c>
      <c r="M1242">
        <v>7196.91</v>
      </c>
      <c r="N1242" t="s">
        <v>41</v>
      </c>
      <c r="O1242">
        <v>2025</v>
      </c>
    </row>
    <row r="1243" spans="1:15" x14ac:dyDescent="0.3">
      <c r="A1243" t="s">
        <v>1328</v>
      </c>
      <c r="B1243" t="s">
        <v>29</v>
      </c>
      <c r="C1243" t="s">
        <v>17</v>
      </c>
      <c r="D1243" t="s">
        <v>157</v>
      </c>
      <c r="E1243" t="s">
        <v>56</v>
      </c>
      <c r="F1243" s="1">
        <v>45394</v>
      </c>
      <c r="G1243">
        <v>9</v>
      </c>
      <c r="H1243">
        <v>6540.26</v>
      </c>
      <c r="I1243">
        <v>0</v>
      </c>
      <c r="J1243" t="s">
        <v>31</v>
      </c>
      <c r="K1243">
        <v>0</v>
      </c>
      <c r="L1243">
        <v>58862.34</v>
      </c>
      <c r="M1243">
        <v>58862.34</v>
      </c>
      <c r="N1243" t="s">
        <v>27</v>
      </c>
      <c r="O1243">
        <v>2024</v>
      </c>
    </row>
    <row r="1244" spans="1:15" x14ac:dyDescent="0.3">
      <c r="A1244" t="s">
        <v>1329</v>
      </c>
      <c r="B1244" t="s">
        <v>23</v>
      </c>
      <c r="C1244" t="s">
        <v>54</v>
      </c>
      <c r="D1244" t="s">
        <v>70</v>
      </c>
      <c r="E1244" t="s">
        <v>56</v>
      </c>
      <c r="F1244" s="1">
        <v>45404</v>
      </c>
      <c r="G1244">
        <v>1</v>
      </c>
      <c r="H1244">
        <v>2727.15</v>
      </c>
      <c r="I1244">
        <v>0</v>
      </c>
      <c r="J1244" t="s">
        <v>26</v>
      </c>
      <c r="K1244">
        <v>0</v>
      </c>
      <c r="L1244">
        <v>2727.15</v>
      </c>
      <c r="M1244">
        <v>2727.15</v>
      </c>
      <c r="N1244" t="s">
        <v>27</v>
      </c>
      <c r="O1244">
        <v>2024</v>
      </c>
    </row>
    <row r="1245" spans="1:15" x14ac:dyDescent="0.3">
      <c r="A1245" t="s">
        <v>1330</v>
      </c>
      <c r="B1245" t="s">
        <v>74</v>
      </c>
      <c r="C1245" t="s">
        <v>34</v>
      </c>
      <c r="D1245" t="s">
        <v>85</v>
      </c>
      <c r="E1245" t="s">
        <v>25</v>
      </c>
      <c r="F1245" s="1">
        <v>45438</v>
      </c>
      <c r="G1245">
        <v>10</v>
      </c>
      <c r="H1245">
        <v>10840.49</v>
      </c>
      <c r="I1245">
        <v>0</v>
      </c>
      <c r="J1245" t="s">
        <v>40</v>
      </c>
      <c r="K1245">
        <v>0</v>
      </c>
      <c r="L1245">
        <v>108404.9</v>
      </c>
      <c r="M1245">
        <v>108404.9</v>
      </c>
      <c r="N1245" t="s">
        <v>101</v>
      </c>
      <c r="O1245">
        <v>2024</v>
      </c>
    </row>
    <row r="1246" spans="1:15" x14ac:dyDescent="0.3">
      <c r="A1246" t="s">
        <v>1331</v>
      </c>
      <c r="B1246" t="s">
        <v>16</v>
      </c>
      <c r="C1246" t="s">
        <v>17</v>
      </c>
      <c r="D1246" t="s">
        <v>24</v>
      </c>
      <c r="E1246" t="s">
        <v>44</v>
      </c>
      <c r="F1246" s="1">
        <v>46016</v>
      </c>
      <c r="G1246">
        <v>2</v>
      </c>
      <c r="H1246">
        <v>3136.92</v>
      </c>
      <c r="I1246">
        <v>15</v>
      </c>
      <c r="J1246" t="s">
        <v>45</v>
      </c>
      <c r="K1246">
        <v>941.08</v>
      </c>
      <c r="L1246">
        <v>6273.84</v>
      </c>
      <c r="M1246">
        <v>5332.76</v>
      </c>
      <c r="N1246" t="s">
        <v>51</v>
      </c>
      <c r="O1246">
        <v>2025</v>
      </c>
    </row>
    <row r="1247" spans="1:15" x14ac:dyDescent="0.3">
      <c r="A1247" t="s">
        <v>1332</v>
      </c>
      <c r="B1247" t="s">
        <v>38</v>
      </c>
      <c r="C1247" t="s">
        <v>54</v>
      </c>
      <c r="D1247" t="s">
        <v>68</v>
      </c>
      <c r="E1247" t="s">
        <v>50</v>
      </c>
      <c r="F1247" s="1">
        <v>45631</v>
      </c>
      <c r="G1247">
        <v>8</v>
      </c>
      <c r="H1247">
        <v>4646.21</v>
      </c>
      <c r="I1247">
        <v>0</v>
      </c>
      <c r="J1247" t="s">
        <v>40</v>
      </c>
      <c r="K1247">
        <v>0</v>
      </c>
      <c r="L1247">
        <v>37169.68</v>
      </c>
      <c r="M1247">
        <v>37169.68</v>
      </c>
      <c r="N1247" t="s">
        <v>51</v>
      </c>
      <c r="O1247">
        <v>2024</v>
      </c>
    </row>
    <row r="1248" spans="1:15" x14ac:dyDescent="0.3">
      <c r="A1248" t="s">
        <v>1333</v>
      </c>
      <c r="B1248" t="s">
        <v>61</v>
      </c>
      <c r="C1248" t="s">
        <v>54</v>
      </c>
      <c r="D1248" t="s">
        <v>137</v>
      </c>
      <c r="E1248" t="s">
        <v>81</v>
      </c>
      <c r="F1248" s="1">
        <v>45313</v>
      </c>
      <c r="G1248">
        <v>1</v>
      </c>
      <c r="H1248">
        <v>833.13</v>
      </c>
      <c r="I1248">
        <v>10</v>
      </c>
      <c r="J1248" t="s">
        <v>82</v>
      </c>
      <c r="K1248">
        <v>83.31</v>
      </c>
      <c r="L1248">
        <v>833.13</v>
      </c>
      <c r="M1248">
        <v>749.82</v>
      </c>
      <c r="N1248" t="s">
        <v>116</v>
      </c>
      <c r="O1248">
        <v>2024</v>
      </c>
    </row>
    <row r="1249" spans="1:15" x14ac:dyDescent="0.3">
      <c r="A1249" t="s">
        <v>1334</v>
      </c>
      <c r="B1249" t="s">
        <v>114</v>
      </c>
      <c r="C1249" t="s">
        <v>17</v>
      </c>
      <c r="D1249" t="s">
        <v>24</v>
      </c>
      <c r="E1249" t="s">
        <v>44</v>
      </c>
      <c r="F1249" s="1">
        <v>45437</v>
      </c>
      <c r="G1249">
        <v>1</v>
      </c>
      <c r="H1249">
        <v>3384.13</v>
      </c>
      <c r="I1249">
        <v>0</v>
      </c>
      <c r="J1249" t="s">
        <v>31</v>
      </c>
      <c r="K1249">
        <v>0</v>
      </c>
      <c r="L1249">
        <v>3384.13</v>
      </c>
      <c r="M1249">
        <v>3384.13</v>
      </c>
      <c r="N1249" t="s">
        <v>101</v>
      </c>
      <c r="O1249">
        <v>2024</v>
      </c>
    </row>
    <row r="1250" spans="1:15" x14ac:dyDescent="0.3">
      <c r="A1250" t="s">
        <v>1335</v>
      </c>
      <c r="B1250" t="s">
        <v>23</v>
      </c>
      <c r="C1250" t="s">
        <v>34</v>
      </c>
      <c r="D1250" t="s">
        <v>35</v>
      </c>
      <c r="E1250" t="s">
        <v>50</v>
      </c>
      <c r="F1250" s="1">
        <v>45963</v>
      </c>
      <c r="G1250">
        <v>5</v>
      </c>
      <c r="H1250">
        <v>26302.959999999999</v>
      </c>
      <c r="I1250">
        <v>15</v>
      </c>
      <c r="J1250" t="s">
        <v>45</v>
      </c>
      <c r="K1250">
        <v>19727.22</v>
      </c>
      <c r="L1250">
        <v>131514.79999999999</v>
      </c>
      <c r="M1250">
        <v>111787.58</v>
      </c>
      <c r="N1250" t="s">
        <v>96</v>
      </c>
      <c r="O1250">
        <v>2025</v>
      </c>
    </row>
    <row r="1251" spans="1:15" x14ac:dyDescent="0.3">
      <c r="A1251" t="s">
        <v>1336</v>
      </c>
      <c r="B1251" t="s">
        <v>53</v>
      </c>
      <c r="C1251" t="s">
        <v>17</v>
      </c>
      <c r="D1251" t="s">
        <v>157</v>
      </c>
      <c r="E1251" t="s">
        <v>25</v>
      </c>
      <c r="F1251" s="1">
        <v>45396</v>
      </c>
      <c r="G1251">
        <v>5</v>
      </c>
      <c r="H1251">
        <v>6925.29</v>
      </c>
      <c r="I1251">
        <v>20</v>
      </c>
      <c r="J1251" t="s">
        <v>20</v>
      </c>
      <c r="K1251">
        <v>6925.29</v>
      </c>
      <c r="L1251">
        <v>34626.449999999997</v>
      </c>
      <c r="M1251">
        <v>27701.16</v>
      </c>
      <c r="N1251" t="s">
        <v>27</v>
      </c>
      <c r="O1251">
        <v>2024</v>
      </c>
    </row>
    <row r="1252" spans="1:15" x14ac:dyDescent="0.3">
      <c r="A1252" t="s">
        <v>1337</v>
      </c>
      <c r="B1252" t="s">
        <v>33</v>
      </c>
      <c r="C1252" t="s">
        <v>62</v>
      </c>
      <c r="D1252" t="s">
        <v>95</v>
      </c>
      <c r="E1252" t="s">
        <v>25</v>
      </c>
      <c r="F1252" s="1">
        <v>45911</v>
      </c>
      <c r="G1252">
        <v>3</v>
      </c>
      <c r="H1252">
        <v>755.61</v>
      </c>
      <c r="I1252">
        <v>20</v>
      </c>
      <c r="J1252" t="s">
        <v>26</v>
      </c>
      <c r="K1252">
        <v>453.37</v>
      </c>
      <c r="L1252">
        <v>2266.83</v>
      </c>
      <c r="M1252">
        <v>1813.46</v>
      </c>
      <c r="N1252" t="s">
        <v>86</v>
      </c>
      <c r="O1252">
        <v>2025</v>
      </c>
    </row>
    <row r="1253" spans="1:15" x14ac:dyDescent="0.3">
      <c r="A1253" t="s">
        <v>1338</v>
      </c>
      <c r="B1253" t="s">
        <v>53</v>
      </c>
      <c r="C1253" t="s">
        <v>62</v>
      </c>
      <c r="D1253" t="s">
        <v>132</v>
      </c>
      <c r="E1253" t="s">
        <v>30</v>
      </c>
      <c r="F1253" s="1">
        <v>45445</v>
      </c>
      <c r="G1253">
        <v>5</v>
      </c>
      <c r="H1253">
        <v>2640.47</v>
      </c>
      <c r="I1253">
        <v>10</v>
      </c>
      <c r="J1253" t="s">
        <v>31</v>
      </c>
      <c r="K1253">
        <v>1320.24</v>
      </c>
      <c r="L1253">
        <v>13202.35</v>
      </c>
      <c r="M1253">
        <v>11882.11</v>
      </c>
      <c r="N1253" t="s">
        <v>72</v>
      </c>
      <c r="O1253">
        <v>2024</v>
      </c>
    </row>
    <row r="1254" spans="1:15" x14ac:dyDescent="0.3">
      <c r="A1254" t="s">
        <v>1339</v>
      </c>
      <c r="B1254" t="s">
        <v>43</v>
      </c>
      <c r="C1254" t="s">
        <v>62</v>
      </c>
      <c r="D1254" t="s">
        <v>95</v>
      </c>
      <c r="E1254" t="s">
        <v>56</v>
      </c>
      <c r="F1254" s="1">
        <v>45563</v>
      </c>
      <c r="G1254">
        <v>2</v>
      </c>
      <c r="H1254">
        <v>877.77</v>
      </c>
      <c r="I1254">
        <v>5</v>
      </c>
      <c r="J1254" t="s">
        <v>45</v>
      </c>
      <c r="K1254">
        <v>87.78</v>
      </c>
      <c r="L1254">
        <v>1755.54</v>
      </c>
      <c r="M1254">
        <v>1667.76</v>
      </c>
      <c r="N1254" t="s">
        <v>86</v>
      </c>
      <c r="O1254">
        <v>2024</v>
      </c>
    </row>
    <row r="1255" spans="1:15" x14ac:dyDescent="0.3">
      <c r="A1255" t="s">
        <v>1340</v>
      </c>
      <c r="B1255" t="s">
        <v>53</v>
      </c>
      <c r="C1255" t="s">
        <v>34</v>
      </c>
      <c r="D1255" t="s">
        <v>48</v>
      </c>
      <c r="E1255" t="s">
        <v>56</v>
      </c>
      <c r="F1255" s="1">
        <v>45781</v>
      </c>
      <c r="G1255">
        <v>2</v>
      </c>
      <c r="H1255">
        <v>7426.33</v>
      </c>
      <c r="I1255">
        <v>15</v>
      </c>
      <c r="J1255" t="s">
        <v>71</v>
      </c>
      <c r="K1255">
        <v>2227.9</v>
      </c>
      <c r="L1255">
        <v>14852.66</v>
      </c>
      <c r="M1255">
        <v>12624.76</v>
      </c>
      <c r="N1255" t="s">
        <v>101</v>
      </c>
      <c r="O1255">
        <v>2025</v>
      </c>
    </row>
    <row r="1256" spans="1:15" x14ac:dyDescent="0.3">
      <c r="A1256" t="s">
        <v>1341</v>
      </c>
      <c r="B1256" t="s">
        <v>47</v>
      </c>
      <c r="C1256" t="s">
        <v>62</v>
      </c>
      <c r="D1256" t="s">
        <v>63</v>
      </c>
      <c r="E1256" t="s">
        <v>19</v>
      </c>
      <c r="F1256" s="1">
        <v>45478</v>
      </c>
      <c r="G1256">
        <v>7</v>
      </c>
      <c r="H1256">
        <v>1778.67</v>
      </c>
      <c r="I1256">
        <v>15</v>
      </c>
      <c r="J1256" t="s">
        <v>36</v>
      </c>
      <c r="K1256">
        <v>1867.6</v>
      </c>
      <c r="L1256">
        <v>12450.69</v>
      </c>
      <c r="M1256">
        <v>10583.09</v>
      </c>
      <c r="N1256" t="s">
        <v>122</v>
      </c>
      <c r="O1256">
        <v>2024</v>
      </c>
    </row>
    <row r="1257" spans="1:15" x14ac:dyDescent="0.3">
      <c r="A1257" t="s">
        <v>1342</v>
      </c>
      <c r="B1257" t="s">
        <v>16</v>
      </c>
      <c r="C1257" t="s">
        <v>90</v>
      </c>
      <c r="D1257" t="s">
        <v>152</v>
      </c>
      <c r="E1257" t="s">
        <v>56</v>
      </c>
      <c r="F1257" s="1">
        <v>45433</v>
      </c>
      <c r="G1257">
        <v>4</v>
      </c>
      <c r="H1257">
        <v>9957.9599999999991</v>
      </c>
      <c r="I1257">
        <v>20</v>
      </c>
      <c r="J1257" t="s">
        <v>45</v>
      </c>
      <c r="K1257">
        <v>7966.37</v>
      </c>
      <c r="L1257">
        <v>39831.839999999997</v>
      </c>
      <c r="M1257">
        <v>31865.47</v>
      </c>
      <c r="N1257" t="s">
        <v>101</v>
      </c>
      <c r="O1257">
        <v>2024</v>
      </c>
    </row>
    <row r="1258" spans="1:15" x14ac:dyDescent="0.3">
      <c r="A1258" t="s">
        <v>1343</v>
      </c>
      <c r="B1258" t="s">
        <v>65</v>
      </c>
      <c r="C1258" t="s">
        <v>90</v>
      </c>
      <c r="D1258" t="s">
        <v>91</v>
      </c>
      <c r="E1258" t="s">
        <v>56</v>
      </c>
      <c r="F1258" s="1">
        <v>45685</v>
      </c>
      <c r="G1258">
        <v>2</v>
      </c>
      <c r="H1258">
        <v>1567.86</v>
      </c>
      <c r="I1258">
        <v>15</v>
      </c>
      <c r="J1258" t="s">
        <v>20</v>
      </c>
      <c r="K1258">
        <v>470.36</v>
      </c>
      <c r="L1258">
        <v>3135.72</v>
      </c>
      <c r="M1258">
        <v>2665.36</v>
      </c>
      <c r="N1258" t="s">
        <v>116</v>
      </c>
      <c r="O1258">
        <v>2025</v>
      </c>
    </row>
    <row r="1259" spans="1:15" x14ac:dyDescent="0.3">
      <c r="A1259" t="s">
        <v>1344</v>
      </c>
      <c r="B1259" t="s">
        <v>74</v>
      </c>
      <c r="C1259" t="s">
        <v>54</v>
      </c>
      <c r="D1259" t="s">
        <v>77</v>
      </c>
      <c r="E1259" t="s">
        <v>30</v>
      </c>
      <c r="F1259" s="1">
        <v>46011</v>
      </c>
      <c r="G1259">
        <v>2</v>
      </c>
      <c r="H1259">
        <v>5273.39</v>
      </c>
      <c r="I1259">
        <v>0</v>
      </c>
      <c r="J1259" t="s">
        <v>20</v>
      </c>
      <c r="K1259">
        <v>0</v>
      </c>
      <c r="L1259">
        <v>10546.78</v>
      </c>
      <c r="M1259">
        <v>10546.78</v>
      </c>
      <c r="N1259" t="s">
        <v>51</v>
      </c>
      <c r="O1259">
        <v>2025</v>
      </c>
    </row>
    <row r="1260" spans="1:15" x14ac:dyDescent="0.3">
      <c r="A1260" t="s">
        <v>1345</v>
      </c>
      <c r="B1260" t="s">
        <v>33</v>
      </c>
      <c r="C1260" t="s">
        <v>34</v>
      </c>
      <c r="D1260" t="s">
        <v>80</v>
      </c>
      <c r="E1260" t="s">
        <v>81</v>
      </c>
      <c r="F1260" s="1">
        <v>45428</v>
      </c>
      <c r="G1260">
        <v>2</v>
      </c>
      <c r="H1260">
        <v>5489.37</v>
      </c>
      <c r="I1260">
        <v>10</v>
      </c>
      <c r="J1260" t="s">
        <v>71</v>
      </c>
      <c r="K1260">
        <v>1097.8699999999999</v>
      </c>
      <c r="L1260">
        <v>10978.74</v>
      </c>
      <c r="M1260">
        <v>9880.8700000000008</v>
      </c>
      <c r="N1260" t="s">
        <v>101</v>
      </c>
      <c r="O1260">
        <v>2024</v>
      </c>
    </row>
    <row r="1261" spans="1:15" x14ac:dyDescent="0.3">
      <c r="A1261" t="s">
        <v>1346</v>
      </c>
      <c r="B1261" t="s">
        <v>43</v>
      </c>
      <c r="C1261" t="s">
        <v>62</v>
      </c>
      <c r="D1261" t="s">
        <v>63</v>
      </c>
      <c r="E1261" t="s">
        <v>56</v>
      </c>
      <c r="F1261" s="1">
        <v>45856</v>
      </c>
      <c r="G1261">
        <v>7</v>
      </c>
      <c r="H1261">
        <v>1729.12</v>
      </c>
      <c r="I1261">
        <v>5</v>
      </c>
      <c r="J1261" t="s">
        <v>36</v>
      </c>
      <c r="K1261">
        <v>605.19000000000005</v>
      </c>
      <c r="L1261">
        <v>12103.84</v>
      </c>
      <c r="M1261">
        <v>11498.65</v>
      </c>
      <c r="N1261" t="s">
        <v>122</v>
      </c>
      <c r="O1261">
        <v>2025</v>
      </c>
    </row>
    <row r="1262" spans="1:15" x14ac:dyDescent="0.3">
      <c r="A1262" t="s">
        <v>1347</v>
      </c>
      <c r="B1262" t="s">
        <v>47</v>
      </c>
      <c r="C1262" t="s">
        <v>17</v>
      </c>
      <c r="D1262" t="s">
        <v>59</v>
      </c>
      <c r="E1262" t="s">
        <v>30</v>
      </c>
      <c r="F1262" s="1">
        <v>45678</v>
      </c>
      <c r="G1262">
        <v>1</v>
      </c>
      <c r="H1262">
        <v>26850.77</v>
      </c>
      <c r="I1262">
        <v>15</v>
      </c>
      <c r="J1262" t="s">
        <v>36</v>
      </c>
      <c r="K1262">
        <v>4027.62</v>
      </c>
      <c r="L1262">
        <v>26850.77</v>
      </c>
      <c r="M1262">
        <v>22823.15</v>
      </c>
      <c r="N1262" t="s">
        <v>116</v>
      </c>
      <c r="O1262">
        <v>2025</v>
      </c>
    </row>
    <row r="1263" spans="1:15" x14ac:dyDescent="0.3">
      <c r="A1263" t="s">
        <v>1348</v>
      </c>
      <c r="B1263" t="s">
        <v>16</v>
      </c>
      <c r="C1263" t="s">
        <v>62</v>
      </c>
      <c r="D1263" t="s">
        <v>95</v>
      </c>
      <c r="E1263" t="s">
        <v>25</v>
      </c>
      <c r="F1263" s="1">
        <v>45780</v>
      </c>
      <c r="G1263">
        <v>10</v>
      </c>
      <c r="H1263">
        <v>894.1</v>
      </c>
      <c r="I1263">
        <v>0</v>
      </c>
      <c r="J1263" t="s">
        <v>82</v>
      </c>
      <c r="K1263">
        <v>0</v>
      </c>
      <c r="L1263">
        <v>8941</v>
      </c>
      <c r="M1263">
        <v>8941</v>
      </c>
      <c r="N1263" t="s">
        <v>101</v>
      </c>
      <c r="O1263">
        <v>2025</v>
      </c>
    </row>
    <row r="1264" spans="1:15" x14ac:dyDescent="0.3">
      <c r="A1264" t="s">
        <v>1349</v>
      </c>
      <c r="B1264" t="s">
        <v>53</v>
      </c>
      <c r="C1264" t="s">
        <v>34</v>
      </c>
      <c r="D1264" t="s">
        <v>48</v>
      </c>
      <c r="E1264" t="s">
        <v>25</v>
      </c>
      <c r="F1264" s="1">
        <v>45370</v>
      </c>
      <c r="G1264">
        <v>1</v>
      </c>
      <c r="H1264">
        <v>8338.3700000000008</v>
      </c>
      <c r="I1264">
        <v>15</v>
      </c>
      <c r="J1264" t="s">
        <v>20</v>
      </c>
      <c r="K1264">
        <v>1250.76</v>
      </c>
      <c r="L1264">
        <v>8338.3700000000008</v>
      </c>
      <c r="M1264">
        <v>7087.61</v>
      </c>
      <c r="N1264" t="s">
        <v>83</v>
      </c>
      <c r="O1264">
        <v>2024</v>
      </c>
    </row>
    <row r="1265" spans="1:15" x14ac:dyDescent="0.3">
      <c r="A1265" t="s">
        <v>1350</v>
      </c>
      <c r="B1265" t="s">
        <v>89</v>
      </c>
      <c r="C1265" t="s">
        <v>34</v>
      </c>
      <c r="D1265" t="s">
        <v>85</v>
      </c>
      <c r="E1265" t="s">
        <v>30</v>
      </c>
      <c r="F1265" s="1">
        <v>45832</v>
      </c>
      <c r="G1265">
        <v>5</v>
      </c>
      <c r="H1265">
        <v>12210.55</v>
      </c>
      <c r="I1265">
        <v>10</v>
      </c>
      <c r="J1265" t="s">
        <v>36</v>
      </c>
      <c r="K1265">
        <v>6105.28</v>
      </c>
      <c r="L1265">
        <v>61052.75</v>
      </c>
      <c r="M1265">
        <v>54947.47</v>
      </c>
      <c r="N1265" t="s">
        <v>72</v>
      </c>
      <c r="O1265">
        <v>2025</v>
      </c>
    </row>
    <row r="1266" spans="1:15" x14ac:dyDescent="0.3">
      <c r="A1266" t="s">
        <v>1351</v>
      </c>
      <c r="B1266" t="s">
        <v>43</v>
      </c>
      <c r="C1266" t="s">
        <v>90</v>
      </c>
      <c r="D1266" t="s">
        <v>105</v>
      </c>
      <c r="E1266" t="s">
        <v>25</v>
      </c>
      <c r="F1266" s="1">
        <v>45353</v>
      </c>
      <c r="G1266">
        <v>1</v>
      </c>
      <c r="H1266">
        <v>3678.65</v>
      </c>
      <c r="I1266">
        <v>5</v>
      </c>
      <c r="J1266" t="s">
        <v>36</v>
      </c>
      <c r="K1266">
        <v>183.93</v>
      </c>
      <c r="L1266">
        <v>3678.65</v>
      </c>
      <c r="M1266">
        <v>3494.72</v>
      </c>
      <c r="N1266" t="s">
        <v>83</v>
      </c>
      <c r="O1266">
        <v>2024</v>
      </c>
    </row>
    <row r="1267" spans="1:15" x14ac:dyDescent="0.3">
      <c r="A1267" t="s">
        <v>1352</v>
      </c>
      <c r="B1267" t="s">
        <v>109</v>
      </c>
      <c r="C1267" t="s">
        <v>54</v>
      </c>
      <c r="D1267" t="s">
        <v>55</v>
      </c>
      <c r="E1267" t="s">
        <v>56</v>
      </c>
      <c r="F1267" s="1">
        <v>45988</v>
      </c>
      <c r="G1267">
        <v>8</v>
      </c>
      <c r="H1267">
        <v>1370.87</v>
      </c>
      <c r="I1267">
        <v>10</v>
      </c>
      <c r="J1267" t="s">
        <v>31</v>
      </c>
      <c r="K1267">
        <v>1096.7</v>
      </c>
      <c r="L1267">
        <v>10966.96</v>
      </c>
      <c r="M1267">
        <v>9870.26</v>
      </c>
      <c r="N1267" t="s">
        <v>96</v>
      </c>
      <c r="O1267">
        <v>2025</v>
      </c>
    </row>
    <row r="1268" spans="1:15" x14ac:dyDescent="0.3">
      <c r="A1268" t="s">
        <v>1353</v>
      </c>
      <c r="B1268" t="s">
        <v>43</v>
      </c>
      <c r="C1268" t="s">
        <v>54</v>
      </c>
      <c r="D1268" t="s">
        <v>77</v>
      </c>
      <c r="E1268" t="s">
        <v>30</v>
      </c>
      <c r="F1268" s="1">
        <v>45725</v>
      </c>
      <c r="G1268">
        <v>3</v>
      </c>
      <c r="H1268">
        <v>4839.78</v>
      </c>
      <c r="I1268">
        <v>0</v>
      </c>
      <c r="J1268" t="s">
        <v>20</v>
      </c>
      <c r="K1268">
        <v>0</v>
      </c>
      <c r="L1268">
        <v>14519.34</v>
      </c>
      <c r="M1268">
        <v>14519.34</v>
      </c>
      <c r="N1268" t="s">
        <v>83</v>
      </c>
      <c r="O1268">
        <v>2025</v>
      </c>
    </row>
    <row r="1269" spans="1:15" x14ac:dyDescent="0.3">
      <c r="A1269" t="s">
        <v>1354</v>
      </c>
      <c r="B1269" t="s">
        <v>53</v>
      </c>
      <c r="C1269" t="s">
        <v>54</v>
      </c>
      <c r="D1269" t="s">
        <v>68</v>
      </c>
      <c r="E1269" t="s">
        <v>30</v>
      </c>
      <c r="F1269" s="1">
        <v>45702</v>
      </c>
      <c r="G1269">
        <v>10</v>
      </c>
      <c r="H1269">
        <v>4113</v>
      </c>
      <c r="I1269">
        <v>15</v>
      </c>
      <c r="J1269" t="s">
        <v>20</v>
      </c>
      <c r="K1269">
        <v>6169.5</v>
      </c>
      <c r="L1269">
        <v>41130</v>
      </c>
      <c r="M1269">
        <v>34960.5</v>
      </c>
      <c r="N1269" t="s">
        <v>41</v>
      </c>
      <c r="O1269">
        <v>2025</v>
      </c>
    </row>
    <row r="1270" spans="1:15" x14ac:dyDescent="0.3">
      <c r="A1270" t="s">
        <v>1355</v>
      </c>
      <c r="B1270" t="s">
        <v>93</v>
      </c>
      <c r="C1270" t="s">
        <v>34</v>
      </c>
      <c r="D1270" t="s">
        <v>66</v>
      </c>
      <c r="E1270" t="s">
        <v>44</v>
      </c>
      <c r="F1270" s="1">
        <v>46001</v>
      </c>
      <c r="G1270">
        <v>8</v>
      </c>
      <c r="H1270">
        <v>44851.58</v>
      </c>
      <c r="I1270">
        <v>15</v>
      </c>
      <c r="J1270" t="s">
        <v>82</v>
      </c>
      <c r="K1270">
        <v>53821.9</v>
      </c>
      <c r="L1270">
        <v>358812.64</v>
      </c>
      <c r="M1270">
        <v>304990.74</v>
      </c>
      <c r="N1270" t="s">
        <v>51</v>
      </c>
      <c r="O1270">
        <v>2025</v>
      </c>
    </row>
    <row r="1271" spans="1:15" x14ac:dyDescent="0.3">
      <c r="A1271" t="s">
        <v>1356</v>
      </c>
      <c r="B1271" t="s">
        <v>109</v>
      </c>
      <c r="C1271" t="s">
        <v>90</v>
      </c>
      <c r="D1271" t="s">
        <v>107</v>
      </c>
      <c r="E1271" t="s">
        <v>44</v>
      </c>
      <c r="F1271" s="1">
        <v>45954</v>
      </c>
      <c r="G1271">
        <v>7</v>
      </c>
      <c r="H1271">
        <v>12522.61</v>
      </c>
      <c r="I1271">
        <v>0</v>
      </c>
      <c r="J1271" t="s">
        <v>45</v>
      </c>
      <c r="K1271">
        <v>0</v>
      </c>
      <c r="L1271">
        <v>87658.27</v>
      </c>
      <c r="M1271">
        <v>87658.27</v>
      </c>
      <c r="N1271" t="s">
        <v>57</v>
      </c>
      <c r="O1271">
        <v>2025</v>
      </c>
    </row>
    <row r="1272" spans="1:15" x14ac:dyDescent="0.3">
      <c r="A1272" t="s">
        <v>1357</v>
      </c>
      <c r="B1272" t="s">
        <v>33</v>
      </c>
      <c r="C1272" t="s">
        <v>17</v>
      </c>
      <c r="D1272" t="s">
        <v>18</v>
      </c>
      <c r="E1272" t="s">
        <v>81</v>
      </c>
      <c r="F1272" s="1">
        <v>45320</v>
      </c>
      <c r="G1272">
        <v>4</v>
      </c>
      <c r="H1272">
        <v>63085.86</v>
      </c>
      <c r="I1272">
        <v>20</v>
      </c>
      <c r="J1272" t="s">
        <v>45</v>
      </c>
      <c r="K1272">
        <v>50468.69</v>
      </c>
      <c r="L1272">
        <v>252343.44</v>
      </c>
      <c r="M1272">
        <v>201874.75</v>
      </c>
      <c r="N1272" t="s">
        <v>116</v>
      </c>
      <c r="O1272">
        <v>2024</v>
      </c>
    </row>
    <row r="1273" spans="1:15" x14ac:dyDescent="0.3">
      <c r="A1273" t="s">
        <v>1358</v>
      </c>
      <c r="B1273" t="s">
        <v>29</v>
      </c>
      <c r="C1273" t="s">
        <v>17</v>
      </c>
      <c r="D1273" t="s">
        <v>18</v>
      </c>
      <c r="E1273" t="s">
        <v>81</v>
      </c>
      <c r="F1273" s="1">
        <v>45608</v>
      </c>
      <c r="G1273">
        <v>4</v>
      </c>
      <c r="H1273">
        <v>74211.48</v>
      </c>
      <c r="I1273">
        <v>0</v>
      </c>
      <c r="J1273" t="s">
        <v>26</v>
      </c>
      <c r="K1273">
        <v>0</v>
      </c>
      <c r="L1273">
        <v>296845.92</v>
      </c>
      <c r="M1273">
        <v>296845.92</v>
      </c>
      <c r="N1273" t="s">
        <v>96</v>
      </c>
      <c r="O1273">
        <v>2024</v>
      </c>
    </row>
    <row r="1274" spans="1:15" x14ac:dyDescent="0.3">
      <c r="A1274" t="s">
        <v>1359</v>
      </c>
      <c r="B1274" t="s">
        <v>47</v>
      </c>
      <c r="C1274" t="s">
        <v>34</v>
      </c>
      <c r="D1274" t="s">
        <v>48</v>
      </c>
      <c r="E1274" t="s">
        <v>81</v>
      </c>
      <c r="F1274" s="1">
        <v>45869</v>
      </c>
      <c r="G1274">
        <v>8</v>
      </c>
      <c r="H1274">
        <v>7291.36</v>
      </c>
      <c r="I1274">
        <v>10</v>
      </c>
      <c r="J1274" t="s">
        <v>26</v>
      </c>
      <c r="K1274">
        <v>5833.09</v>
      </c>
      <c r="L1274">
        <v>58330.879999999997</v>
      </c>
      <c r="M1274">
        <v>52497.79</v>
      </c>
      <c r="N1274" t="s">
        <v>122</v>
      </c>
      <c r="O1274">
        <v>2025</v>
      </c>
    </row>
    <row r="1275" spans="1:15" x14ac:dyDescent="0.3">
      <c r="A1275" t="s">
        <v>1360</v>
      </c>
      <c r="B1275" t="s">
        <v>109</v>
      </c>
      <c r="C1275" t="s">
        <v>17</v>
      </c>
      <c r="D1275" t="s">
        <v>39</v>
      </c>
      <c r="E1275" t="s">
        <v>19</v>
      </c>
      <c r="F1275" s="1">
        <v>45699</v>
      </c>
      <c r="G1275">
        <v>9</v>
      </c>
      <c r="H1275">
        <v>17076.98</v>
      </c>
      <c r="I1275">
        <v>15</v>
      </c>
      <c r="J1275" t="s">
        <v>40</v>
      </c>
      <c r="K1275">
        <v>23053.919999999998</v>
      </c>
      <c r="L1275">
        <v>153692.82</v>
      </c>
      <c r="M1275">
        <v>130638.9</v>
      </c>
      <c r="N1275" t="s">
        <v>41</v>
      </c>
      <c r="O1275">
        <v>2025</v>
      </c>
    </row>
    <row r="1276" spans="1:15" x14ac:dyDescent="0.3">
      <c r="A1276" t="s">
        <v>1361</v>
      </c>
      <c r="B1276" t="s">
        <v>16</v>
      </c>
      <c r="C1276" t="s">
        <v>62</v>
      </c>
      <c r="D1276" t="s">
        <v>63</v>
      </c>
      <c r="E1276" t="s">
        <v>30</v>
      </c>
      <c r="F1276" s="1">
        <v>45631</v>
      </c>
      <c r="G1276">
        <v>7</v>
      </c>
      <c r="H1276">
        <v>2225.77</v>
      </c>
      <c r="I1276">
        <v>20</v>
      </c>
      <c r="J1276" t="s">
        <v>82</v>
      </c>
      <c r="K1276">
        <v>3116.08</v>
      </c>
      <c r="L1276">
        <v>15580.39</v>
      </c>
      <c r="M1276">
        <v>12464.31</v>
      </c>
      <c r="N1276" t="s">
        <v>51</v>
      </c>
      <c r="O1276">
        <v>2024</v>
      </c>
    </row>
    <row r="1277" spans="1:15" x14ac:dyDescent="0.3">
      <c r="A1277" t="s">
        <v>1362</v>
      </c>
      <c r="B1277" t="s">
        <v>74</v>
      </c>
      <c r="C1277" t="s">
        <v>17</v>
      </c>
      <c r="D1277" t="s">
        <v>24</v>
      </c>
      <c r="E1277" t="s">
        <v>44</v>
      </c>
      <c r="F1277" s="1">
        <v>45316</v>
      </c>
      <c r="G1277">
        <v>10</v>
      </c>
      <c r="H1277">
        <v>3297.05</v>
      </c>
      <c r="I1277">
        <v>15</v>
      </c>
      <c r="J1277" t="s">
        <v>36</v>
      </c>
      <c r="K1277">
        <v>4945.57</v>
      </c>
      <c r="L1277">
        <v>32970.5</v>
      </c>
      <c r="M1277">
        <v>28024.93</v>
      </c>
      <c r="N1277" t="s">
        <v>116</v>
      </c>
      <c r="O1277">
        <v>2024</v>
      </c>
    </row>
    <row r="1278" spans="1:15" x14ac:dyDescent="0.3">
      <c r="A1278" t="s">
        <v>1363</v>
      </c>
      <c r="B1278" t="s">
        <v>43</v>
      </c>
      <c r="C1278" t="s">
        <v>54</v>
      </c>
      <c r="D1278" t="s">
        <v>70</v>
      </c>
      <c r="E1278" t="s">
        <v>50</v>
      </c>
      <c r="F1278" s="1">
        <v>45990</v>
      </c>
      <c r="G1278">
        <v>8</v>
      </c>
      <c r="H1278">
        <v>2529.14</v>
      </c>
      <c r="I1278">
        <v>0</v>
      </c>
      <c r="J1278" t="s">
        <v>36</v>
      </c>
      <c r="K1278">
        <v>0</v>
      </c>
      <c r="L1278">
        <v>20233.12</v>
      </c>
      <c r="M1278">
        <v>20233.12</v>
      </c>
      <c r="N1278" t="s">
        <v>96</v>
      </c>
      <c r="O1278">
        <v>2025</v>
      </c>
    </row>
    <row r="1279" spans="1:15" x14ac:dyDescent="0.3">
      <c r="A1279" t="s">
        <v>1364</v>
      </c>
      <c r="B1279" t="s">
        <v>74</v>
      </c>
      <c r="C1279" t="s">
        <v>34</v>
      </c>
      <c r="D1279" t="s">
        <v>85</v>
      </c>
      <c r="E1279" t="s">
        <v>30</v>
      </c>
      <c r="F1279" s="1">
        <v>45456</v>
      </c>
      <c r="G1279">
        <v>9</v>
      </c>
      <c r="H1279">
        <v>12348.9</v>
      </c>
      <c r="I1279">
        <v>20</v>
      </c>
      <c r="J1279" t="s">
        <v>36</v>
      </c>
      <c r="K1279">
        <v>22228.02</v>
      </c>
      <c r="L1279">
        <v>111140.1</v>
      </c>
      <c r="M1279">
        <v>88912.08</v>
      </c>
      <c r="N1279" t="s">
        <v>72</v>
      </c>
      <c r="O1279">
        <v>2024</v>
      </c>
    </row>
    <row r="1280" spans="1:15" x14ac:dyDescent="0.3">
      <c r="A1280" t="s">
        <v>1365</v>
      </c>
      <c r="B1280" t="s">
        <v>89</v>
      </c>
      <c r="C1280" t="s">
        <v>54</v>
      </c>
      <c r="D1280" t="s">
        <v>137</v>
      </c>
      <c r="E1280" t="s">
        <v>44</v>
      </c>
      <c r="F1280" s="1">
        <v>45639</v>
      </c>
      <c r="G1280">
        <v>5</v>
      </c>
      <c r="H1280">
        <v>980.18</v>
      </c>
      <c r="I1280">
        <v>15</v>
      </c>
      <c r="J1280" t="s">
        <v>36</v>
      </c>
      <c r="K1280">
        <v>735.13</v>
      </c>
      <c r="L1280">
        <v>4900.8999999999996</v>
      </c>
      <c r="M1280">
        <v>4165.7700000000004</v>
      </c>
      <c r="N1280" t="s">
        <v>51</v>
      </c>
      <c r="O1280">
        <v>2024</v>
      </c>
    </row>
    <row r="1281" spans="1:15" x14ac:dyDescent="0.3">
      <c r="A1281" t="s">
        <v>1366</v>
      </c>
      <c r="B1281" t="s">
        <v>29</v>
      </c>
      <c r="C1281" t="s">
        <v>17</v>
      </c>
      <c r="D1281" t="s">
        <v>157</v>
      </c>
      <c r="E1281" t="s">
        <v>50</v>
      </c>
      <c r="F1281" s="1">
        <v>45448</v>
      </c>
      <c r="G1281">
        <v>10</v>
      </c>
      <c r="H1281">
        <v>7398.63</v>
      </c>
      <c r="I1281">
        <v>15</v>
      </c>
      <c r="J1281" t="s">
        <v>82</v>
      </c>
      <c r="K1281">
        <v>11097.94</v>
      </c>
      <c r="L1281">
        <v>73986.3</v>
      </c>
      <c r="M1281">
        <v>62888.36</v>
      </c>
      <c r="N1281" t="s">
        <v>72</v>
      </c>
      <c r="O1281">
        <v>2024</v>
      </c>
    </row>
    <row r="1282" spans="1:15" x14ac:dyDescent="0.3">
      <c r="A1282" t="s">
        <v>1367</v>
      </c>
      <c r="B1282" t="s">
        <v>53</v>
      </c>
      <c r="C1282" t="s">
        <v>17</v>
      </c>
      <c r="D1282" t="s">
        <v>18</v>
      </c>
      <c r="E1282" t="s">
        <v>44</v>
      </c>
      <c r="F1282" s="1">
        <v>45852</v>
      </c>
      <c r="G1282">
        <v>2</v>
      </c>
      <c r="H1282">
        <v>66607.320000000007</v>
      </c>
      <c r="I1282">
        <v>15</v>
      </c>
      <c r="J1282" t="s">
        <v>40</v>
      </c>
      <c r="K1282">
        <v>19982.2</v>
      </c>
      <c r="L1282">
        <v>133214.64000000001</v>
      </c>
      <c r="M1282">
        <v>113232.44</v>
      </c>
      <c r="N1282" t="s">
        <v>122</v>
      </c>
      <c r="O1282">
        <v>2025</v>
      </c>
    </row>
    <row r="1283" spans="1:15" x14ac:dyDescent="0.3">
      <c r="A1283" t="s">
        <v>1368</v>
      </c>
      <c r="B1283" t="s">
        <v>114</v>
      </c>
      <c r="C1283" t="s">
        <v>62</v>
      </c>
      <c r="D1283" t="s">
        <v>63</v>
      </c>
      <c r="E1283" t="s">
        <v>19</v>
      </c>
      <c r="F1283" s="1">
        <v>45361</v>
      </c>
      <c r="G1283">
        <v>5</v>
      </c>
      <c r="H1283">
        <v>1879.43</v>
      </c>
      <c r="I1283">
        <v>10</v>
      </c>
      <c r="J1283" t="s">
        <v>36</v>
      </c>
      <c r="K1283">
        <v>939.72</v>
      </c>
      <c r="L1283">
        <v>9397.15</v>
      </c>
      <c r="M1283">
        <v>8457.43</v>
      </c>
      <c r="N1283" t="s">
        <v>83</v>
      </c>
      <c r="O1283">
        <v>2024</v>
      </c>
    </row>
    <row r="1284" spans="1:15" x14ac:dyDescent="0.3">
      <c r="A1284" t="s">
        <v>1369</v>
      </c>
      <c r="B1284" t="s">
        <v>53</v>
      </c>
      <c r="C1284" t="s">
        <v>17</v>
      </c>
      <c r="D1284" t="s">
        <v>18</v>
      </c>
      <c r="E1284" t="s">
        <v>30</v>
      </c>
      <c r="F1284" s="1">
        <v>45556</v>
      </c>
      <c r="G1284">
        <v>8</v>
      </c>
      <c r="H1284">
        <v>74400.36</v>
      </c>
      <c r="I1284">
        <v>15</v>
      </c>
      <c r="J1284" t="s">
        <v>71</v>
      </c>
      <c r="K1284">
        <v>89280.43</v>
      </c>
      <c r="L1284">
        <v>595202.88</v>
      </c>
      <c r="M1284">
        <v>505922.45</v>
      </c>
      <c r="N1284" t="s">
        <v>86</v>
      </c>
      <c r="O1284">
        <v>2024</v>
      </c>
    </row>
    <row r="1285" spans="1:15" x14ac:dyDescent="0.3">
      <c r="A1285" t="s">
        <v>1370</v>
      </c>
      <c r="B1285" t="s">
        <v>93</v>
      </c>
      <c r="C1285" t="s">
        <v>34</v>
      </c>
      <c r="D1285" t="s">
        <v>80</v>
      </c>
      <c r="E1285" t="s">
        <v>56</v>
      </c>
      <c r="F1285" s="1">
        <v>45664</v>
      </c>
      <c r="G1285">
        <v>5</v>
      </c>
      <c r="H1285">
        <v>6001.41</v>
      </c>
      <c r="I1285">
        <v>20</v>
      </c>
      <c r="J1285" t="s">
        <v>26</v>
      </c>
      <c r="K1285">
        <v>6001.41</v>
      </c>
      <c r="L1285">
        <v>30007.05</v>
      </c>
      <c r="M1285">
        <v>24005.64</v>
      </c>
      <c r="N1285" t="s">
        <v>116</v>
      </c>
      <c r="O1285">
        <v>2025</v>
      </c>
    </row>
    <row r="1286" spans="1:15" x14ac:dyDescent="0.3">
      <c r="A1286" t="s">
        <v>1371</v>
      </c>
      <c r="B1286" t="s">
        <v>33</v>
      </c>
      <c r="C1286" t="s">
        <v>34</v>
      </c>
      <c r="D1286" t="s">
        <v>35</v>
      </c>
      <c r="E1286" t="s">
        <v>81</v>
      </c>
      <c r="F1286" s="1">
        <v>45674</v>
      </c>
      <c r="G1286">
        <v>2</v>
      </c>
      <c r="H1286">
        <v>26763.759999999998</v>
      </c>
      <c r="I1286">
        <v>20</v>
      </c>
      <c r="J1286" t="s">
        <v>45</v>
      </c>
      <c r="K1286">
        <v>10705.5</v>
      </c>
      <c r="L1286">
        <v>53527.519999999997</v>
      </c>
      <c r="M1286">
        <v>42822.02</v>
      </c>
      <c r="N1286" t="s">
        <v>116</v>
      </c>
      <c r="O1286">
        <v>2025</v>
      </c>
    </row>
    <row r="1287" spans="1:15" x14ac:dyDescent="0.3">
      <c r="A1287" t="s">
        <v>1372</v>
      </c>
      <c r="B1287" t="s">
        <v>114</v>
      </c>
      <c r="C1287" t="s">
        <v>90</v>
      </c>
      <c r="D1287" t="s">
        <v>115</v>
      </c>
      <c r="E1287" t="s">
        <v>30</v>
      </c>
      <c r="F1287" s="1">
        <v>45927</v>
      </c>
      <c r="G1287">
        <v>1</v>
      </c>
      <c r="H1287">
        <v>8682.09</v>
      </c>
      <c r="I1287">
        <v>5</v>
      </c>
      <c r="J1287" t="s">
        <v>26</v>
      </c>
      <c r="K1287">
        <v>434.1</v>
      </c>
      <c r="L1287">
        <v>8682.09</v>
      </c>
      <c r="M1287">
        <v>8247.99</v>
      </c>
      <c r="N1287" t="s">
        <v>86</v>
      </c>
      <c r="O1287">
        <v>2025</v>
      </c>
    </row>
    <row r="1288" spans="1:15" x14ac:dyDescent="0.3">
      <c r="A1288" t="s">
        <v>1373</v>
      </c>
      <c r="B1288" t="s">
        <v>53</v>
      </c>
      <c r="C1288" t="s">
        <v>54</v>
      </c>
      <c r="D1288" t="s">
        <v>70</v>
      </c>
      <c r="E1288" t="s">
        <v>44</v>
      </c>
      <c r="F1288" s="1">
        <v>45589</v>
      </c>
      <c r="G1288">
        <v>7</v>
      </c>
      <c r="H1288">
        <v>2583.77</v>
      </c>
      <c r="I1288">
        <v>15</v>
      </c>
      <c r="J1288" t="s">
        <v>82</v>
      </c>
      <c r="K1288">
        <v>2712.96</v>
      </c>
      <c r="L1288">
        <v>18086.39</v>
      </c>
      <c r="M1288">
        <v>15373.43</v>
      </c>
      <c r="N1288" t="s">
        <v>57</v>
      </c>
      <c r="O1288">
        <v>2024</v>
      </c>
    </row>
    <row r="1289" spans="1:15" x14ac:dyDescent="0.3">
      <c r="A1289" t="s">
        <v>1374</v>
      </c>
      <c r="B1289" t="s">
        <v>23</v>
      </c>
      <c r="C1289" t="s">
        <v>17</v>
      </c>
      <c r="D1289" t="s">
        <v>59</v>
      </c>
      <c r="E1289" t="s">
        <v>44</v>
      </c>
      <c r="F1289" s="1">
        <v>45977</v>
      </c>
      <c r="G1289">
        <v>2</v>
      </c>
      <c r="H1289">
        <v>27148.95</v>
      </c>
      <c r="I1289">
        <v>15</v>
      </c>
      <c r="J1289" t="s">
        <v>71</v>
      </c>
      <c r="K1289">
        <v>8144.68</v>
      </c>
      <c r="L1289">
        <v>54297.9</v>
      </c>
      <c r="M1289">
        <v>46153.22</v>
      </c>
      <c r="N1289" t="s">
        <v>96</v>
      </c>
      <c r="O1289">
        <v>2025</v>
      </c>
    </row>
    <row r="1290" spans="1:15" x14ac:dyDescent="0.3">
      <c r="A1290" t="s">
        <v>1375</v>
      </c>
      <c r="B1290" t="s">
        <v>47</v>
      </c>
      <c r="C1290" t="s">
        <v>54</v>
      </c>
      <c r="D1290" t="s">
        <v>68</v>
      </c>
      <c r="E1290" t="s">
        <v>25</v>
      </c>
      <c r="F1290" s="1">
        <v>45402</v>
      </c>
      <c r="G1290">
        <v>7</v>
      </c>
      <c r="H1290">
        <v>4914.24</v>
      </c>
      <c r="I1290">
        <v>5</v>
      </c>
      <c r="J1290" t="s">
        <v>36</v>
      </c>
      <c r="K1290">
        <v>1719.98</v>
      </c>
      <c r="L1290">
        <v>34399.68</v>
      </c>
      <c r="M1290">
        <v>32679.7</v>
      </c>
      <c r="N1290" t="s">
        <v>27</v>
      </c>
      <c r="O1290">
        <v>2024</v>
      </c>
    </row>
    <row r="1291" spans="1:15" x14ac:dyDescent="0.3">
      <c r="A1291" t="s">
        <v>1376</v>
      </c>
      <c r="B1291" t="s">
        <v>47</v>
      </c>
      <c r="C1291" t="s">
        <v>90</v>
      </c>
      <c r="D1291" t="s">
        <v>115</v>
      </c>
      <c r="E1291" t="s">
        <v>19</v>
      </c>
      <c r="F1291" s="1">
        <v>45910</v>
      </c>
      <c r="G1291">
        <v>8</v>
      </c>
      <c r="H1291">
        <v>7625.27</v>
      </c>
      <c r="I1291">
        <v>15</v>
      </c>
      <c r="J1291" t="s">
        <v>45</v>
      </c>
      <c r="K1291">
        <v>9150.32</v>
      </c>
      <c r="L1291">
        <v>61002.16</v>
      </c>
      <c r="M1291">
        <v>51851.839999999997</v>
      </c>
      <c r="N1291" t="s">
        <v>86</v>
      </c>
      <c r="O1291">
        <v>2025</v>
      </c>
    </row>
    <row r="1292" spans="1:15" x14ac:dyDescent="0.3">
      <c r="A1292" t="s">
        <v>1377</v>
      </c>
      <c r="B1292" t="s">
        <v>89</v>
      </c>
      <c r="C1292" t="s">
        <v>17</v>
      </c>
      <c r="D1292" t="s">
        <v>39</v>
      </c>
      <c r="E1292" t="s">
        <v>25</v>
      </c>
      <c r="F1292" s="1">
        <v>45773</v>
      </c>
      <c r="G1292">
        <v>3</v>
      </c>
      <c r="H1292">
        <v>19080.97</v>
      </c>
      <c r="I1292">
        <v>10</v>
      </c>
      <c r="J1292" t="s">
        <v>36</v>
      </c>
      <c r="K1292">
        <v>5724.29</v>
      </c>
      <c r="L1292">
        <v>57242.91</v>
      </c>
      <c r="M1292">
        <v>51518.62</v>
      </c>
      <c r="N1292" t="s">
        <v>27</v>
      </c>
      <c r="O1292">
        <v>2025</v>
      </c>
    </row>
    <row r="1293" spans="1:15" x14ac:dyDescent="0.3">
      <c r="A1293" t="s">
        <v>1378</v>
      </c>
      <c r="B1293" t="s">
        <v>93</v>
      </c>
      <c r="C1293" t="s">
        <v>54</v>
      </c>
      <c r="D1293" t="s">
        <v>70</v>
      </c>
      <c r="E1293" t="s">
        <v>44</v>
      </c>
      <c r="F1293" s="1">
        <v>45355</v>
      </c>
      <c r="G1293">
        <v>6</v>
      </c>
      <c r="H1293">
        <v>2743.47</v>
      </c>
      <c r="I1293">
        <v>15</v>
      </c>
      <c r="J1293" t="s">
        <v>31</v>
      </c>
      <c r="K1293">
        <v>2469.12</v>
      </c>
      <c r="L1293">
        <v>16460.82</v>
      </c>
      <c r="M1293">
        <v>13991.7</v>
      </c>
      <c r="N1293" t="s">
        <v>83</v>
      </c>
      <c r="O1293">
        <v>2024</v>
      </c>
    </row>
    <row r="1294" spans="1:15" x14ac:dyDescent="0.3">
      <c r="A1294" t="s">
        <v>1379</v>
      </c>
      <c r="B1294" t="s">
        <v>29</v>
      </c>
      <c r="C1294" t="s">
        <v>34</v>
      </c>
      <c r="D1294" t="s">
        <v>80</v>
      </c>
      <c r="E1294" t="s">
        <v>44</v>
      </c>
      <c r="F1294" s="1">
        <v>45992</v>
      </c>
      <c r="G1294">
        <v>7</v>
      </c>
      <c r="H1294">
        <v>6385.25</v>
      </c>
      <c r="I1294">
        <v>5</v>
      </c>
      <c r="J1294" t="s">
        <v>26</v>
      </c>
      <c r="K1294">
        <v>2234.84</v>
      </c>
      <c r="L1294">
        <v>44696.75</v>
      </c>
      <c r="M1294">
        <v>42461.91</v>
      </c>
      <c r="N1294" t="s">
        <v>51</v>
      </c>
      <c r="O1294">
        <v>2025</v>
      </c>
    </row>
    <row r="1295" spans="1:15" x14ac:dyDescent="0.3">
      <c r="A1295" t="s">
        <v>1380</v>
      </c>
      <c r="B1295" t="s">
        <v>47</v>
      </c>
      <c r="C1295" t="s">
        <v>17</v>
      </c>
      <c r="D1295" t="s">
        <v>59</v>
      </c>
      <c r="E1295" t="s">
        <v>19</v>
      </c>
      <c r="F1295" s="1">
        <v>45375</v>
      </c>
      <c r="G1295">
        <v>5</v>
      </c>
      <c r="H1295">
        <v>27961.1</v>
      </c>
      <c r="I1295">
        <v>15</v>
      </c>
      <c r="J1295" t="s">
        <v>31</v>
      </c>
      <c r="K1295">
        <v>20970.830000000002</v>
      </c>
      <c r="L1295">
        <v>139805.5</v>
      </c>
      <c r="M1295">
        <v>118834.67</v>
      </c>
      <c r="N1295" t="s">
        <v>83</v>
      </c>
      <c r="O1295">
        <v>2024</v>
      </c>
    </row>
    <row r="1296" spans="1:15" x14ac:dyDescent="0.3">
      <c r="A1296" t="s">
        <v>1381</v>
      </c>
      <c r="B1296" t="s">
        <v>29</v>
      </c>
      <c r="C1296" t="s">
        <v>90</v>
      </c>
      <c r="D1296" t="s">
        <v>91</v>
      </c>
      <c r="E1296" t="s">
        <v>30</v>
      </c>
      <c r="F1296" s="1">
        <v>45480</v>
      </c>
      <c r="G1296">
        <v>1</v>
      </c>
      <c r="H1296">
        <v>1384.67</v>
      </c>
      <c r="I1296">
        <v>15</v>
      </c>
      <c r="J1296" t="s">
        <v>40</v>
      </c>
      <c r="K1296">
        <v>207.7</v>
      </c>
      <c r="L1296">
        <v>1384.67</v>
      </c>
      <c r="M1296">
        <v>1176.97</v>
      </c>
      <c r="N1296" t="s">
        <v>122</v>
      </c>
      <c r="O1296">
        <v>2024</v>
      </c>
    </row>
    <row r="1297" spans="1:15" x14ac:dyDescent="0.3">
      <c r="A1297" t="s">
        <v>1382</v>
      </c>
      <c r="B1297" t="s">
        <v>53</v>
      </c>
      <c r="C1297" t="s">
        <v>62</v>
      </c>
      <c r="D1297" t="s">
        <v>119</v>
      </c>
      <c r="E1297" t="s">
        <v>50</v>
      </c>
      <c r="F1297" s="1">
        <v>45721</v>
      </c>
      <c r="G1297">
        <v>8</v>
      </c>
      <c r="H1297">
        <v>3566.06</v>
      </c>
      <c r="I1297">
        <v>5</v>
      </c>
      <c r="J1297" t="s">
        <v>45</v>
      </c>
      <c r="K1297">
        <v>1426.42</v>
      </c>
      <c r="L1297">
        <v>28528.48</v>
      </c>
      <c r="M1297">
        <v>27102.06</v>
      </c>
      <c r="N1297" t="s">
        <v>83</v>
      </c>
      <c r="O1297">
        <v>2025</v>
      </c>
    </row>
    <row r="1298" spans="1:15" x14ac:dyDescent="0.3">
      <c r="A1298" t="s">
        <v>1383</v>
      </c>
      <c r="B1298" t="s">
        <v>114</v>
      </c>
      <c r="C1298" t="s">
        <v>90</v>
      </c>
      <c r="D1298" t="s">
        <v>115</v>
      </c>
      <c r="E1298" t="s">
        <v>30</v>
      </c>
      <c r="F1298" s="1">
        <v>45302</v>
      </c>
      <c r="G1298">
        <v>9</v>
      </c>
      <c r="H1298">
        <v>8766.14</v>
      </c>
      <c r="I1298">
        <v>20</v>
      </c>
      <c r="J1298" t="s">
        <v>31</v>
      </c>
      <c r="K1298">
        <v>15779.05</v>
      </c>
      <c r="L1298">
        <v>78895.259999999995</v>
      </c>
      <c r="M1298">
        <v>63116.21</v>
      </c>
      <c r="N1298" t="s">
        <v>116</v>
      </c>
      <c r="O1298">
        <v>2024</v>
      </c>
    </row>
    <row r="1299" spans="1:15" x14ac:dyDescent="0.3">
      <c r="A1299" t="s">
        <v>1384</v>
      </c>
      <c r="B1299" t="s">
        <v>16</v>
      </c>
      <c r="C1299" t="s">
        <v>34</v>
      </c>
      <c r="D1299" t="s">
        <v>80</v>
      </c>
      <c r="E1299" t="s">
        <v>30</v>
      </c>
      <c r="F1299" s="1">
        <v>45623</v>
      </c>
      <c r="G1299">
        <v>6</v>
      </c>
      <c r="H1299">
        <v>5963.41</v>
      </c>
      <c r="I1299">
        <v>15</v>
      </c>
      <c r="J1299" t="s">
        <v>36</v>
      </c>
      <c r="K1299">
        <v>5367.07</v>
      </c>
      <c r="L1299">
        <v>35780.46</v>
      </c>
      <c r="M1299">
        <v>30413.39</v>
      </c>
      <c r="N1299" t="s">
        <v>96</v>
      </c>
      <c r="O1299">
        <v>2024</v>
      </c>
    </row>
    <row r="1300" spans="1:15" x14ac:dyDescent="0.3">
      <c r="A1300" t="s">
        <v>1385</v>
      </c>
      <c r="B1300" t="s">
        <v>38</v>
      </c>
      <c r="C1300" t="s">
        <v>34</v>
      </c>
      <c r="D1300" t="s">
        <v>35</v>
      </c>
      <c r="E1300" t="s">
        <v>19</v>
      </c>
      <c r="F1300" s="1">
        <v>45982</v>
      </c>
      <c r="G1300">
        <v>7</v>
      </c>
      <c r="H1300">
        <v>26556.77</v>
      </c>
      <c r="I1300">
        <v>0</v>
      </c>
      <c r="J1300" t="s">
        <v>82</v>
      </c>
      <c r="K1300">
        <v>0</v>
      </c>
      <c r="L1300">
        <v>185897.39</v>
      </c>
      <c r="M1300">
        <v>185897.39</v>
      </c>
      <c r="N1300" t="s">
        <v>96</v>
      </c>
      <c r="O1300">
        <v>2025</v>
      </c>
    </row>
    <row r="1301" spans="1:15" x14ac:dyDescent="0.3">
      <c r="A1301" t="s">
        <v>1386</v>
      </c>
      <c r="B1301" t="s">
        <v>61</v>
      </c>
      <c r="C1301" t="s">
        <v>90</v>
      </c>
      <c r="D1301" t="s">
        <v>107</v>
      </c>
      <c r="E1301" t="s">
        <v>56</v>
      </c>
      <c r="F1301" s="1">
        <v>45329</v>
      </c>
      <c r="G1301">
        <v>4</v>
      </c>
      <c r="H1301">
        <v>13037.12</v>
      </c>
      <c r="I1301">
        <v>5</v>
      </c>
      <c r="J1301" t="s">
        <v>82</v>
      </c>
      <c r="K1301">
        <v>2607.42</v>
      </c>
      <c r="L1301">
        <v>52148.480000000003</v>
      </c>
      <c r="M1301">
        <v>49541.06</v>
      </c>
      <c r="N1301" t="s">
        <v>41</v>
      </c>
      <c r="O1301">
        <v>2024</v>
      </c>
    </row>
    <row r="1302" spans="1:15" x14ac:dyDescent="0.3">
      <c r="A1302" t="s">
        <v>1387</v>
      </c>
      <c r="B1302" t="s">
        <v>74</v>
      </c>
      <c r="C1302" t="s">
        <v>90</v>
      </c>
      <c r="D1302" t="s">
        <v>91</v>
      </c>
      <c r="E1302" t="s">
        <v>50</v>
      </c>
      <c r="F1302" s="1">
        <v>45513</v>
      </c>
      <c r="G1302">
        <v>6</v>
      </c>
      <c r="H1302">
        <v>1428.66</v>
      </c>
      <c r="I1302">
        <v>5</v>
      </c>
      <c r="J1302" t="s">
        <v>31</v>
      </c>
      <c r="K1302">
        <v>428.6</v>
      </c>
      <c r="L1302">
        <v>8571.9599999999991</v>
      </c>
      <c r="M1302">
        <v>8143.36</v>
      </c>
      <c r="N1302" t="s">
        <v>21</v>
      </c>
      <c r="O1302">
        <v>2024</v>
      </c>
    </row>
    <row r="1303" spans="1:15" x14ac:dyDescent="0.3">
      <c r="A1303" t="s">
        <v>1388</v>
      </c>
      <c r="B1303" t="s">
        <v>33</v>
      </c>
      <c r="C1303" t="s">
        <v>54</v>
      </c>
      <c r="D1303" t="s">
        <v>70</v>
      </c>
      <c r="E1303" t="s">
        <v>44</v>
      </c>
      <c r="F1303" s="1">
        <v>45308</v>
      </c>
      <c r="G1303">
        <v>5</v>
      </c>
      <c r="H1303">
        <v>2810.41</v>
      </c>
      <c r="I1303">
        <v>20</v>
      </c>
      <c r="J1303" t="s">
        <v>45</v>
      </c>
      <c r="K1303">
        <v>2810.41</v>
      </c>
      <c r="L1303">
        <v>14052.05</v>
      </c>
      <c r="M1303">
        <v>11241.64</v>
      </c>
      <c r="N1303" t="s">
        <v>116</v>
      </c>
      <c r="O1303">
        <v>2024</v>
      </c>
    </row>
    <row r="1304" spans="1:15" x14ac:dyDescent="0.3">
      <c r="A1304" t="s">
        <v>1389</v>
      </c>
      <c r="B1304" t="s">
        <v>61</v>
      </c>
      <c r="C1304" t="s">
        <v>17</v>
      </c>
      <c r="D1304" t="s">
        <v>157</v>
      </c>
      <c r="E1304" t="s">
        <v>56</v>
      </c>
      <c r="F1304" s="1">
        <v>45712</v>
      </c>
      <c r="G1304">
        <v>6</v>
      </c>
      <c r="H1304">
        <v>6916.37</v>
      </c>
      <c r="I1304">
        <v>20</v>
      </c>
      <c r="J1304" t="s">
        <v>31</v>
      </c>
      <c r="K1304">
        <v>8299.64</v>
      </c>
      <c r="L1304">
        <v>41498.22</v>
      </c>
      <c r="M1304">
        <v>33198.58</v>
      </c>
      <c r="N1304" t="s">
        <v>41</v>
      </c>
      <c r="O1304">
        <v>2025</v>
      </c>
    </row>
    <row r="1305" spans="1:15" x14ac:dyDescent="0.3">
      <c r="A1305" t="s">
        <v>1390</v>
      </c>
      <c r="B1305" t="s">
        <v>74</v>
      </c>
      <c r="C1305" t="s">
        <v>90</v>
      </c>
      <c r="D1305" t="s">
        <v>91</v>
      </c>
      <c r="E1305" t="s">
        <v>19</v>
      </c>
      <c r="F1305" s="1">
        <v>45472</v>
      </c>
      <c r="G1305">
        <v>8</v>
      </c>
      <c r="H1305">
        <v>1510.64</v>
      </c>
      <c r="I1305">
        <v>5</v>
      </c>
      <c r="J1305" t="s">
        <v>82</v>
      </c>
      <c r="K1305">
        <v>604.26</v>
      </c>
      <c r="L1305">
        <v>12085.12</v>
      </c>
      <c r="M1305">
        <v>11480.86</v>
      </c>
      <c r="N1305" t="s">
        <v>72</v>
      </c>
      <c r="O1305">
        <v>2024</v>
      </c>
    </row>
    <row r="1306" spans="1:15" x14ac:dyDescent="0.3">
      <c r="A1306" t="s">
        <v>1391</v>
      </c>
      <c r="B1306" t="s">
        <v>53</v>
      </c>
      <c r="C1306" t="s">
        <v>54</v>
      </c>
      <c r="D1306" t="s">
        <v>77</v>
      </c>
      <c r="E1306" t="s">
        <v>81</v>
      </c>
      <c r="F1306" s="1">
        <v>45682</v>
      </c>
      <c r="G1306">
        <v>5</v>
      </c>
      <c r="H1306">
        <v>5556.36</v>
      </c>
      <c r="I1306">
        <v>15</v>
      </c>
      <c r="J1306" t="s">
        <v>31</v>
      </c>
      <c r="K1306">
        <v>4167.2700000000004</v>
      </c>
      <c r="L1306">
        <v>27781.8</v>
      </c>
      <c r="M1306">
        <v>23614.53</v>
      </c>
      <c r="N1306" t="s">
        <v>116</v>
      </c>
      <c r="O1306">
        <v>2025</v>
      </c>
    </row>
    <row r="1307" spans="1:15" x14ac:dyDescent="0.3">
      <c r="A1307" t="s">
        <v>1392</v>
      </c>
      <c r="B1307" t="s">
        <v>114</v>
      </c>
      <c r="C1307" t="s">
        <v>62</v>
      </c>
      <c r="D1307" t="s">
        <v>132</v>
      </c>
      <c r="E1307" t="s">
        <v>44</v>
      </c>
      <c r="F1307" s="1">
        <v>45381</v>
      </c>
      <c r="G1307">
        <v>2</v>
      </c>
      <c r="H1307">
        <v>2306.02</v>
      </c>
      <c r="I1307">
        <v>0</v>
      </c>
      <c r="J1307" t="s">
        <v>82</v>
      </c>
      <c r="K1307">
        <v>0</v>
      </c>
      <c r="L1307">
        <v>4612.04</v>
      </c>
      <c r="M1307">
        <v>4612.04</v>
      </c>
      <c r="N1307" t="s">
        <v>83</v>
      </c>
      <c r="O1307">
        <v>2024</v>
      </c>
    </row>
    <row r="1308" spans="1:15" x14ac:dyDescent="0.3">
      <c r="A1308" t="s">
        <v>1393</v>
      </c>
      <c r="B1308" t="s">
        <v>47</v>
      </c>
      <c r="C1308" t="s">
        <v>54</v>
      </c>
      <c r="D1308" t="s">
        <v>68</v>
      </c>
      <c r="E1308" t="s">
        <v>56</v>
      </c>
      <c r="F1308" s="1">
        <v>45940</v>
      </c>
      <c r="G1308">
        <v>8</v>
      </c>
      <c r="H1308">
        <v>5077.91</v>
      </c>
      <c r="I1308">
        <v>0</v>
      </c>
      <c r="J1308" t="s">
        <v>82</v>
      </c>
      <c r="K1308">
        <v>0</v>
      </c>
      <c r="L1308">
        <v>40623.279999999999</v>
      </c>
      <c r="M1308">
        <v>40623.279999999999</v>
      </c>
      <c r="N1308" t="s">
        <v>57</v>
      </c>
      <c r="O1308">
        <v>2025</v>
      </c>
    </row>
    <row r="1309" spans="1:15" x14ac:dyDescent="0.3">
      <c r="A1309" t="s">
        <v>1394</v>
      </c>
      <c r="B1309" t="s">
        <v>29</v>
      </c>
      <c r="C1309" t="s">
        <v>62</v>
      </c>
      <c r="D1309" t="s">
        <v>99</v>
      </c>
      <c r="E1309" t="s">
        <v>50</v>
      </c>
      <c r="F1309" s="1">
        <v>45856</v>
      </c>
      <c r="G1309">
        <v>7</v>
      </c>
      <c r="H1309">
        <v>1392.94</v>
      </c>
      <c r="I1309">
        <v>15</v>
      </c>
      <c r="J1309" t="s">
        <v>71</v>
      </c>
      <c r="K1309">
        <v>1462.59</v>
      </c>
      <c r="L1309">
        <v>9750.58</v>
      </c>
      <c r="M1309">
        <v>8287.99</v>
      </c>
      <c r="N1309" t="s">
        <v>122</v>
      </c>
      <c r="O1309">
        <v>2025</v>
      </c>
    </row>
    <row r="1310" spans="1:15" x14ac:dyDescent="0.3">
      <c r="A1310" t="s">
        <v>1395</v>
      </c>
      <c r="B1310" t="s">
        <v>74</v>
      </c>
      <c r="C1310" t="s">
        <v>17</v>
      </c>
      <c r="D1310" t="s">
        <v>39</v>
      </c>
      <c r="E1310" t="s">
        <v>56</v>
      </c>
      <c r="F1310" s="1">
        <v>45952</v>
      </c>
      <c r="G1310">
        <v>7</v>
      </c>
      <c r="H1310">
        <v>17857.650000000001</v>
      </c>
      <c r="I1310">
        <v>10</v>
      </c>
      <c r="J1310" t="s">
        <v>31</v>
      </c>
      <c r="K1310">
        <v>12500.36</v>
      </c>
      <c r="L1310">
        <v>125003.55</v>
      </c>
      <c r="M1310">
        <v>112503.19</v>
      </c>
      <c r="N1310" t="s">
        <v>57</v>
      </c>
      <c r="O1310">
        <v>2025</v>
      </c>
    </row>
    <row r="1311" spans="1:15" x14ac:dyDescent="0.3">
      <c r="A1311" t="s">
        <v>1396</v>
      </c>
      <c r="B1311" t="s">
        <v>43</v>
      </c>
      <c r="C1311" t="s">
        <v>34</v>
      </c>
      <c r="D1311" t="s">
        <v>66</v>
      </c>
      <c r="E1311" t="s">
        <v>19</v>
      </c>
      <c r="F1311" s="1">
        <v>45606</v>
      </c>
      <c r="G1311">
        <v>7</v>
      </c>
      <c r="H1311">
        <v>47006.31</v>
      </c>
      <c r="I1311">
        <v>0</v>
      </c>
      <c r="J1311" t="s">
        <v>40</v>
      </c>
      <c r="K1311">
        <v>0</v>
      </c>
      <c r="L1311">
        <v>329044.17</v>
      </c>
      <c r="M1311">
        <v>329044.17</v>
      </c>
      <c r="N1311" t="s">
        <v>96</v>
      </c>
      <c r="O1311">
        <v>2024</v>
      </c>
    </row>
    <row r="1312" spans="1:15" x14ac:dyDescent="0.3">
      <c r="A1312" t="s">
        <v>1397</v>
      </c>
      <c r="B1312" t="s">
        <v>109</v>
      </c>
      <c r="C1312" t="s">
        <v>90</v>
      </c>
      <c r="D1312" t="s">
        <v>105</v>
      </c>
      <c r="E1312" t="s">
        <v>25</v>
      </c>
      <c r="F1312" s="1">
        <v>45675</v>
      </c>
      <c r="G1312">
        <v>9</v>
      </c>
      <c r="H1312">
        <v>3867.53</v>
      </c>
      <c r="I1312">
        <v>20</v>
      </c>
      <c r="J1312" t="s">
        <v>36</v>
      </c>
      <c r="K1312">
        <v>6961.55</v>
      </c>
      <c r="L1312">
        <v>34807.769999999997</v>
      </c>
      <c r="M1312">
        <v>27846.22</v>
      </c>
      <c r="N1312" t="s">
        <v>116</v>
      </c>
      <c r="O1312">
        <v>2025</v>
      </c>
    </row>
    <row r="1313" spans="1:15" x14ac:dyDescent="0.3">
      <c r="A1313" t="s">
        <v>1398</v>
      </c>
      <c r="B1313" t="s">
        <v>53</v>
      </c>
      <c r="C1313" t="s">
        <v>62</v>
      </c>
      <c r="D1313" t="s">
        <v>119</v>
      </c>
      <c r="E1313" t="s">
        <v>81</v>
      </c>
      <c r="F1313" s="1">
        <v>45539</v>
      </c>
      <c r="G1313">
        <v>9</v>
      </c>
      <c r="H1313">
        <v>4001.8</v>
      </c>
      <c r="I1313">
        <v>5</v>
      </c>
      <c r="J1313" t="s">
        <v>31</v>
      </c>
      <c r="K1313">
        <v>1800.81</v>
      </c>
      <c r="L1313">
        <v>36016.199999999997</v>
      </c>
      <c r="M1313">
        <v>34215.39</v>
      </c>
      <c r="N1313" t="s">
        <v>86</v>
      </c>
      <c r="O1313">
        <v>2024</v>
      </c>
    </row>
    <row r="1314" spans="1:15" x14ac:dyDescent="0.3">
      <c r="A1314" t="s">
        <v>1399</v>
      </c>
      <c r="B1314" t="s">
        <v>38</v>
      </c>
      <c r="C1314" t="s">
        <v>54</v>
      </c>
      <c r="D1314" t="s">
        <v>68</v>
      </c>
      <c r="E1314" t="s">
        <v>25</v>
      </c>
      <c r="F1314" s="1">
        <v>45423</v>
      </c>
      <c r="G1314">
        <v>7</v>
      </c>
      <c r="H1314">
        <v>5149.53</v>
      </c>
      <c r="I1314">
        <v>5</v>
      </c>
      <c r="J1314" t="s">
        <v>31</v>
      </c>
      <c r="K1314">
        <v>1802.34</v>
      </c>
      <c r="L1314">
        <v>36046.71</v>
      </c>
      <c r="M1314">
        <v>34244.370000000003</v>
      </c>
      <c r="N1314" t="s">
        <v>101</v>
      </c>
      <c r="O1314">
        <v>2024</v>
      </c>
    </row>
    <row r="1315" spans="1:15" x14ac:dyDescent="0.3">
      <c r="A1315" t="s">
        <v>1400</v>
      </c>
      <c r="B1315" t="s">
        <v>65</v>
      </c>
      <c r="C1315" t="s">
        <v>90</v>
      </c>
      <c r="D1315" t="s">
        <v>115</v>
      </c>
      <c r="E1315" t="s">
        <v>50</v>
      </c>
      <c r="F1315" s="1">
        <v>45528</v>
      </c>
      <c r="G1315">
        <v>2</v>
      </c>
      <c r="H1315">
        <v>8620.0499999999993</v>
      </c>
      <c r="I1315">
        <v>5</v>
      </c>
      <c r="J1315" t="s">
        <v>31</v>
      </c>
      <c r="K1315">
        <v>862</v>
      </c>
      <c r="L1315">
        <v>17240.099999999999</v>
      </c>
      <c r="M1315">
        <v>16378.1</v>
      </c>
      <c r="N1315" t="s">
        <v>21</v>
      </c>
      <c r="O1315">
        <v>2024</v>
      </c>
    </row>
    <row r="1316" spans="1:15" x14ac:dyDescent="0.3">
      <c r="A1316" t="s">
        <v>1401</v>
      </c>
      <c r="B1316" t="s">
        <v>61</v>
      </c>
      <c r="C1316" t="s">
        <v>54</v>
      </c>
      <c r="D1316" t="s">
        <v>70</v>
      </c>
      <c r="E1316" t="s">
        <v>81</v>
      </c>
      <c r="F1316" s="1">
        <v>45934</v>
      </c>
      <c r="G1316">
        <v>5</v>
      </c>
      <c r="H1316">
        <v>3050.67</v>
      </c>
      <c r="I1316">
        <v>5</v>
      </c>
      <c r="J1316" t="s">
        <v>31</v>
      </c>
      <c r="K1316">
        <v>762.67</v>
      </c>
      <c r="L1316">
        <v>15253.35</v>
      </c>
      <c r="M1316">
        <v>14490.68</v>
      </c>
      <c r="N1316" t="s">
        <v>57</v>
      </c>
      <c r="O1316">
        <v>2025</v>
      </c>
    </row>
    <row r="1317" spans="1:15" x14ac:dyDescent="0.3">
      <c r="A1317" t="s">
        <v>1402</v>
      </c>
      <c r="B1317" t="s">
        <v>47</v>
      </c>
      <c r="C1317" t="s">
        <v>62</v>
      </c>
      <c r="D1317" t="s">
        <v>63</v>
      </c>
      <c r="E1317" t="s">
        <v>25</v>
      </c>
      <c r="F1317" s="1">
        <v>45739</v>
      </c>
      <c r="G1317">
        <v>1</v>
      </c>
      <c r="H1317">
        <v>1903</v>
      </c>
      <c r="I1317">
        <v>20</v>
      </c>
      <c r="J1317" t="s">
        <v>26</v>
      </c>
      <c r="K1317">
        <v>380.6</v>
      </c>
      <c r="L1317">
        <v>1903</v>
      </c>
      <c r="M1317">
        <v>1522.4</v>
      </c>
      <c r="N1317" t="s">
        <v>83</v>
      </c>
      <c r="O1317">
        <v>2025</v>
      </c>
    </row>
    <row r="1318" spans="1:15" x14ac:dyDescent="0.3">
      <c r="A1318" t="s">
        <v>1403</v>
      </c>
      <c r="B1318" t="s">
        <v>93</v>
      </c>
      <c r="C1318" t="s">
        <v>34</v>
      </c>
      <c r="D1318" t="s">
        <v>80</v>
      </c>
      <c r="E1318" t="s">
        <v>30</v>
      </c>
      <c r="F1318" s="1">
        <v>45877</v>
      </c>
      <c r="G1318">
        <v>7</v>
      </c>
      <c r="H1318">
        <v>5437.93</v>
      </c>
      <c r="I1318">
        <v>5</v>
      </c>
      <c r="J1318" t="s">
        <v>82</v>
      </c>
      <c r="K1318">
        <v>1903.28</v>
      </c>
      <c r="L1318">
        <v>38065.51</v>
      </c>
      <c r="M1318">
        <v>36162.230000000003</v>
      </c>
      <c r="N1318" t="s">
        <v>21</v>
      </c>
      <c r="O1318">
        <v>2025</v>
      </c>
    </row>
    <row r="1319" spans="1:15" x14ac:dyDescent="0.3">
      <c r="A1319" t="s">
        <v>1404</v>
      </c>
      <c r="B1319" t="s">
        <v>53</v>
      </c>
      <c r="C1319" t="s">
        <v>90</v>
      </c>
      <c r="D1319" t="s">
        <v>115</v>
      </c>
      <c r="E1319" t="s">
        <v>50</v>
      </c>
      <c r="F1319" s="1">
        <v>45596</v>
      </c>
      <c r="G1319">
        <v>4</v>
      </c>
      <c r="H1319">
        <v>9097.92</v>
      </c>
      <c r="I1319">
        <v>5</v>
      </c>
      <c r="J1319" t="s">
        <v>20</v>
      </c>
      <c r="K1319">
        <v>1819.58</v>
      </c>
      <c r="L1319">
        <v>36391.68</v>
      </c>
      <c r="M1319">
        <v>34572.1</v>
      </c>
      <c r="N1319" t="s">
        <v>57</v>
      </c>
      <c r="O1319">
        <v>2024</v>
      </c>
    </row>
    <row r="1320" spans="1:15" x14ac:dyDescent="0.3">
      <c r="A1320" t="s">
        <v>1405</v>
      </c>
      <c r="B1320" t="s">
        <v>61</v>
      </c>
      <c r="C1320" t="s">
        <v>90</v>
      </c>
      <c r="D1320" t="s">
        <v>115</v>
      </c>
      <c r="E1320" t="s">
        <v>25</v>
      </c>
      <c r="F1320" s="1">
        <v>45376</v>
      </c>
      <c r="G1320">
        <v>3</v>
      </c>
      <c r="H1320">
        <v>8454.8799999999992</v>
      </c>
      <c r="I1320">
        <v>20</v>
      </c>
      <c r="J1320" t="s">
        <v>40</v>
      </c>
      <c r="K1320">
        <v>5072.93</v>
      </c>
      <c r="L1320">
        <v>25364.639999999999</v>
      </c>
      <c r="M1320">
        <v>20291.71</v>
      </c>
      <c r="N1320" t="s">
        <v>83</v>
      </c>
      <c r="O1320">
        <v>2024</v>
      </c>
    </row>
    <row r="1321" spans="1:15" x14ac:dyDescent="0.3">
      <c r="A1321" t="s">
        <v>1406</v>
      </c>
      <c r="B1321" t="s">
        <v>89</v>
      </c>
      <c r="C1321" t="s">
        <v>17</v>
      </c>
      <c r="D1321" t="s">
        <v>18</v>
      </c>
      <c r="E1321" t="s">
        <v>81</v>
      </c>
      <c r="F1321" s="1">
        <v>45401</v>
      </c>
      <c r="G1321">
        <v>3</v>
      </c>
      <c r="H1321">
        <v>63090.02</v>
      </c>
      <c r="I1321">
        <v>5</v>
      </c>
      <c r="J1321" t="s">
        <v>82</v>
      </c>
      <c r="K1321">
        <v>9463.5</v>
      </c>
      <c r="L1321">
        <v>189270.06</v>
      </c>
      <c r="M1321">
        <v>179806.56</v>
      </c>
      <c r="N1321" t="s">
        <v>27</v>
      </c>
      <c r="O1321">
        <v>2024</v>
      </c>
    </row>
    <row r="1322" spans="1:15" x14ac:dyDescent="0.3">
      <c r="A1322" t="s">
        <v>1407</v>
      </c>
      <c r="B1322" t="s">
        <v>89</v>
      </c>
      <c r="C1322" t="s">
        <v>17</v>
      </c>
      <c r="D1322" t="s">
        <v>18</v>
      </c>
      <c r="E1322" t="s">
        <v>44</v>
      </c>
      <c r="F1322" s="1">
        <v>45504</v>
      </c>
      <c r="G1322">
        <v>7</v>
      </c>
      <c r="H1322">
        <v>60135.92</v>
      </c>
      <c r="I1322">
        <v>0</v>
      </c>
      <c r="J1322" t="s">
        <v>45</v>
      </c>
      <c r="K1322">
        <v>0</v>
      </c>
      <c r="L1322">
        <v>420951.44</v>
      </c>
      <c r="M1322">
        <v>420951.44</v>
      </c>
      <c r="N1322" t="s">
        <v>122</v>
      </c>
      <c r="O1322">
        <v>2024</v>
      </c>
    </row>
    <row r="1323" spans="1:15" x14ac:dyDescent="0.3">
      <c r="A1323" t="s">
        <v>1408</v>
      </c>
      <c r="B1323" t="s">
        <v>89</v>
      </c>
      <c r="C1323" t="s">
        <v>90</v>
      </c>
      <c r="D1323" t="s">
        <v>105</v>
      </c>
      <c r="E1323" t="s">
        <v>30</v>
      </c>
      <c r="F1323" s="1">
        <v>45507</v>
      </c>
      <c r="G1323">
        <v>7</v>
      </c>
      <c r="H1323">
        <v>3478.35</v>
      </c>
      <c r="I1323">
        <v>10</v>
      </c>
      <c r="J1323" t="s">
        <v>82</v>
      </c>
      <c r="K1323">
        <v>2434.85</v>
      </c>
      <c r="L1323">
        <v>24348.45</v>
      </c>
      <c r="M1323">
        <v>21913.599999999999</v>
      </c>
      <c r="N1323" t="s">
        <v>21</v>
      </c>
      <c r="O1323">
        <v>2024</v>
      </c>
    </row>
    <row r="1324" spans="1:15" x14ac:dyDescent="0.3">
      <c r="A1324" t="s">
        <v>1409</v>
      </c>
      <c r="B1324" t="s">
        <v>53</v>
      </c>
      <c r="C1324" t="s">
        <v>90</v>
      </c>
      <c r="D1324" t="s">
        <v>107</v>
      </c>
      <c r="E1324" t="s">
        <v>19</v>
      </c>
      <c r="F1324" s="1">
        <v>45474</v>
      </c>
      <c r="G1324">
        <v>10</v>
      </c>
      <c r="H1324">
        <v>12693.64</v>
      </c>
      <c r="I1324">
        <v>0</v>
      </c>
      <c r="J1324" t="s">
        <v>26</v>
      </c>
      <c r="K1324">
        <v>0</v>
      </c>
      <c r="L1324">
        <v>126936.4</v>
      </c>
      <c r="M1324">
        <v>126936.4</v>
      </c>
      <c r="N1324" t="s">
        <v>122</v>
      </c>
      <c r="O1324">
        <v>2024</v>
      </c>
    </row>
    <row r="1325" spans="1:15" x14ac:dyDescent="0.3">
      <c r="A1325" t="s">
        <v>1410</v>
      </c>
      <c r="B1325" t="s">
        <v>33</v>
      </c>
      <c r="C1325" t="s">
        <v>17</v>
      </c>
      <c r="D1325" t="s">
        <v>39</v>
      </c>
      <c r="E1325" t="s">
        <v>56</v>
      </c>
      <c r="F1325" s="1">
        <v>45454</v>
      </c>
      <c r="G1325">
        <v>9</v>
      </c>
      <c r="H1325">
        <v>19537.64</v>
      </c>
      <c r="I1325">
        <v>0</v>
      </c>
      <c r="J1325" t="s">
        <v>26</v>
      </c>
      <c r="K1325">
        <v>0</v>
      </c>
      <c r="L1325">
        <v>175838.76</v>
      </c>
      <c r="M1325">
        <v>175838.76</v>
      </c>
      <c r="N1325" t="s">
        <v>72</v>
      </c>
      <c r="O1325">
        <v>2024</v>
      </c>
    </row>
    <row r="1326" spans="1:15" x14ac:dyDescent="0.3">
      <c r="A1326" t="s">
        <v>1411</v>
      </c>
      <c r="B1326" t="s">
        <v>109</v>
      </c>
      <c r="C1326" t="s">
        <v>34</v>
      </c>
      <c r="D1326" t="s">
        <v>66</v>
      </c>
      <c r="E1326" t="s">
        <v>81</v>
      </c>
      <c r="F1326" s="1">
        <v>45822</v>
      </c>
      <c r="G1326">
        <v>9</v>
      </c>
      <c r="H1326">
        <v>43609.61</v>
      </c>
      <c r="I1326">
        <v>5</v>
      </c>
      <c r="J1326" t="s">
        <v>26</v>
      </c>
      <c r="K1326">
        <v>19624.32</v>
      </c>
      <c r="L1326">
        <v>392486.49</v>
      </c>
      <c r="M1326">
        <v>372862.17</v>
      </c>
      <c r="N1326" t="s">
        <v>72</v>
      </c>
      <c r="O1326">
        <v>2025</v>
      </c>
    </row>
    <row r="1327" spans="1:15" x14ac:dyDescent="0.3">
      <c r="A1327" t="s">
        <v>1412</v>
      </c>
      <c r="B1327" t="s">
        <v>114</v>
      </c>
      <c r="C1327" t="s">
        <v>62</v>
      </c>
      <c r="D1327" t="s">
        <v>95</v>
      </c>
      <c r="E1327" t="s">
        <v>50</v>
      </c>
      <c r="F1327" s="1">
        <v>45627</v>
      </c>
      <c r="G1327">
        <v>3</v>
      </c>
      <c r="H1327">
        <v>840.35</v>
      </c>
      <c r="I1327">
        <v>5</v>
      </c>
      <c r="J1327" t="s">
        <v>26</v>
      </c>
      <c r="K1327">
        <v>126.05</v>
      </c>
      <c r="L1327">
        <v>2521.0500000000002</v>
      </c>
      <c r="M1327">
        <v>2395</v>
      </c>
      <c r="N1327" t="s">
        <v>51</v>
      </c>
      <c r="O1327">
        <v>2024</v>
      </c>
    </row>
    <row r="1328" spans="1:15" x14ac:dyDescent="0.3">
      <c r="A1328" t="s">
        <v>1413</v>
      </c>
      <c r="B1328" t="s">
        <v>89</v>
      </c>
      <c r="C1328" t="s">
        <v>62</v>
      </c>
      <c r="D1328" t="s">
        <v>119</v>
      </c>
      <c r="E1328" t="s">
        <v>50</v>
      </c>
      <c r="F1328" s="1">
        <v>45648</v>
      </c>
      <c r="G1328">
        <v>9</v>
      </c>
      <c r="H1328">
        <v>4092.48</v>
      </c>
      <c r="I1328">
        <v>15</v>
      </c>
      <c r="J1328" t="s">
        <v>82</v>
      </c>
      <c r="K1328">
        <v>5524.85</v>
      </c>
      <c r="L1328">
        <v>36832.32</v>
      </c>
      <c r="M1328">
        <v>31307.47</v>
      </c>
      <c r="N1328" t="s">
        <v>51</v>
      </c>
      <c r="O1328">
        <v>2024</v>
      </c>
    </row>
    <row r="1329" spans="1:15" x14ac:dyDescent="0.3">
      <c r="A1329" t="s">
        <v>1414</v>
      </c>
      <c r="B1329" t="s">
        <v>65</v>
      </c>
      <c r="C1329" t="s">
        <v>90</v>
      </c>
      <c r="D1329" t="s">
        <v>152</v>
      </c>
      <c r="E1329" t="s">
        <v>56</v>
      </c>
      <c r="F1329" s="1">
        <v>45548</v>
      </c>
      <c r="G1329">
        <v>3</v>
      </c>
      <c r="H1329">
        <v>9494.69</v>
      </c>
      <c r="I1329">
        <v>10</v>
      </c>
      <c r="J1329" t="s">
        <v>20</v>
      </c>
      <c r="K1329">
        <v>2848.41</v>
      </c>
      <c r="L1329">
        <v>28484.07</v>
      </c>
      <c r="M1329">
        <v>25635.66</v>
      </c>
      <c r="N1329" t="s">
        <v>86</v>
      </c>
      <c r="O1329">
        <v>2024</v>
      </c>
    </row>
    <row r="1330" spans="1:15" x14ac:dyDescent="0.3">
      <c r="A1330" t="s">
        <v>1415</v>
      </c>
      <c r="B1330" t="s">
        <v>93</v>
      </c>
      <c r="C1330" t="s">
        <v>90</v>
      </c>
      <c r="D1330" t="s">
        <v>105</v>
      </c>
      <c r="E1330" t="s">
        <v>44</v>
      </c>
      <c r="F1330" s="1">
        <v>45461</v>
      </c>
      <c r="G1330">
        <v>4</v>
      </c>
      <c r="H1330">
        <v>3984.54</v>
      </c>
      <c r="I1330">
        <v>15</v>
      </c>
      <c r="J1330" t="s">
        <v>40</v>
      </c>
      <c r="K1330">
        <v>2390.7199999999998</v>
      </c>
      <c r="L1330">
        <v>15938.16</v>
      </c>
      <c r="M1330">
        <v>13547.44</v>
      </c>
      <c r="N1330" t="s">
        <v>72</v>
      </c>
      <c r="O1330">
        <v>2024</v>
      </c>
    </row>
    <row r="1331" spans="1:15" x14ac:dyDescent="0.3">
      <c r="A1331" t="s">
        <v>1416</v>
      </c>
      <c r="B1331" t="s">
        <v>23</v>
      </c>
      <c r="C1331" t="s">
        <v>90</v>
      </c>
      <c r="D1331" t="s">
        <v>152</v>
      </c>
      <c r="E1331" t="s">
        <v>81</v>
      </c>
      <c r="F1331" s="1">
        <v>45618</v>
      </c>
      <c r="G1331">
        <v>10</v>
      </c>
      <c r="H1331">
        <v>10195.790000000001</v>
      </c>
      <c r="I1331">
        <v>15</v>
      </c>
      <c r="J1331" t="s">
        <v>40</v>
      </c>
      <c r="K1331">
        <v>15293.68</v>
      </c>
      <c r="L1331">
        <v>101957.9</v>
      </c>
      <c r="M1331">
        <v>86664.22</v>
      </c>
      <c r="N1331" t="s">
        <v>96</v>
      </c>
      <c r="O1331">
        <v>2024</v>
      </c>
    </row>
    <row r="1332" spans="1:15" x14ac:dyDescent="0.3">
      <c r="A1332" t="s">
        <v>1417</v>
      </c>
      <c r="B1332" t="s">
        <v>93</v>
      </c>
      <c r="C1332" t="s">
        <v>90</v>
      </c>
      <c r="D1332" t="s">
        <v>107</v>
      </c>
      <c r="E1332" t="s">
        <v>19</v>
      </c>
      <c r="F1332" s="1">
        <v>45939</v>
      </c>
      <c r="G1332">
        <v>2</v>
      </c>
      <c r="H1332">
        <v>13363.03</v>
      </c>
      <c r="I1332">
        <v>0</v>
      </c>
      <c r="J1332" t="s">
        <v>45</v>
      </c>
      <c r="K1332">
        <v>0</v>
      </c>
      <c r="L1332">
        <v>26726.06</v>
      </c>
      <c r="M1332">
        <v>26726.06</v>
      </c>
      <c r="N1332" t="s">
        <v>57</v>
      </c>
      <c r="O1332">
        <v>2025</v>
      </c>
    </row>
    <row r="1333" spans="1:15" x14ac:dyDescent="0.3">
      <c r="A1333" t="s">
        <v>1418</v>
      </c>
      <c r="B1333" t="s">
        <v>93</v>
      </c>
      <c r="C1333" t="s">
        <v>54</v>
      </c>
      <c r="D1333" t="s">
        <v>137</v>
      </c>
      <c r="E1333" t="s">
        <v>56</v>
      </c>
      <c r="F1333" s="1">
        <v>45910</v>
      </c>
      <c r="G1333">
        <v>9</v>
      </c>
      <c r="H1333">
        <v>889.26</v>
      </c>
      <c r="I1333">
        <v>0</v>
      </c>
      <c r="J1333" t="s">
        <v>40</v>
      </c>
      <c r="K1333">
        <v>0</v>
      </c>
      <c r="L1333">
        <v>8003.34</v>
      </c>
      <c r="M1333">
        <v>8003.34</v>
      </c>
      <c r="N1333" t="s">
        <v>86</v>
      </c>
      <c r="O1333">
        <v>2025</v>
      </c>
    </row>
    <row r="1334" spans="1:15" x14ac:dyDescent="0.3">
      <c r="A1334" t="s">
        <v>1419</v>
      </c>
      <c r="B1334" t="s">
        <v>74</v>
      </c>
      <c r="C1334" t="s">
        <v>17</v>
      </c>
      <c r="D1334" t="s">
        <v>59</v>
      </c>
      <c r="E1334" t="s">
        <v>19</v>
      </c>
      <c r="F1334" s="1">
        <v>45482</v>
      </c>
      <c r="G1334">
        <v>6</v>
      </c>
      <c r="H1334">
        <v>24033.24</v>
      </c>
      <c r="I1334">
        <v>5</v>
      </c>
      <c r="J1334" t="s">
        <v>31</v>
      </c>
      <c r="K1334">
        <v>7209.97</v>
      </c>
      <c r="L1334">
        <v>144199.44</v>
      </c>
      <c r="M1334">
        <v>136989.47</v>
      </c>
      <c r="N1334" t="s">
        <v>122</v>
      </c>
      <c r="O1334">
        <v>2024</v>
      </c>
    </row>
    <row r="1335" spans="1:15" x14ac:dyDescent="0.3">
      <c r="A1335" t="s">
        <v>1420</v>
      </c>
      <c r="B1335" t="s">
        <v>53</v>
      </c>
      <c r="C1335" t="s">
        <v>62</v>
      </c>
      <c r="D1335" t="s">
        <v>119</v>
      </c>
      <c r="E1335" t="s">
        <v>44</v>
      </c>
      <c r="F1335" s="1">
        <v>45417</v>
      </c>
      <c r="G1335">
        <v>1</v>
      </c>
      <c r="H1335">
        <v>3428.77</v>
      </c>
      <c r="I1335">
        <v>0</v>
      </c>
      <c r="J1335" t="s">
        <v>45</v>
      </c>
      <c r="K1335">
        <v>0</v>
      </c>
      <c r="L1335">
        <v>3428.77</v>
      </c>
      <c r="M1335">
        <v>3428.77</v>
      </c>
      <c r="N1335" t="s">
        <v>101</v>
      </c>
      <c r="O1335">
        <v>2024</v>
      </c>
    </row>
    <row r="1336" spans="1:15" x14ac:dyDescent="0.3">
      <c r="A1336" t="s">
        <v>1421</v>
      </c>
      <c r="B1336" t="s">
        <v>89</v>
      </c>
      <c r="C1336" t="s">
        <v>62</v>
      </c>
      <c r="D1336" t="s">
        <v>63</v>
      </c>
      <c r="E1336" t="s">
        <v>81</v>
      </c>
      <c r="F1336" s="1">
        <v>45530</v>
      </c>
      <c r="G1336">
        <v>9</v>
      </c>
      <c r="H1336">
        <v>1649.81</v>
      </c>
      <c r="I1336">
        <v>10</v>
      </c>
      <c r="J1336" t="s">
        <v>45</v>
      </c>
      <c r="K1336">
        <v>1484.83</v>
      </c>
      <c r="L1336">
        <v>14848.29</v>
      </c>
      <c r="M1336">
        <v>13363.46</v>
      </c>
      <c r="N1336" t="s">
        <v>21</v>
      </c>
      <c r="O1336">
        <v>2024</v>
      </c>
    </row>
    <row r="1337" spans="1:15" x14ac:dyDescent="0.3">
      <c r="A1337" t="s">
        <v>1422</v>
      </c>
      <c r="B1337" t="s">
        <v>65</v>
      </c>
      <c r="C1337" t="s">
        <v>54</v>
      </c>
      <c r="D1337" t="s">
        <v>55</v>
      </c>
      <c r="E1337" t="s">
        <v>50</v>
      </c>
      <c r="F1337" s="1">
        <v>45866</v>
      </c>
      <c r="G1337">
        <v>5</v>
      </c>
      <c r="H1337">
        <v>1294.8800000000001</v>
      </c>
      <c r="I1337">
        <v>0</v>
      </c>
      <c r="J1337" t="s">
        <v>82</v>
      </c>
      <c r="K1337">
        <v>0</v>
      </c>
      <c r="L1337">
        <v>6474.4</v>
      </c>
      <c r="M1337">
        <v>6474.4</v>
      </c>
      <c r="N1337" t="s">
        <v>122</v>
      </c>
      <c r="O1337">
        <v>2025</v>
      </c>
    </row>
    <row r="1338" spans="1:15" x14ac:dyDescent="0.3">
      <c r="A1338" t="s">
        <v>1423</v>
      </c>
      <c r="B1338" t="s">
        <v>61</v>
      </c>
      <c r="C1338" t="s">
        <v>54</v>
      </c>
      <c r="D1338" t="s">
        <v>68</v>
      </c>
      <c r="E1338" t="s">
        <v>44</v>
      </c>
      <c r="F1338" s="1">
        <v>45617</v>
      </c>
      <c r="G1338">
        <v>6</v>
      </c>
      <c r="H1338">
        <v>4700.21</v>
      </c>
      <c r="I1338">
        <v>0</v>
      </c>
      <c r="J1338" t="s">
        <v>31</v>
      </c>
      <c r="K1338">
        <v>0</v>
      </c>
      <c r="L1338">
        <v>28201.26</v>
      </c>
      <c r="M1338">
        <v>28201.26</v>
      </c>
      <c r="N1338" t="s">
        <v>96</v>
      </c>
      <c r="O1338">
        <v>2024</v>
      </c>
    </row>
    <row r="1339" spans="1:15" x14ac:dyDescent="0.3">
      <c r="A1339" t="s">
        <v>1424</v>
      </c>
      <c r="B1339" t="s">
        <v>109</v>
      </c>
      <c r="C1339" t="s">
        <v>90</v>
      </c>
      <c r="D1339" t="s">
        <v>152</v>
      </c>
      <c r="E1339" t="s">
        <v>19</v>
      </c>
      <c r="F1339" s="1">
        <v>45414</v>
      </c>
      <c r="G1339">
        <v>2</v>
      </c>
      <c r="H1339">
        <v>10131.959999999999</v>
      </c>
      <c r="I1339">
        <v>20</v>
      </c>
      <c r="J1339" t="s">
        <v>31</v>
      </c>
      <c r="K1339">
        <v>4052.78</v>
      </c>
      <c r="L1339">
        <v>20263.919999999998</v>
      </c>
      <c r="M1339">
        <v>16211.14</v>
      </c>
      <c r="N1339" t="s">
        <v>101</v>
      </c>
      <c r="O1339">
        <v>2024</v>
      </c>
    </row>
    <row r="1340" spans="1:15" x14ac:dyDescent="0.3">
      <c r="A1340" t="s">
        <v>1425</v>
      </c>
      <c r="B1340" t="s">
        <v>23</v>
      </c>
      <c r="C1340" t="s">
        <v>62</v>
      </c>
      <c r="D1340" t="s">
        <v>132</v>
      </c>
      <c r="E1340" t="s">
        <v>50</v>
      </c>
      <c r="F1340" s="1">
        <v>45583</v>
      </c>
      <c r="G1340">
        <v>1</v>
      </c>
      <c r="H1340">
        <v>2917.52</v>
      </c>
      <c r="I1340">
        <v>20</v>
      </c>
      <c r="J1340" t="s">
        <v>26</v>
      </c>
      <c r="K1340">
        <v>583.5</v>
      </c>
      <c r="L1340">
        <v>2917.52</v>
      </c>
      <c r="M1340">
        <v>2334.02</v>
      </c>
      <c r="N1340" t="s">
        <v>57</v>
      </c>
      <c r="O1340">
        <v>2024</v>
      </c>
    </row>
    <row r="1341" spans="1:15" x14ac:dyDescent="0.3">
      <c r="A1341" t="s">
        <v>1426</v>
      </c>
      <c r="B1341" t="s">
        <v>43</v>
      </c>
      <c r="C1341" t="s">
        <v>17</v>
      </c>
      <c r="D1341" t="s">
        <v>157</v>
      </c>
      <c r="E1341" t="s">
        <v>50</v>
      </c>
      <c r="F1341" s="1">
        <v>45329</v>
      </c>
      <c r="G1341">
        <v>9</v>
      </c>
      <c r="H1341">
        <v>7906.56</v>
      </c>
      <c r="I1341">
        <v>0</v>
      </c>
      <c r="J1341" t="s">
        <v>31</v>
      </c>
      <c r="K1341">
        <v>0</v>
      </c>
      <c r="L1341">
        <v>71159.039999999994</v>
      </c>
      <c r="M1341">
        <v>71159.039999999994</v>
      </c>
      <c r="N1341" t="s">
        <v>41</v>
      </c>
      <c r="O1341">
        <v>2024</v>
      </c>
    </row>
    <row r="1342" spans="1:15" x14ac:dyDescent="0.3">
      <c r="A1342" t="s">
        <v>1427</v>
      </c>
      <c r="B1342" t="s">
        <v>47</v>
      </c>
      <c r="C1342" t="s">
        <v>62</v>
      </c>
      <c r="D1342" t="s">
        <v>95</v>
      </c>
      <c r="E1342" t="s">
        <v>56</v>
      </c>
      <c r="F1342" s="1">
        <v>45717</v>
      </c>
      <c r="G1342">
        <v>5</v>
      </c>
      <c r="H1342">
        <v>774.93</v>
      </c>
      <c r="I1342">
        <v>10</v>
      </c>
      <c r="J1342" t="s">
        <v>82</v>
      </c>
      <c r="K1342">
        <v>387.47</v>
      </c>
      <c r="L1342">
        <v>3874.65</v>
      </c>
      <c r="M1342">
        <v>3487.18</v>
      </c>
      <c r="N1342" t="s">
        <v>83</v>
      </c>
      <c r="O1342">
        <v>2025</v>
      </c>
    </row>
    <row r="1343" spans="1:15" x14ac:dyDescent="0.3">
      <c r="A1343" t="s">
        <v>1428</v>
      </c>
      <c r="B1343" t="s">
        <v>65</v>
      </c>
      <c r="C1343" t="s">
        <v>90</v>
      </c>
      <c r="D1343" t="s">
        <v>105</v>
      </c>
      <c r="E1343" t="s">
        <v>44</v>
      </c>
      <c r="F1343" s="1">
        <v>45797</v>
      </c>
      <c r="G1343">
        <v>10</v>
      </c>
      <c r="H1343">
        <v>3191.19</v>
      </c>
      <c r="I1343">
        <v>10</v>
      </c>
      <c r="J1343" t="s">
        <v>45</v>
      </c>
      <c r="K1343">
        <v>3191.19</v>
      </c>
      <c r="L1343">
        <v>31911.9</v>
      </c>
      <c r="M1343">
        <v>28720.71</v>
      </c>
      <c r="N1343" t="s">
        <v>101</v>
      </c>
      <c r="O1343">
        <v>2025</v>
      </c>
    </row>
    <row r="1344" spans="1:15" x14ac:dyDescent="0.3">
      <c r="A1344" t="s">
        <v>1429</v>
      </c>
      <c r="B1344" t="s">
        <v>38</v>
      </c>
      <c r="C1344" t="s">
        <v>90</v>
      </c>
      <c r="D1344" t="s">
        <v>152</v>
      </c>
      <c r="E1344" t="s">
        <v>30</v>
      </c>
      <c r="F1344" s="1">
        <v>45674</v>
      </c>
      <c r="G1344">
        <v>10</v>
      </c>
      <c r="H1344">
        <v>9256.86</v>
      </c>
      <c r="I1344">
        <v>5</v>
      </c>
      <c r="J1344" t="s">
        <v>82</v>
      </c>
      <c r="K1344">
        <v>4628.43</v>
      </c>
      <c r="L1344">
        <v>92568.6</v>
      </c>
      <c r="M1344">
        <v>87940.17</v>
      </c>
      <c r="N1344" t="s">
        <v>116</v>
      </c>
      <c r="O1344">
        <v>2025</v>
      </c>
    </row>
    <row r="1345" spans="1:15" x14ac:dyDescent="0.3">
      <c r="A1345" t="s">
        <v>1430</v>
      </c>
      <c r="B1345" t="s">
        <v>53</v>
      </c>
      <c r="C1345" t="s">
        <v>17</v>
      </c>
      <c r="D1345" t="s">
        <v>18</v>
      </c>
      <c r="E1345" t="s">
        <v>25</v>
      </c>
      <c r="F1345" s="1">
        <v>45996</v>
      </c>
      <c r="G1345">
        <v>7</v>
      </c>
      <c r="H1345">
        <v>68395.850000000006</v>
      </c>
      <c r="I1345">
        <v>0</v>
      </c>
      <c r="J1345" t="s">
        <v>45</v>
      </c>
      <c r="K1345">
        <v>0</v>
      </c>
      <c r="L1345">
        <v>478770.95</v>
      </c>
      <c r="M1345">
        <v>478770.95</v>
      </c>
      <c r="N1345" t="s">
        <v>51</v>
      </c>
      <c r="O1345">
        <v>2025</v>
      </c>
    </row>
    <row r="1346" spans="1:15" x14ac:dyDescent="0.3">
      <c r="A1346" t="s">
        <v>1431</v>
      </c>
      <c r="B1346" t="s">
        <v>38</v>
      </c>
      <c r="C1346" t="s">
        <v>34</v>
      </c>
      <c r="D1346" t="s">
        <v>48</v>
      </c>
      <c r="E1346" t="s">
        <v>81</v>
      </c>
      <c r="F1346" s="1">
        <v>45996</v>
      </c>
      <c r="G1346">
        <v>1</v>
      </c>
      <c r="H1346">
        <v>8491.31</v>
      </c>
      <c r="I1346">
        <v>0</v>
      </c>
      <c r="J1346" t="s">
        <v>26</v>
      </c>
      <c r="K1346">
        <v>0</v>
      </c>
      <c r="L1346">
        <v>8491.31</v>
      </c>
      <c r="M1346">
        <v>8491.31</v>
      </c>
      <c r="N1346" t="s">
        <v>51</v>
      </c>
      <c r="O1346">
        <v>2025</v>
      </c>
    </row>
    <row r="1347" spans="1:15" x14ac:dyDescent="0.3">
      <c r="A1347" t="s">
        <v>1432</v>
      </c>
      <c r="B1347" t="s">
        <v>43</v>
      </c>
      <c r="C1347" t="s">
        <v>17</v>
      </c>
      <c r="D1347" t="s">
        <v>18</v>
      </c>
      <c r="E1347" t="s">
        <v>25</v>
      </c>
      <c r="F1347" s="1">
        <v>45629</v>
      </c>
      <c r="G1347">
        <v>10</v>
      </c>
      <c r="H1347">
        <v>78500.350000000006</v>
      </c>
      <c r="I1347">
        <v>15</v>
      </c>
      <c r="J1347" t="s">
        <v>40</v>
      </c>
      <c r="K1347">
        <v>117750.52</v>
      </c>
      <c r="L1347">
        <v>785003.5</v>
      </c>
      <c r="M1347">
        <v>667252.98</v>
      </c>
      <c r="N1347" t="s">
        <v>51</v>
      </c>
      <c r="O1347">
        <v>2024</v>
      </c>
    </row>
    <row r="1348" spans="1:15" x14ac:dyDescent="0.3">
      <c r="A1348" t="s">
        <v>1433</v>
      </c>
      <c r="B1348" t="s">
        <v>114</v>
      </c>
      <c r="C1348" t="s">
        <v>62</v>
      </c>
      <c r="D1348" t="s">
        <v>63</v>
      </c>
      <c r="E1348" t="s">
        <v>50</v>
      </c>
      <c r="F1348" s="1">
        <v>45414</v>
      </c>
      <c r="G1348">
        <v>3</v>
      </c>
      <c r="H1348">
        <v>1763.7</v>
      </c>
      <c r="I1348">
        <v>5</v>
      </c>
      <c r="J1348" t="s">
        <v>71</v>
      </c>
      <c r="K1348">
        <v>264.56</v>
      </c>
      <c r="L1348">
        <v>5291.1</v>
      </c>
      <c r="M1348">
        <v>5026.54</v>
      </c>
      <c r="N1348" t="s">
        <v>101</v>
      </c>
      <c r="O1348">
        <v>2024</v>
      </c>
    </row>
    <row r="1349" spans="1:15" x14ac:dyDescent="0.3">
      <c r="A1349" t="s">
        <v>1434</v>
      </c>
      <c r="B1349" t="s">
        <v>61</v>
      </c>
      <c r="C1349" t="s">
        <v>54</v>
      </c>
      <c r="D1349" t="s">
        <v>68</v>
      </c>
      <c r="E1349" t="s">
        <v>56</v>
      </c>
      <c r="F1349" s="1">
        <v>45826</v>
      </c>
      <c r="G1349">
        <v>9</v>
      </c>
      <c r="H1349">
        <v>4320.59</v>
      </c>
      <c r="I1349">
        <v>15</v>
      </c>
      <c r="J1349" t="s">
        <v>82</v>
      </c>
      <c r="K1349">
        <v>5832.8</v>
      </c>
      <c r="L1349">
        <v>38885.31</v>
      </c>
      <c r="M1349">
        <v>33052.51</v>
      </c>
      <c r="N1349" t="s">
        <v>72</v>
      </c>
      <c r="O1349">
        <v>2025</v>
      </c>
    </row>
    <row r="1350" spans="1:15" x14ac:dyDescent="0.3">
      <c r="A1350" t="s">
        <v>1435</v>
      </c>
      <c r="B1350" t="s">
        <v>33</v>
      </c>
      <c r="C1350" t="s">
        <v>90</v>
      </c>
      <c r="D1350" t="s">
        <v>115</v>
      </c>
      <c r="E1350" t="s">
        <v>44</v>
      </c>
      <c r="F1350" s="1">
        <v>45523</v>
      </c>
      <c r="G1350">
        <v>2</v>
      </c>
      <c r="H1350">
        <v>7727.62</v>
      </c>
      <c r="I1350">
        <v>10</v>
      </c>
      <c r="J1350" t="s">
        <v>71</v>
      </c>
      <c r="K1350">
        <v>1545.52</v>
      </c>
      <c r="L1350">
        <v>15455.24</v>
      </c>
      <c r="M1350">
        <v>13909.72</v>
      </c>
      <c r="N1350" t="s">
        <v>21</v>
      </c>
      <c r="O1350">
        <v>2024</v>
      </c>
    </row>
    <row r="1351" spans="1:15" x14ac:dyDescent="0.3">
      <c r="A1351" t="s">
        <v>1436</v>
      </c>
      <c r="B1351" t="s">
        <v>65</v>
      </c>
      <c r="C1351" t="s">
        <v>17</v>
      </c>
      <c r="D1351" t="s">
        <v>39</v>
      </c>
      <c r="E1351" t="s">
        <v>44</v>
      </c>
      <c r="F1351" s="1">
        <v>45967</v>
      </c>
      <c r="G1351">
        <v>4</v>
      </c>
      <c r="H1351">
        <v>21260.080000000002</v>
      </c>
      <c r="I1351">
        <v>0</v>
      </c>
      <c r="J1351" t="s">
        <v>20</v>
      </c>
      <c r="K1351">
        <v>0</v>
      </c>
      <c r="L1351">
        <v>85040.320000000007</v>
      </c>
      <c r="M1351">
        <v>85040.320000000007</v>
      </c>
      <c r="N1351" t="s">
        <v>96</v>
      </c>
      <c r="O1351">
        <v>2025</v>
      </c>
    </row>
    <row r="1352" spans="1:15" x14ac:dyDescent="0.3">
      <c r="A1352" t="s">
        <v>1437</v>
      </c>
      <c r="B1352" t="s">
        <v>29</v>
      </c>
      <c r="C1352" t="s">
        <v>90</v>
      </c>
      <c r="D1352" t="s">
        <v>105</v>
      </c>
      <c r="E1352" t="s">
        <v>25</v>
      </c>
      <c r="F1352" s="1">
        <v>45771</v>
      </c>
      <c r="G1352">
        <v>7</v>
      </c>
      <c r="H1352">
        <v>3314.43</v>
      </c>
      <c r="I1352">
        <v>0</v>
      </c>
      <c r="J1352" t="s">
        <v>20</v>
      </c>
      <c r="K1352">
        <v>0</v>
      </c>
      <c r="L1352">
        <v>23201.01</v>
      </c>
      <c r="M1352">
        <v>23201.01</v>
      </c>
      <c r="N1352" t="s">
        <v>27</v>
      </c>
      <c r="O1352">
        <v>2025</v>
      </c>
    </row>
    <row r="1353" spans="1:15" x14ac:dyDescent="0.3">
      <c r="A1353" t="s">
        <v>1438</v>
      </c>
      <c r="B1353" t="s">
        <v>38</v>
      </c>
      <c r="C1353" t="s">
        <v>62</v>
      </c>
      <c r="D1353" t="s">
        <v>63</v>
      </c>
      <c r="E1353" t="s">
        <v>81</v>
      </c>
      <c r="F1353" s="1">
        <v>45611</v>
      </c>
      <c r="G1353">
        <v>8</v>
      </c>
      <c r="H1353">
        <v>2106.37</v>
      </c>
      <c r="I1353">
        <v>20</v>
      </c>
      <c r="J1353" t="s">
        <v>45</v>
      </c>
      <c r="K1353">
        <v>3370.19</v>
      </c>
      <c r="L1353">
        <v>16850.96</v>
      </c>
      <c r="M1353">
        <v>13480.77</v>
      </c>
      <c r="N1353" t="s">
        <v>96</v>
      </c>
      <c r="O1353">
        <v>2024</v>
      </c>
    </row>
    <row r="1354" spans="1:15" x14ac:dyDescent="0.3">
      <c r="A1354" t="s">
        <v>1439</v>
      </c>
      <c r="B1354" t="s">
        <v>29</v>
      </c>
      <c r="C1354" t="s">
        <v>17</v>
      </c>
      <c r="D1354" t="s">
        <v>59</v>
      </c>
      <c r="E1354" t="s">
        <v>19</v>
      </c>
      <c r="F1354" s="1">
        <v>45755</v>
      </c>
      <c r="G1354">
        <v>10</v>
      </c>
      <c r="H1354">
        <v>25709.15</v>
      </c>
      <c r="I1354">
        <v>15</v>
      </c>
      <c r="J1354" t="s">
        <v>31</v>
      </c>
      <c r="K1354">
        <v>38563.72</v>
      </c>
      <c r="L1354">
        <v>257091.5</v>
      </c>
      <c r="M1354">
        <v>218527.78</v>
      </c>
      <c r="N1354" t="s">
        <v>27</v>
      </c>
      <c r="O1354">
        <v>2025</v>
      </c>
    </row>
    <row r="1355" spans="1:15" x14ac:dyDescent="0.3">
      <c r="A1355" t="s">
        <v>1440</v>
      </c>
      <c r="B1355" t="s">
        <v>43</v>
      </c>
      <c r="C1355" t="s">
        <v>34</v>
      </c>
      <c r="D1355" t="s">
        <v>80</v>
      </c>
      <c r="E1355" t="s">
        <v>56</v>
      </c>
      <c r="F1355" s="1">
        <v>45994</v>
      </c>
      <c r="G1355">
        <v>5</v>
      </c>
      <c r="H1355">
        <v>7509.97</v>
      </c>
      <c r="I1355">
        <v>20</v>
      </c>
      <c r="J1355" t="s">
        <v>36</v>
      </c>
      <c r="K1355">
        <v>7509.97</v>
      </c>
      <c r="L1355">
        <v>37549.85</v>
      </c>
      <c r="M1355">
        <v>30039.88</v>
      </c>
      <c r="N1355" t="s">
        <v>51</v>
      </c>
      <c r="O1355">
        <v>2025</v>
      </c>
    </row>
    <row r="1356" spans="1:15" x14ac:dyDescent="0.3">
      <c r="A1356" t="s">
        <v>1441</v>
      </c>
      <c r="B1356" t="s">
        <v>89</v>
      </c>
      <c r="C1356" t="s">
        <v>17</v>
      </c>
      <c r="D1356" t="s">
        <v>59</v>
      </c>
      <c r="E1356" t="s">
        <v>25</v>
      </c>
      <c r="F1356" s="1">
        <v>45538</v>
      </c>
      <c r="G1356">
        <v>1</v>
      </c>
      <c r="H1356">
        <v>28088.11</v>
      </c>
      <c r="I1356">
        <v>5</v>
      </c>
      <c r="J1356" t="s">
        <v>82</v>
      </c>
      <c r="K1356">
        <v>1404.41</v>
      </c>
      <c r="L1356">
        <v>28088.11</v>
      </c>
      <c r="M1356">
        <v>26683.7</v>
      </c>
      <c r="N1356" t="s">
        <v>86</v>
      </c>
      <c r="O1356">
        <v>2024</v>
      </c>
    </row>
    <row r="1357" spans="1:15" x14ac:dyDescent="0.3">
      <c r="A1357" t="s">
        <v>1442</v>
      </c>
      <c r="B1357" t="s">
        <v>89</v>
      </c>
      <c r="C1357" t="s">
        <v>62</v>
      </c>
      <c r="D1357" t="s">
        <v>95</v>
      </c>
      <c r="E1357" t="s">
        <v>30</v>
      </c>
      <c r="F1357" s="1">
        <v>45652</v>
      </c>
      <c r="G1357">
        <v>5</v>
      </c>
      <c r="H1357">
        <v>818.03</v>
      </c>
      <c r="I1357">
        <v>20</v>
      </c>
      <c r="J1357" t="s">
        <v>71</v>
      </c>
      <c r="K1357">
        <v>818.03</v>
      </c>
      <c r="L1357">
        <v>4090.15</v>
      </c>
      <c r="M1357">
        <v>3272.12</v>
      </c>
      <c r="N1357" t="s">
        <v>51</v>
      </c>
      <c r="O1357">
        <v>2024</v>
      </c>
    </row>
    <row r="1358" spans="1:15" x14ac:dyDescent="0.3">
      <c r="A1358" t="s">
        <v>1443</v>
      </c>
      <c r="B1358" t="s">
        <v>23</v>
      </c>
      <c r="C1358" t="s">
        <v>17</v>
      </c>
      <c r="D1358" t="s">
        <v>39</v>
      </c>
      <c r="E1358" t="s">
        <v>50</v>
      </c>
      <c r="F1358" s="1">
        <v>45698</v>
      </c>
      <c r="G1358">
        <v>9</v>
      </c>
      <c r="H1358">
        <v>18138.82</v>
      </c>
      <c r="I1358">
        <v>10</v>
      </c>
      <c r="J1358" t="s">
        <v>36</v>
      </c>
      <c r="K1358">
        <v>16324.94</v>
      </c>
      <c r="L1358">
        <v>163249.38</v>
      </c>
      <c r="M1358">
        <v>146924.44</v>
      </c>
      <c r="N1358" t="s">
        <v>41</v>
      </c>
      <c r="O1358">
        <v>2025</v>
      </c>
    </row>
    <row r="1359" spans="1:15" x14ac:dyDescent="0.3">
      <c r="A1359" t="s">
        <v>1444</v>
      </c>
      <c r="B1359" t="s">
        <v>43</v>
      </c>
      <c r="C1359" t="s">
        <v>17</v>
      </c>
      <c r="D1359" t="s">
        <v>157</v>
      </c>
      <c r="E1359" t="s">
        <v>19</v>
      </c>
      <c r="F1359" s="1">
        <v>45342</v>
      </c>
      <c r="G1359">
        <v>7</v>
      </c>
      <c r="H1359">
        <v>7581</v>
      </c>
      <c r="I1359">
        <v>15</v>
      </c>
      <c r="J1359" t="s">
        <v>82</v>
      </c>
      <c r="K1359">
        <v>7960.05</v>
      </c>
      <c r="L1359">
        <v>53067</v>
      </c>
      <c r="M1359">
        <v>45106.95</v>
      </c>
      <c r="N1359" t="s">
        <v>41</v>
      </c>
      <c r="O1359">
        <v>2024</v>
      </c>
    </row>
    <row r="1360" spans="1:15" x14ac:dyDescent="0.3">
      <c r="A1360" t="s">
        <v>1445</v>
      </c>
      <c r="B1360" t="s">
        <v>29</v>
      </c>
      <c r="C1360" t="s">
        <v>34</v>
      </c>
      <c r="D1360" t="s">
        <v>48</v>
      </c>
      <c r="E1360" t="s">
        <v>56</v>
      </c>
      <c r="F1360" s="1">
        <v>45900</v>
      </c>
      <c r="G1360">
        <v>5</v>
      </c>
      <c r="H1360">
        <v>8259.1299999999992</v>
      </c>
      <c r="I1360">
        <v>15</v>
      </c>
      <c r="J1360" t="s">
        <v>36</v>
      </c>
      <c r="K1360">
        <v>6194.35</v>
      </c>
      <c r="L1360">
        <v>41295.65</v>
      </c>
      <c r="M1360">
        <v>35101.300000000003</v>
      </c>
      <c r="N1360" t="s">
        <v>21</v>
      </c>
      <c r="O1360">
        <v>2025</v>
      </c>
    </row>
    <row r="1361" spans="1:15" x14ac:dyDescent="0.3">
      <c r="A1361" t="s">
        <v>1446</v>
      </c>
      <c r="B1361" t="s">
        <v>47</v>
      </c>
      <c r="C1361" t="s">
        <v>54</v>
      </c>
      <c r="D1361" t="s">
        <v>68</v>
      </c>
      <c r="E1361" t="s">
        <v>30</v>
      </c>
      <c r="F1361" s="1">
        <v>45953</v>
      </c>
      <c r="G1361">
        <v>4</v>
      </c>
      <c r="H1361">
        <v>5641.73</v>
      </c>
      <c r="I1361">
        <v>5</v>
      </c>
      <c r="J1361" t="s">
        <v>26</v>
      </c>
      <c r="K1361">
        <v>1128.3499999999999</v>
      </c>
      <c r="L1361">
        <v>22566.92</v>
      </c>
      <c r="M1361">
        <v>21438.57</v>
      </c>
      <c r="N1361" t="s">
        <v>57</v>
      </c>
      <c r="O1361">
        <v>2025</v>
      </c>
    </row>
    <row r="1362" spans="1:15" x14ac:dyDescent="0.3">
      <c r="A1362" t="s">
        <v>1447</v>
      </c>
      <c r="B1362" t="s">
        <v>114</v>
      </c>
      <c r="C1362" t="s">
        <v>17</v>
      </c>
      <c r="D1362" t="s">
        <v>18</v>
      </c>
      <c r="E1362" t="s">
        <v>25</v>
      </c>
      <c r="F1362" s="1">
        <v>45536</v>
      </c>
      <c r="G1362">
        <v>2</v>
      </c>
      <c r="H1362">
        <v>67147.14</v>
      </c>
      <c r="I1362">
        <v>10</v>
      </c>
      <c r="J1362" t="s">
        <v>40</v>
      </c>
      <c r="K1362">
        <v>13429.43</v>
      </c>
      <c r="L1362">
        <v>134294.28</v>
      </c>
      <c r="M1362">
        <v>120864.85</v>
      </c>
      <c r="N1362" t="s">
        <v>86</v>
      </c>
      <c r="O1362">
        <v>2024</v>
      </c>
    </row>
    <row r="1363" spans="1:15" x14ac:dyDescent="0.3">
      <c r="A1363" t="s">
        <v>1448</v>
      </c>
      <c r="B1363" t="s">
        <v>16</v>
      </c>
      <c r="C1363" t="s">
        <v>34</v>
      </c>
      <c r="D1363" t="s">
        <v>66</v>
      </c>
      <c r="E1363" t="s">
        <v>30</v>
      </c>
      <c r="F1363" s="1">
        <v>45693</v>
      </c>
      <c r="G1363">
        <v>7</v>
      </c>
      <c r="H1363">
        <v>37013.040000000001</v>
      </c>
      <c r="I1363">
        <v>10</v>
      </c>
      <c r="J1363" t="s">
        <v>31</v>
      </c>
      <c r="K1363">
        <v>25909.13</v>
      </c>
      <c r="L1363">
        <v>259091.28</v>
      </c>
      <c r="M1363">
        <v>233182.15</v>
      </c>
      <c r="N1363" t="s">
        <v>41</v>
      </c>
      <c r="O1363">
        <v>2025</v>
      </c>
    </row>
    <row r="1364" spans="1:15" x14ac:dyDescent="0.3">
      <c r="A1364" t="s">
        <v>1449</v>
      </c>
      <c r="B1364" t="s">
        <v>53</v>
      </c>
      <c r="C1364" t="s">
        <v>90</v>
      </c>
      <c r="D1364" t="s">
        <v>107</v>
      </c>
      <c r="E1364" t="s">
        <v>44</v>
      </c>
      <c r="F1364" s="1">
        <v>45647</v>
      </c>
      <c r="G1364">
        <v>5</v>
      </c>
      <c r="H1364">
        <v>14209.32</v>
      </c>
      <c r="I1364">
        <v>10</v>
      </c>
      <c r="J1364" t="s">
        <v>20</v>
      </c>
      <c r="K1364">
        <v>7104.66</v>
      </c>
      <c r="L1364">
        <v>71046.600000000006</v>
      </c>
      <c r="M1364">
        <v>63941.94</v>
      </c>
      <c r="N1364" t="s">
        <v>51</v>
      </c>
      <c r="O1364">
        <v>2024</v>
      </c>
    </row>
    <row r="1365" spans="1:15" x14ac:dyDescent="0.3">
      <c r="A1365" t="s">
        <v>1450</v>
      </c>
      <c r="B1365" t="s">
        <v>53</v>
      </c>
      <c r="C1365" t="s">
        <v>17</v>
      </c>
      <c r="D1365" t="s">
        <v>18</v>
      </c>
      <c r="E1365" t="s">
        <v>81</v>
      </c>
      <c r="F1365" s="1">
        <v>45604</v>
      </c>
      <c r="G1365">
        <v>4</v>
      </c>
      <c r="H1365">
        <v>67392.91</v>
      </c>
      <c r="I1365">
        <v>0</v>
      </c>
      <c r="J1365" t="s">
        <v>71</v>
      </c>
      <c r="K1365">
        <v>0</v>
      </c>
      <c r="L1365">
        <v>269571.64</v>
      </c>
      <c r="M1365">
        <v>269571.64</v>
      </c>
      <c r="N1365" t="s">
        <v>96</v>
      </c>
      <c r="O1365">
        <v>2024</v>
      </c>
    </row>
    <row r="1366" spans="1:15" x14ac:dyDescent="0.3">
      <c r="A1366" t="s">
        <v>1451</v>
      </c>
      <c r="B1366" t="s">
        <v>33</v>
      </c>
      <c r="C1366" t="s">
        <v>34</v>
      </c>
      <c r="D1366" t="s">
        <v>85</v>
      </c>
      <c r="E1366" t="s">
        <v>56</v>
      </c>
      <c r="F1366" s="1">
        <v>45305</v>
      </c>
      <c r="G1366">
        <v>8</v>
      </c>
      <c r="H1366">
        <v>12083.77</v>
      </c>
      <c r="I1366">
        <v>0</v>
      </c>
      <c r="J1366" t="s">
        <v>36</v>
      </c>
      <c r="K1366">
        <v>0</v>
      </c>
      <c r="L1366">
        <v>96670.16</v>
      </c>
      <c r="M1366">
        <v>96670.16</v>
      </c>
      <c r="N1366" t="s">
        <v>116</v>
      </c>
      <c r="O1366">
        <v>2024</v>
      </c>
    </row>
    <row r="1367" spans="1:15" x14ac:dyDescent="0.3">
      <c r="A1367" t="s">
        <v>1452</v>
      </c>
      <c r="B1367" t="s">
        <v>114</v>
      </c>
      <c r="C1367" t="s">
        <v>34</v>
      </c>
      <c r="D1367" t="s">
        <v>48</v>
      </c>
      <c r="E1367" t="s">
        <v>25</v>
      </c>
      <c r="F1367" s="1">
        <v>45987</v>
      </c>
      <c r="G1367">
        <v>1</v>
      </c>
      <c r="H1367">
        <v>9226.81</v>
      </c>
      <c r="I1367">
        <v>15</v>
      </c>
      <c r="J1367" t="s">
        <v>36</v>
      </c>
      <c r="K1367">
        <v>1384.02</v>
      </c>
      <c r="L1367">
        <v>9226.81</v>
      </c>
      <c r="M1367">
        <v>7842.79</v>
      </c>
      <c r="N1367" t="s">
        <v>96</v>
      </c>
      <c r="O1367">
        <v>2025</v>
      </c>
    </row>
    <row r="1368" spans="1:15" x14ac:dyDescent="0.3">
      <c r="A1368" t="s">
        <v>1453</v>
      </c>
      <c r="B1368" t="s">
        <v>89</v>
      </c>
      <c r="C1368" t="s">
        <v>54</v>
      </c>
      <c r="D1368" t="s">
        <v>70</v>
      </c>
      <c r="E1368" t="s">
        <v>44</v>
      </c>
      <c r="F1368" s="1">
        <v>45775</v>
      </c>
      <c r="G1368">
        <v>2</v>
      </c>
      <c r="H1368">
        <v>2278.2399999999998</v>
      </c>
      <c r="I1368">
        <v>0</v>
      </c>
      <c r="J1368" t="s">
        <v>20</v>
      </c>
      <c r="K1368">
        <v>0</v>
      </c>
      <c r="L1368">
        <v>4556.4799999999996</v>
      </c>
      <c r="M1368">
        <v>4556.4799999999996</v>
      </c>
      <c r="N1368" t="s">
        <v>27</v>
      </c>
      <c r="O1368">
        <v>2025</v>
      </c>
    </row>
    <row r="1369" spans="1:15" x14ac:dyDescent="0.3">
      <c r="A1369" t="s">
        <v>1454</v>
      </c>
      <c r="B1369" t="s">
        <v>38</v>
      </c>
      <c r="C1369" t="s">
        <v>54</v>
      </c>
      <c r="D1369" t="s">
        <v>137</v>
      </c>
      <c r="E1369" t="s">
        <v>50</v>
      </c>
      <c r="F1369" s="1">
        <v>45442</v>
      </c>
      <c r="G1369">
        <v>2</v>
      </c>
      <c r="H1369">
        <v>832.5</v>
      </c>
      <c r="I1369">
        <v>10</v>
      </c>
      <c r="J1369" t="s">
        <v>36</v>
      </c>
      <c r="K1369">
        <v>166.5</v>
      </c>
      <c r="L1369">
        <v>1665</v>
      </c>
      <c r="M1369">
        <v>1498.5</v>
      </c>
      <c r="N1369" t="s">
        <v>101</v>
      </c>
      <c r="O1369">
        <v>2024</v>
      </c>
    </row>
    <row r="1370" spans="1:15" x14ac:dyDescent="0.3">
      <c r="A1370" t="s">
        <v>1455</v>
      </c>
      <c r="B1370" t="s">
        <v>16</v>
      </c>
      <c r="C1370" t="s">
        <v>90</v>
      </c>
      <c r="D1370" t="s">
        <v>152</v>
      </c>
      <c r="E1370" t="s">
        <v>19</v>
      </c>
      <c r="F1370" s="1">
        <v>45971</v>
      </c>
      <c r="G1370">
        <v>8</v>
      </c>
      <c r="H1370">
        <v>10597.23</v>
      </c>
      <c r="I1370">
        <v>15</v>
      </c>
      <c r="J1370" t="s">
        <v>40</v>
      </c>
      <c r="K1370">
        <v>12716.68</v>
      </c>
      <c r="L1370">
        <v>84777.84</v>
      </c>
      <c r="M1370">
        <v>72061.16</v>
      </c>
      <c r="N1370" t="s">
        <v>96</v>
      </c>
      <c r="O1370">
        <v>2025</v>
      </c>
    </row>
    <row r="1371" spans="1:15" x14ac:dyDescent="0.3">
      <c r="A1371" t="s">
        <v>1456</v>
      </c>
      <c r="B1371" t="s">
        <v>43</v>
      </c>
      <c r="C1371" t="s">
        <v>17</v>
      </c>
      <c r="D1371" t="s">
        <v>39</v>
      </c>
      <c r="E1371" t="s">
        <v>30</v>
      </c>
      <c r="F1371" s="1">
        <v>45822</v>
      </c>
      <c r="G1371">
        <v>10</v>
      </c>
      <c r="H1371">
        <v>18379.599999999999</v>
      </c>
      <c r="I1371">
        <v>10</v>
      </c>
      <c r="J1371" t="s">
        <v>45</v>
      </c>
      <c r="K1371">
        <v>18379.599999999999</v>
      </c>
      <c r="L1371">
        <v>183796</v>
      </c>
      <c r="M1371">
        <v>165416.4</v>
      </c>
      <c r="N1371" t="s">
        <v>72</v>
      </c>
      <c r="O1371">
        <v>2025</v>
      </c>
    </row>
    <row r="1372" spans="1:15" x14ac:dyDescent="0.3">
      <c r="A1372" t="s">
        <v>1457</v>
      </c>
      <c r="B1372" t="s">
        <v>53</v>
      </c>
      <c r="C1372" t="s">
        <v>54</v>
      </c>
      <c r="D1372" t="s">
        <v>70</v>
      </c>
      <c r="E1372" t="s">
        <v>56</v>
      </c>
      <c r="F1372" s="1">
        <v>45967</v>
      </c>
      <c r="G1372">
        <v>3</v>
      </c>
      <c r="H1372">
        <v>2720.57</v>
      </c>
      <c r="I1372">
        <v>0</v>
      </c>
      <c r="J1372" t="s">
        <v>20</v>
      </c>
      <c r="K1372">
        <v>0</v>
      </c>
      <c r="L1372">
        <v>8161.71</v>
      </c>
      <c r="M1372">
        <v>8161.71</v>
      </c>
      <c r="N1372" t="s">
        <v>96</v>
      </c>
      <c r="O1372">
        <v>2025</v>
      </c>
    </row>
    <row r="1373" spans="1:15" x14ac:dyDescent="0.3">
      <c r="A1373" t="s">
        <v>1458</v>
      </c>
      <c r="B1373" t="s">
        <v>16</v>
      </c>
      <c r="C1373" t="s">
        <v>34</v>
      </c>
      <c r="D1373" t="s">
        <v>66</v>
      </c>
      <c r="E1373" t="s">
        <v>30</v>
      </c>
      <c r="F1373" s="1">
        <v>45660</v>
      </c>
      <c r="G1373">
        <v>4</v>
      </c>
      <c r="H1373">
        <v>43443.65</v>
      </c>
      <c r="I1373">
        <v>5</v>
      </c>
      <c r="J1373" t="s">
        <v>31</v>
      </c>
      <c r="K1373">
        <v>8688.73</v>
      </c>
      <c r="L1373">
        <v>173774.6</v>
      </c>
      <c r="M1373">
        <v>165085.87</v>
      </c>
      <c r="N1373" t="s">
        <v>116</v>
      </c>
      <c r="O1373">
        <v>2025</v>
      </c>
    </row>
    <row r="1374" spans="1:15" x14ac:dyDescent="0.3">
      <c r="A1374" t="s">
        <v>1459</v>
      </c>
      <c r="B1374" t="s">
        <v>43</v>
      </c>
      <c r="C1374" t="s">
        <v>90</v>
      </c>
      <c r="D1374" t="s">
        <v>105</v>
      </c>
      <c r="E1374" t="s">
        <v>30</v>
      </c>
      <c r="F1374" s="1">
        <v>45831</v>
      </c>
      <c r="G1374">
        <v>3</v>
      </c>
      <c r="H1374">
        <v>3382.15</v>
      </c>
      <c r="I1374">
        <v>10</v>
      </c>
      <c r="J1374" t="s">
        <v>71</v>
      </c>
      <c r="K1374">
        <v>1014.65</v>
      </c>
      <c r="L1374">
        <v>10146.450000000001</v>
      </c>
      <c r="M1374">
        <v>9131.7999999999993</v>
      </c>
      <c r="N1374" t="s">
        <v>72</v>
      </c>
      <c r="O1374">
        <v>2025</v>
      </c>
    </row>
    <row r="1375" spans="1:15" x14ac:dyDescent="0.3">
      <c r="A1375" t="s">
        <v>1460</v>
      </c>
      <c r="B1375" t="s">
        <v>93</v>
      </c>
      <c r="C1375" t="s">
        <v>62</v>
      </c>
      <c r="D1375" t="s">
        <v>99</v>
      </c>
      <c r="E1375" t="s">
        <v>56</v>
      </c>
      <c r="F1375" s="1">
        <v>45608</v>
      </c>
      <c r="G1375">
        <v>4</v>
      </c>
      <c r="H1375">
        <v>1501.95</v>
      </c>
      <c r="I1375">
        <v>20</v>
      </c>
      <c r="J1375" t="s">
        <v>40</v>
      </c>
      <c r="K1375">
        <v>1201.56</v>
      </c>
      <c r="L1375">
        <v>6007.8</v>
      </c>
      <c r="M1375">
        <v>4806.24</v>
      </c>
      <c r="N1375" t="s">
        <v>96</v>
      </c>
      <c r="O1375">
        <v>2024</v>
      </c>
    </row>
    <row r="1376" spans="1:15" x14ac:dyDescent="0.3">
      <c r="A1376" t="s">
        <v>1461</v>
      </c>
      <c r="B1376" t="s">
        <v>47</v>
      </c>
      <c r="C1376" t="s">
        <v>62</v>
      </c>
      <c r="D1376" t="s">
        <v>132</v>
      </c>
      <c r="E1376" t="s">
        <v>56</v>
      </c>
      <c r="F1376" s="1">
        <v>45872</v>
      </c>
      <c r="G1376">
        <v>6</v>
      </c>
      <c r="H1376">
        <v>2430.2600000000002</v>
      </c>
      <c r="I1376">
        <v>0</v>
      </c>
      <c r="J1376" t="s">
        <v>71</v>
      </c>
      <c r="K1376">
        <v>0</v>
      </c>
      <c r="L1376">
        <v>14581.56</v>
      </c>
      <c r="M1376">
        <v>14581.56</v>
      </c>
      <c r="N1376" t="s">
        <v>21</v>
      </c>
      <c r="O1376">
        <v>2025</v>
      </c>
    </row>
    <row r="1377" spans="1:15" x14ac:dyDescent="0.3">
      <c r="A1377" t="s">
        <v>1462</v>
      </c>
      <c r="B1377" t="s">
        <v>89</v>
      </c>
      <c r="C1377" t="s">
        <v>90</v>
      </c>
      <c r="D1377" t="s">
        <v>107</v>
      </c>
      <c r="E1377" t="s">
        <v>30</v>
      </c>
      <c r="F1377" s="1">
        <v>45827</v>
      </c>
      <c r="G1377">
        <v>5</v>
      </c>
      <c r="H1377">
        <v>12671.39</v>
      </c>
      <c r="I1377">
        <v>5</v>
      </c>
      <c r="J1377" t="s">
        <v>36</v>
      </c>
      <c r="K1377">
        <v>3167.85</v>
      </c>
      <c r="L1377">
        <v>63356.95</v>
      </c>
      <c r="M1377">
        <v>60189.1</v>
      </c>
      <c r="N1377" t="s">
        <v>72</v>
      </c>
      <c r="O1377">
        <v>2025</v>
      </c>
    </row>
    <row r="1378" spans="1:15" x14ac:dyDescent="0.3">
      <c r="A1378" t="s">
        <v>1463</v>
      </c>
      <c r="B1378" t="s">
        <v>43</v>
      </c>
      <c r="C1378" t="s">
        <v>62</v>
      </c>
      <c r="D1378" t="s">
        <v>99</v>
      </c>
      <c r="E1378" t="s">
        <v>25</v>
      </c>
      <c r="F1378" s="1">
        <v>45307</v>
      </c>
      <c r="G1378">
        <v>8</v>
      </c>
      <c r="H1378">
        <v>1365.36</v>
      </c>
      <c r="I1378">
        <v>10</v>
      </c>
      <c r="J1378" t="s">
        <v>40</v>
      </c>
      <c r="K1378">
        <v>1092.29</v>
      </c>
      <c r="L1378">
        <v>10922.88</v>
      </c>
      <c r="M1378">
        <v>9830.59</v>
      </c>
      <c r="N1378" t="s">
        <v>116</v>
      </c>
      <c r="O1378">
        <v>2024</v>
      </c>
    </row>
    <row r="1379" spans="1:15" x14ac:dyDescent="0.3">
      <c r="A1379" t="s">
        <v>1464</v>
      </c>
      <c r="B1379" t="s">
        <v>109</v>
      </c>
      <c r="C1379" t="s">
        <v>54</v>
      </c>
      <c r="D1379" t="s">
        <v>70</v>
      </c>
      <c r="E1379" t="s">
        <v>56</v>
      </c>
      <c r="F1379" s="1">
        <v>45297</v>
      </c>
      <c r="G1379">
        <v>7</v>
      </c>
      <c r="H1379">
        <v>2470.16</v>
      </c>
      <c r="I1379">
        <v>0</v>
      </c>
      <c r="J1379" t="s">
        <v>40</v>
      </c>
      <c r="K1379">
        <v>0</v>
      </c>
      <c r="L1379">
        <v>17291.12</v>
      </c>
      <c r="M1379">
        <v>17291.12</v>
      </c>
      <c r="N1379" t="s">
        <v>116</v>
      </c>
      <c r="O1379">
        <v>2024</v>
      </c>
    </row>
    <row r="1380" spans="1:15" x14ac:dyDescent="0.3">
      <c r="A1380" t="s">
        <v>1465</v>
      </c>
      <c r="B1380" t="s">
        <v>53</v>
      </c>
      <c r="C1380" t="s">
        <v>17</v>
      </c>
      <c r="D1380" t="s">
        <v>39</v>
      </c>
      <c r="E1380" t="s">
        <v>19</v>
      </c>
      <c r="F1380" s="1">
        <v>45806</v>
      </c>
      <c r="G1380">
        <v>9</v>
      </c>
      <c r="H1380">
        <v>16897.669999999998</v>
      </c>
      <c r="I1380">
        <v>0</v>
      </c>
      <c r="J1380" t="s">
        <v>40</v>
      </c>
      <c r="K1380">
        <v>0</v>
      </c>
      <c r="L1380">
        <v>152079.03</v>
      </c>
      <c r="M1380">
        <v>152079.03</v>
      </c>
      <c r="N1380" t="s">
        <v>101</v>
      </c>
      <c r="O1380">
        <v>2025</v>
      </c>
    </row>
    <row r="1381" spans="1:15" x14ac:dyDescent="0.3">
      <c r="A1381" t="s">
        <v>1466</v>
      </c>
      <c r="B1381" t="s">
        <v>16</v>
      </c>
      <c r="C1381" t="s">
        <v>62</v>
      </c>
      <c r="D1381" t="s">
        <v>63</v>
      </c>
      <c r="E1381" t="s">
        <v>50</v>
      </c>
      <c r="F1381" s="1">
        <v>45891</v>
      </c>
      <c r="G1381">
        <v>2</v>
      </c>
      <c r="H1381">
        <v>1750.86</v>
      </c>
      <c r="I1381">
        <v>0</v>
      </c>
      <c r="J1381" t="s">
        <v>31</v>
      </c>
      <c r="K1381">
        <v>0</v>
      </c>
      <c r="L1381">
        <v>3501.72</v>
      </c>
      <c r="M1381">
        <v>3501.72</v>
      </c>
      <c r="N1381" t="s">
        <v>21</v>
      </c>
      <c r="O1381">
        <v>2025</v>
      </c>
    </row>
    <row r="1382" spans="1:15" x14ac:dyDescent="0.3">
      <c r="A1382" t="s">
        <v>1467</v>
      </c>
      <c r="B1382" t="s">
        <v>29</v>
      </c>
      <c r="C1382" t="s">
        <v>90</v>
      </c>
      <c r="D1382" t="s">
        <v>115</v>
      </c>
      <c r="E1382" t="s">
        <v>44</v>
      </c>
      <c r="F1382" s="1">
        <v>45724</v>
      </c>
      <c r="G1382">
        <v>7</v>
      </c>
      <c r="H1382">
        <v>9133.81</v>
      </c>
      <c r="I1382">
        <v>0</v>
      </c>
      <c r="J1382" t="s">
        <v>31</v>
      </c>
      <c r="K1382">
        <v>0</v>
      </c>
      <c r="L1382">
        <v>63936.67</v>
      </c>
      <c r="M1382">
        <v>63936.67</v>
      </c>
      <c r="N1382" t="s">
        <v>83</v>
      </c>
      <c r="O1382">
        <v>2025</v>
      </c>
    </row>
    <row r="1383" spans="1:15" x14ac:dyDescent="0.3">
      <c r="A1383" t="s">
        <v>1468</v>
      </c>
      <c r="B1383" t="s">
        <v>93</v>
      </c>
      <c r="C1383" t="s">
        <v>62</v>
      </c>
      <c r="D1383" t="s">
        <v>119</v>
      </c>
      <c r="E1383" t="s">
        <v>19</v>
      </c>
      <c r="F1383" s="1">
        <v>45869</v>
      </c>
      <c r="G1383">
        <v>7</v>
      </c>
      <c r="H1383">
        <v>3744.06</v>
      </c>
      <c r="I1383">
        <v>10</v>
      </c>
      <c r="J1383" t="s">
        <v>36</v>
      </c>
      <c r="K1383">
        <v>2620.84</v>
      </c>
      <c r="L1383">
        <v>26208.42</v>
      </c>
      <c r="M1383">
        <v>23587.58</v>
      </c>
      <c r="N1383" t="s">
        <v>122</v>
      </c>
      <c r="O1383">
        <v>2025</v>
      </c>
    </row>
    <row r="1384" spans="1:15" x14ac:dyDescent="0.3">
      <c r="A1384" t="s">
        <v>1469</v>
      </c>
      <c r="B1384" t="s">
        <v>61</v>
      </c>
      <c r="C1384" t="s">
        <v>54</v>
      </c>
      <c r="D1384" t="s">
        <v>55</v>
      </c>
      <c r="E1384" t="s">
        <v>44</v>
      </c>
      <c r="F1384" s="1">
        <v>45548</v>
      </c>
      <c r="G1384">
        <v>3</v>
      </c>
      <c r="H1384">
        <v>1204.8900000000001</v>
      </c>
      <c r="I1384">
        <v>5</v>
      </c>
      <c r="J1384" t="s">
        <v>20</v>
      </c>
      <c r="K1384">
        <v>180.73</v>
      </c>
      <c r="L1384">
        <v>3614.67</v>
      </c>
      <c r="M1384">
        <v>3433.94</v>
      </c>
      <c r="N1384" t="s">
        <v>86</v>
      </c>
      <c r="O1384">
        <v>2024</v>
      </c>
    </row>
    <row r="1385" spans="1:15" x14ac:dyDescent="0.3">
      <c r="A1385" t="s">
        <v>1470</v>
      </c>
      <c r="B1385" t="s">
        <v>47</v>
      </c>
      <c r="C1385" t="s">
        <v>62</v>
      </c>
      <c r="D1385" t="s">
        <v>119</v>
      </c>
      <c r="E1385" t="s">
        <v>19</v>
      </c>
      <c r="F1385" s="1">
        <v>45850</v>
      </c>
      <c r="G1385">
        <v>3</v>
      </c>
      <c r="H1385">
        <v>3478.97</v>
      </c>
      <c r="I1385">
        <v>15</v>
      </c>
      <c r="J1385" t="s">
        <v>71</v>
      </c>
      <c r="K1385">
        <v>1565.54</v>
      </c>
      <c r="L1385">
        <v>10436.91</v>
      </c>
      <c r="M1385">
        <v>8871.3700000000008</v>
      </c>
      <c r="N1385" t="s">
        <v>122</v>
      </c>
      <c r="O1385">
        <v>2025</v>
      </c>
    </row>
    <row r="1386" spans="1:15" x14ac:dyDescent="0.3">
      <c r="A1386" t="s">
        <v>1471</v>
      </c>
      <c r="B1386" t="s">
        <v>65</v>
      </c>
      <c r="C1386" t="s">
        <v>17</v>
      </c>
      <c r="D1386" t="s">
        <v>59</v>
      </c>
      <c r="E1386" t="s">
        <v>56</v>
      </c>
      <c r="F1386" s="1">
        <v>45807</v>
      </c>
      <c r="G1386">
        <v>6</v>
      </c>
      <c r="H1386">
        <v>25427.37</v>
      </c>
      <c r="I1386">
        <v>15</v>
      </c>
      <c r="J1386" t="s">
        <v>45</v>
      </c>
      <c r="K1386">
        <v>22884.63</v>
      </c>
      <c r="L1386">
        <v>152564.22</v>
      </c>
      <c r="M1386">
        <v>129679.59</v>
      </c>
      <c r="N1386" t="s">
        <v>101</v>
      </c>
      <c r="O1386">
        <v>2025</v>
      </c>
    </row>
    <row r="1387" spans="1:15" x14ac:dyDescent="0.3">
      <c r="A1387" t="s">
        <v>1472</v>
      </c>
      <c r="B1387" t="s">
        <v>23</v>
      </c>
      <c r="C1387" t="s">
        <v>90</v>
      </c>
      <c r="D1387" t="s">
        <v>152</v>
      </c>
      <c r="E1387" t="s">
        <v>56</v>
      </c>
      <c r="F1387" s="1">
        <v>45864</v>
      </c>
      <c r="G1387">
        <v>1</v>
      </c>
      <c r="H1387">
        <v>11393.73</v>
      </c>
      <c r="I1387">
        <v>15</v>
      </c>
      <c r="J1387" t="s">
        <v>26</v>
      </c>
      <c r="K1387">
        <v>1709.06</v>
      </c>
      <c r="L1387">
        <v>11393.73</v>
      </c>
      <c r="M1387">
        <v>9684.67</v>
      </c>
      <c r="N1387" t="s">
        <v>122</v>
      </c>
      <c r="O1387">
        <v>2025</v>
      </c>
    </row>
    <row r="1388" spans="1:15" x14ac:dyDescent="0.3">
      <c r="A1388" t="s">
        <v>1473</v>
      </c>
      <c r="B1388" t="s">
        <v>93</v>
      </c>
      <c r="C1388" t="s">
        <v>17</v>
      </c>
      <c r="D1388" t="s">
        <v>59</v>
      </c>
      <c r="E1388" t="s">
        <v>19</v>
      </c>
      <c r="F1388" s="1">
        <v>45886</v>
      </c>
      <c r="G1388">
        <v>9</v>
      </c>
      <c r="H1388">
        <v>24831.94</v>
      </c>
      <c r="I1388">
        <v>20</v>
      </c>
      <c r="J1388" t="s">
        <v>20</v>
      </c>
      <c r="K1388">
        <v>44697.49</v>
      </c>
      <c r="L1388">
        <v>223487.46</v>
      </c>
      <c r="M1388">
        <v>178789.97</v>
      </c>
      <c r="N1388" t="s">
        <v>21</v>
      </c>
      <c r="O1388">
        <v>2025</v>
      </c>
    </row>
    <row r="1389" spans="1:15" x14ac:dyDescent="0.3">
      <c r="A1389" t="s">
        <v>1474</v>
      </c>
      <c r="B1389" t="s">
        <v>114</v>
      </c>
      <c r="C1389" t="s">
        <v>54</v>
      </c>
      <c r="D1389" t="s">
        <v>77</v>
      </c>
      <c r="E1389" t="s">
        <v>19</v>
      </c>
      <c r="F1389" s="1">
        <v>45694</v>
      </c>
      <c r="G1389">
        <v>3</v>
      </c>
      <c r="H1389">
        <v>5003.68</v>
      </c>
      <c r="I1389">
        <v>0</v>
      </c>
      <c r="J1389" t="s">
        <v>26</v>
      </c>
      <c r="K1389">
        <v>0</v>
      </c>
      <c r="L1389">
        <v>15011.04</v>
      </c>
      <c r="M1389">
        <v>15011.04</v>
      </c>
      <c r="N1389" t="s">
        <v>41</v>
      </c>
      <c r="O1389">
        <v>2025</v>
      </c>
    </row>
    <row r="1390" spans="1:15" x14ac:dyDescent="0.3">
      <c r="A1390" t="s">
        <v>1475</v>
      </c>
      <c r="B1390" t="s">
        <v>89</v>
      </c>
      <c r="C1390" t="s">
        <v>90</v>
      </c>
      <c r="D1390" t="s">
        <v>91</v>
      </c>
      <c r="E1390" t="s">
        <v>44</v>
      </c>
      <c r="F1390" s="1">
        <v>45378</v>
      </c>
      <c r="G1390">
        <v>1</v>
      </c>
      <c r="H1390">
        <v>1451.32</v>
      </c>
      <c r="I1390">
        <v>0</v>
      </c>
      <c r="J1390" t="s">
        <v>26</v>
      </c>
      <c r="K1390">
        <v>0</v>
      </c>
      <c r="L1390">
        <v>1451.32</v>
      </c>
      <c r="M1390">
        <v>1451.32</v>
      </c>
      <c r="N1390" t="s">
        <v>83</v>
      </c>
      <c r="O1390">
        <v>2024</v>
      </c>
    </row>
    <row r="1391" spans="1:15" x14ac:dyDescent="0.3">
      <c r="A1391" t="s">
        <v>1476</v>
      </c>
      <c r="B1391" t="s">
        <v>47</v>
      </c>
      <c r="C1391" t="s">
        <v>62</v>
      </c>
      <c r="D1391" t="s">
        <v>132</v>
      </c>
      <c r="E1391" t="s">
        <v>44</v>
      </c>
      <c r="F1391" s="1">
        <v>45871</v>
      </c>
      <c r="G1391">
        <v>8</v>
      </c>
      <c r="H1391">
        <v>2681.62</v>
      </c>
      <c r="I1391">
        <v>0</v>
      </c>
      <c r="J1391" t="s">
        <v>40</v>
      </c>
      <c r="K1391">
        <v>0</v>
      </c>
      <c r="L1391">
        <v>21452.959999999999</v>
      </c>
      <c r="M1391">
        <v>21452.959999999999</v>
      </c>
      <c r="N1391" t="s">
        <v>21</v>
      </c>
      <c r="O1391">
        <v>2025</v>
      </c>
    </row>
    <row r="1392" spans="1:15" x14ac:dyDescent="0.3">
      <c r="A1392" t="s">
        <v>1477</v>
      </c>
      <c r="B1392" t="s">
        <v>61</v>
      </c>
      <c r="C1392" t="s">
        <v>17</v>
      </c>
      <c r="D1392" t="s">
        <v>24</v>
      </c>
      <c r="E1392" t="s">
        <v>81</v>
      </c>
      <c r="F1392" s="1">
        <v>46010</v>
      </c>
      <c r="G1392">
        <v>4</v>
      </c>
      <c r="H1392">
        <v>3395.92</v>
      </c>
      <c r="I1392">
        <v>20</v>
      </c>
      <c r="J1392" t="s">
        <v>26</v>
      </c>
      <c r="K1392">
        <v>2716.74</v>
      </c>
      <c r="L1392">
        <v>13583.68</v>
      </c>
      <c r="M1392">
        <v>10866.94</v>
      </c>
      <c r="N1392" t="s">
        <v>51</v>
      </c>
      <c r="O1392">
        <v>2025</v>
      </c>
    </row>
    <row r="1393" spans="1:15" x14ac:dyDescent="0.3">
      <c r="A1393" t="s">
        <v>1478</v>
      </c>
      <c r="B1393" t="s">
        <v>29</v>
      </c>
      <c r="C1393" t="s">
        <v>90</v>
      </c>
      <c r="D1393" t="s">
        <v>107</v>
      </c>
      <c r="E1393" t="s">
        <v>30</v>
      </c>
      <c r="F1393" s="1">
        <v>45600</v>
      </c>
      <c r="G1393">
        <v>5</v>
      </c>
      <c r="H1393">
        <v>14253.17</v>
      </c>
      <c r="I1393">
        <v>0</v>
      </c>
      <c r="J1393" t="s">
        <v>36</v>
      </c>
      <c r="K1393">
        <v>0</v>
      </c>
      <c r="L1393">
        <v>71265.850000000006</v>
      </c>
      <c r="M1393">
        <v>71265.850000000006</v>
      </c>
      <c r="N1393" t="s">
        <v>96</v>
      </c>
      <c r="O1393">
        <v>2024</v>
      </c>
    </row>
    <row r="1394" spans="1:15" x14ac:dyDescent="0.3">
      <c r="A1394" t="s">
        <v>1479</v>
      </c>
      <c r="B1394" t="s">
        <v>16</v>
      </c>
      <c r="C1394" t="s">
        <v>90</v>
      </c>
      <c r="D1394" t="s">
        <v>91</v>
      </c>
      <c r="E1394" t="s">
        <v>50</v>
      </c>
      <c r="F1394" s="1">
        <v>45360</v>
      </c>
      <c r="G1394">
        <v>1</v>
      </c>
      <c r="H1394">
        <v>1407.38</v>
      </c>
      <c r="I1394">
        <v>0</v>
      </c>
      <c r="J1394" t="s">
        <v>82</v>
      </c>
      <c r="K1394">
        <v>0</v>
      </c>
      <c r="L1394">
        <v>1407.38</v>
      </c>
      <c r="M1394">
        <v>1407.38</v>
      </c>
      <c r="N1394" t="s">
        <v>83</v>
      </c>
      <c r="O1394">
        <v>2024</v>
      </c>
    </row>
    <row r="1395" spans="1:15" x14ac:dyDescent="0.3">
      <c r="A1395" t="s">
        <v>1480</v>
      </c>
      <c r="B1395" t="s">
        <v>29</v>
      </c>
      <c r="C1395" t="s">
        <v>54</v>
      </c>
      <c r="D1395" t="s">
        <v>70</v>
      </c>
      <c r="E1395" t="s">
        <v>50</v>
      </c>
      <c r="F1395" s="1">
        <v>45777</v>
      </c>
      <c r="G1395">
        <v>1</v>
      </c>
      <c r="H1395">
        <v>2770.45</v>
      </c>
      <c r="I1395">
        <v>15</v>
      </c>
      <c r="J1395" t="s">
        <v>82</v>
      </c>
      <c r="K1395">
        <v>415.57</v>
      </c>
      <c r="L1395">
        <v>2770.45</v>
      </c>
      <c r="M1395">
        <v>2354.88</v>
      </c>
      <c r="N1395" t="s">
        <v>27</v>
      </c>
      <c r="O1395">
        <v>2025</v>
      </c>
    </row>
    <row r="1396" spans="1:15" x14ac:dyDescent="0.3">
      <c r="A1396" t="s">
        <v>1481</v>
      </c>
      <c r="B1396" t="s">
        <v>114</v>
      </c>
      <c r="C1396" t="s">
        <v>90</v>
      </c>
      <c r="D1396" t="s">
        <v>105</v>
      </c>
      <c r="E1396" t="s">
        <v>25</v>
      </c>
      <c r="F1396" s="1">
        <v>45706</v>
      </c>
      <c r="G1396">
        <v>8</v>
      </c>
      <c r="H1396">
        <v>4009.86</v>
      </c>
      <c r="I1396">
        <v>5</v>
      </c>
      <c r="J1396" t="s">
        <v>40</v>
      </c>
      <c r="K1396">
        <v>1603.94</v>
      </c>
      <c r="L1396">
        <v>32078.880000000001</v>
      </c>
      <c r="M1396">
        <v>30474.94</v>
      </c>
      <c r="N1396" t="s">
        <v>41</v>
      </c>
      <c r="O1396">
        <v>2025</v>
      </c>
    </row>
    <row r="1397" spans="1:15" x14ac:dyDescent="0.3">
      <c r="A1397" t="s">
        <v>1482</v>
      </c>
      <c r="B1397" t="s">
        <v>38</v>
      </c>
      <c r="C1397" t="s">
        <v>54</v>
      </c>
      <c r="D1397" t="s">
        <v>137</v>
      </c>
      <c r="E1397" t="s">
        <v>81</v>
      </c>
      <c r="F1397" s="1">
        <v>45965</v>
      </c>
      <c r="G1397">
        <v>10</v>
      </c>
      <c r="H1397">
        <v>921.49</v>
      </c>
      <c r="I1397">
        <v>5</v>
      </c>
      <c r="J1397" t="s">
        <v>71</v>
      </c>
      <c r="K1397">
        <v>460.75</v>
      </c>
      <c r="L1397">
        <v>9214.9</v>
      </c>
      <c r="M1397">
        <v>8754.15</v>
      </c>
      <c r="N1397" t="s">
        <v>96</v>
      </c>
      <c r="O1397">
        <v>2025</v>
      </c>
    </row>
    <row r="1398" spans="1:15" x14ac:dyDescent="0.3">
      <c r="A1398" t="s">
        <v>1483</v>
      </c>
      <c r="B1398" t="s">
        <v>53</v>
      </c>
      <c r="C1398" t="s">
        <v>17</v>
      </c>
      <c r="D1398" t="s">
        <v>59</v>
      </c>
      <c r="E1398" t="s">
        <v>44</v>
      </c>
      <c r="F1398" s="1">
        <v>45466</v>
      </c>
      <c r="G1398">
        <v>9</v>
      </c>
      <c r="H1398">
        <v>27135.4</v>
      </c>
      <c r="I1398">
        <v>20</v>
      </c>
      <c r="J1398" t="s">
        <v>20</v>
      </c>
      <c r="K1398">
        <v>48843.72</v>
      </c>
      <c r="L1398">
        <v>244218.6</v>
      </c>
      <c r="M1398">
        <v>195374.88</v>
      </c>
      <c r="N1398" t="s">
        <v>72</v>
      </c>
      <c r="O1398">
        <v>2024</v>
      </c>
    </row>
    <row r="1399" spans="1:15" x14ac:dyDescent="0.3">
      <c r="A1399" t="s">
        <v>1484</v>
      </c>
      <c r="B1399" t="s">
        <v>89</v>
      </c>
      <c r="C1399" t="s">
        <v>34</v>
      </c>
      <c r="D1399" t="s">
        <v>35</v>
      </c>
      <c r="E1399" t="s">
        <v>19</v>
      </c>
      <c r="F1399" s="1">
        <v>45975</v>
      </c>
      <c r="G1399">
        <v>2</v>
      </c>
      <c r="H1399">
        <v>31343.75</v>
      </c>
      <c r="I1399">
        <v>15</v>
      </c>
      <c r="J1399" t="s">
        <v>40</v>
      </c>
      <c r="K1399">
        <v>9403.1200000000008</v>
      </c>
      <c r="L1399">
        <v>62687.5</v>
      </c>
      <c r="M1399">
        <v>53284.38</v>
      </c>
      <c r="N1399" t="s">
        <v>96</v>
      </c>
      <c r="O1399">
        <v>2025</v>
      </c>
    </row>
    <row r="1400" spans="1:15" x14ac:dyDescent="0.3">
      <c r="A1400" t="s">
        <v>1485</v>
      </c>
      <c r="B1400" t="s">
        <v>23</v>
      </c>
      <c r="C1400" t="s">
        <v>62</v>
      </c>
      <c r="D1400" t="s">
        <v>119</v>
      </c>
      <c r="E1400" t="s">
        <v>56</v>
      </c>
      <c r="F1400" s="1">
        <v>45767</v>
      </c>
      <c r="G1400">
        <v>7</v>
      </c>
      <c r="H1400">
        <v>3861.81</v>
      </c>
      <c r="I1400">
        <v>5</v>
      </c>
      <c r="J1400" t="s">
        <v>82</v>
      </c>
      <c r="K1400">
        <v>1351.63</v>
      </c>
      <c r="L1400">
        <v>27032.67</v>
      </c>
      <c r="M1400">
        <v>25681.040000000001</v>
      </c>
      <c r="N1400" t="s">
        <v>27</v>
      </c>
      <c r="O1400">
        <v>2025</v>
      </c>
    </row>
    <row r="1401" spans="1:15" x14ac:dyDescent="0.3">
      <c r="A1401" t="s">
        <v>1486</v>
      </c>
      <c r="B1401" t="s">
        <v>89</v>
      </c>
      <c r="C1401" t="s">
        <v>17</v>
      </c>
      <c r="D1401" t="s">
        <v>39</v>
      </c>
      <c r="E1401" t="s">
        <v>25</v>
      </c>
      <c r="F1401" s="1">
        <v>45303</v>
      </c>
      <c r="G1401">
        <v>10</v>
      </c>
      <c r="H1401">
        <v>17562.43</v>
      </c>
      <c r="I1401">
        <v>20</v>
      </c>
      <c r="J1401" t="s">
        <v>31</v>
      </c>
      <c r="K1401">
        <v>35124.86</v>
      </c>
      <c r="L1401">
        <v>175624.3</v>
      </c>
      <c r="M1401">
        <v>140499.44</v>
      </c>
      <c r="N1401" t="s">
        <v>116</v>
      </c>
      <c r="O1401">
        <v>2024</v>
      </c>
    </row>
    <row r="1402" spans="1:15" x14ac:dyDescent="0.3">
      <c r="A1402" t="s">
        <v>1487</v>
      </c>
      <c r="B1402" t="s">
        <v>114</v>
      </c>
      <c r="C1402" t="s">
        <v>90</v>
      </c>
      <c r="D1402" t="s">
        <v>105</v>
      </c>
      <c r="E1402" t="s">
        <v>19</v>
      </c>
      <c r="F1402" s="1">
        <v>45771</v>
      </c>
      <c r="G1402">
        <v>8</v>
      </c>
      <c r="H1402">
        <v>3392.29</v>
      </c>
      <c r="I1402">
        <v>5</v>
      </c>
      <c r="J1402" t="s">
        <v>36</v>
      </c>
      <c r="K1402">
        <v>1356.92</v>
      </c>
      <c r="L1402">
        <v>27138.32</v>
      </c>
      <c r="M1402">
        <v>25781.4</v>
      </c>
      <c r="N1402" t="s">
        <v>27</v>
      </c>
      <c r="O1402">
        <v>2025</v>
      </c>
    </row>
    <row r="1403" spans="1:15" x14ac:dyDescent="0.3">
      <c r="A1403" t="s">
        <v>1488</v>
      </c>
      <c r="B1403" t="s">
        <v>38</v>
      </c>
      <c r="C1403" t="s">
        <v>62</v>
      </c>
      <c r="D1403" t="s">
        <v>132</v>
      </c>
      <c r="E1403" t="s">
        <v>44</v>
      </c>
      <c r="F1403" s="1">
        <v>45649</v>
      </c>
      <c r="G1403">
        <v>9</v>
      </c>
      <c r="H1403">
        <v>2743.55</v>
      </c>
      <c r="I1403">
        <v>0</v>
      </c>
      <c r="J1403" t="s">
        <v>20</v>
      </c>
      <c r="K1403">
        <v>0</v>
      </c>
      <c r="L1403">
        <v>24691.95</v>
      </c>
      <c r="M1403">
        <v>24691.95</v>
      </c>
      <c r="N1403" t="s">
        <v>51</v>
      </c>
      <c r="O1403">
        <v>2024</v>
      </c>
    </row>
    <row r="1404" spans="1:15" x14ac:dyDescent="0.3">
      <c r="A1404" t="s">
        <v>1489</v>
      </c>
      <c r="B1404" t="s">
        <v>33</v>
      </c>
      <c r="C1404" t="s">
        <v>34</v>
      </c>
      <c r="D1404" t="s">
        <v>85</v>
      </c>
      <c r="E1404" t="s">
        <v>30</v>
      </c>
      <c r="F1404" s="1">
        <v>45762</v>
      </c>
      <c r="G1404">
        <v>3</v>
      </c>
      <c r="H1404">
        <v>11635.02</v>
      </c>
      <c r="I1404">
        <v>10</v>
      </c>
      <c r="J1404" t="s">
        <v>45</v>
      </c>
      <c r="K1404">
        <v>3490.51</v>
      </c>
      <c r="L1404">
        <v>34905.06</v>
      </c>
      <c r="M1404">
        <v>31414.55</v>
      </c>
      <c r="N1404" t="s">
        <v>27</v>
      </c>
      <c r="O1404">
        <v>2025</v>
      </c>
    </row>
    <row r="1405" spans="1:15" x14ac:dyDescent="0.3">
      <c r="A1405" t="s">
        <v>1490</v>
      </c>
      <c r="B1405" t="s">
        <v>114</v>
      </c>
      <c r="C1405" t="s">
        <v>90</v>
      </c>
      <c r="D1405" t="s">
        <v>105</v>
      </c>
      <c r="E1405" t="s">
        <v>44</v>
      </c>
      <c r="F1405" s="1">
        <v>45677</v>
      </c>
      <c r="G1405">
        <v>8</v>
      </c>
      <c r="H1405">
        <v>3680.11</v>
      </c>
      <c r="I1405">
        <v>5</v>
      </c>
      <c r="J1405" t="s">
        <v>71</v>
      </c>
      <c r="K1405">
        <v>1472.04</v>
      </c>
      <c r="L1405">
        <v>29440.880000000001</v>
      </c>
      <c r="M1405">
        <v>27968.84</v>
      </c>
      <c r="N1405" t="s">
        <v>116</v>
      </c>
      <c r="O1405">
        <v>2025</v>
      </c>
    </row>
    <row r="1406" spans="1:15" x14ac:dyDescent="0.3">
      <c r="A1406" t="s">
        <v>1491</v>
      </c>
      <c r="B1406" t="s">
        <v>74</v>
      </c>
      <c r="C1406" t="s">
        <v>54</v>
      </c>
      <c r="D1406" t="s">
        <v>77</v>
      </c>
      <c r="E1406" t="s">
        <v>30</v>
      </c>
      <c r="F1406" s="1">
        <v>45424</v>
      </c>
      <c r="G1406">
        <v>6</v>
      </c>
      <c r="H1406">
        <v>5236.07</v>
      </c>
      <c r="I1406">
        <v>20</v>
      </c>
      <c r="J1406" t="s">
        <v>40</v>
      </c>
      <c r="K1406">
        <v>6283.28</v>
      </c>
      <c r="L1406">
        <v>31416.42</v>
      </c>
      <c r="M1406">
        <v>25133.14</v>
      </c>
      <c r="N1406" t="s">
        <v>101</v>
      </c>
      <c r="O1406">
        <v>2024</v>
      </c>
    </row>
    <row r="1407" spans="1:15" x14ac:dyDescent="0.3">
      <c r="A1407" t="s">
        <v>1492</v>
      </c>
      <c r="B1407" t="s">
        <v>93</v>
      </c>
      <c r="C1407" t="s">
        <v>62</v>
      </c>
      <c r="D1407" t="s">
        <v>132</v>
      </c>
      <c r="E1407" t="s">
        <v>44</v>
      </c>
      <c r="F1407" s="1">
        <v>45361</v>
      </c>
      <c r="G1407">
        <v>1</v>
      </c>
      <c r="H1407">
        <v>2268.4499999999998</v>
      </c>
      <c r="I1407">
        <v>5</v>
      </c>
      <c r="J1407" t="s">
        <v>31</v>
      </c>
      <c r="K1407">
        <v>113.42</v>
      </c>
      <c r="L1407">
        <v>2268.4499999999998</v>
      </c>
      <c r="M1407">
        <v>2155.0300000000002</v>
      </c>
      <c r="N1407" t="s">
        <v>83</v>
      </c>
      <c r="O1407">
        <v>2024</v>
      </c>
    </row>
    <row r="1408" spans="1:15" x14ac:dyDescent="0.3">
      <c r="A1408" t="s">
        <v>1493</v>
      </c>
      <c r="B1408" t="s">
        <v>61</v>
      </c>
      <c r="C1408" t="s">
        <v>34</v>
      </c>
      <c r="D1408" t="s">
        <v>80</v>
      </c>
      <c r="E1408" t="s">
        <v>25</v>
      </c>
      <c r="F1408" s="1">
        <v>45987</v>
      </c>
      <c r="G1408">
        <v>8</v>
      </c>
      <c r="H1408">
        <v>6474.04</v>
      </c>
      <c r="I1408">
        <v>5</v>
      </c>
      <c r="J1408" t="s">
        <v>71</v>
      </c>
      <c r="K1408">
        <v>2589.62</v>
      </c>
      <c r="L1408">
        <v>51792.32</v>
      </c>
      <c r="M1408">
        <v>49202.7</v>
      </c>
      <c r="N1408" t="s">
        <v>96</v>
      </c>
      <c r="O1408">
        <v>2025</v>
      </c>
    </row>
    <row r="1409" spans="1:15" x14ac:dyDescent="0.3">
      <c r="A1409" t="s">
        <v>1494</v>
      </c>
      <c r="B1409" t="s">
        <v>114</v>
      </c>
      <c r="C1409" t="s">
        <v>34</v>
      </c>
      <c r="D1409" t="s">
        <v>80</v>
      </c>
      <c r="E1409" t="s">
        <v>50</v>
      </c>
      <c r="F1409" s="1">
        <v>45722</v>
      </c>
      <c r="G1409">
        <v>2</v>
      </c>
      <c r="H1409">
        <v>5492.89</v>
      </c>
      <c r="I1409">
        <v>10</v>
      </c>
      <c r="J1409" t="s">
        <v>31</v>
      </c>
      <c r="K1409">
        <v>1098.58</v>
      </c>
      <c r="L1409">
        <v>10985.78</v>
      </c>
      <c r="M1409">
        <v>9887.2000000000007</v>
      </c>
      <c r="N1409" t="s">
        <v>83</v>
      </c>
      <c r="O1409">
        <v>2025</v>
      </c>
    </row>
    <row r="1410" spans="1:15" x14ac:dyDescent="0.3">
      <c r="A1410" t="s">
        <v>1495</v>
      </c>
      <c r="B1410" t="s">
        <v>38</v>
      </c>
      <c r="C1410" t="s">
        <v>17</v>
      </c>
      <c r="D1410" t="s">
        <v>18</v>
      </c>
      <c r="E1410" t="s">
        <v>30</v>
      </c>
      <c r="F1410" s="1">
        <v>45744</v>
      </c>
      <c r="G1410">
        <v>6</v>
      </c>
      <c r="H1410">
        <v>68356.17</v>
      </c>
      <c r="I1410">
        <v>0</v>
      </c>
      <c r="J1410" t="s">
        <v>82</v>
      </c>
      <c r="K1410">
        <v>0</v>
      </c>
      <c r="L1410">
        <v>410137.02</v>
      </c>
      <c r="M1410">
        <v>410137.02</v>
      </c>
      <c r="N1410" t="s">
        <v>83</v>
      </c>
      <c r="O1410">
        <v>2025</v>
      </c>
    </row>
    <row r="1411" spans="1:15" x14ac:dyDescent="0.3">
      <c r="A1411" t="s">
        <v>1496</v>
      </c>
      <c r="B1411" t="s">
        <v>47</v>
      </c>
      <c r="C1411" t="s">
        <v>34</v>
      </c>
      <c r="D1411" t="s">
        <v>48</v>
      </c>
      <c r="E1411" t="s">
        <v>30</v>
      </c>
      <c r="F1411" s="1">
        <v>45678</v>
      </c>
      <c r="G1411">
        <v>3</v>
      </c>
      <c r="H1411">
        <v>9177.74</v>
      </c>
      <c r="I1411">
        <v>20</v>
      </c>
      <c r="J1411" t="s">
        <v>71</v>
      </c>
      <c r="K1411">
        <v>5506.64</v>
      </c>
      <c r="L1411">
        <v>27533.22</v>
      </c>
      <c r="M1411">
        <v>22026.58</v>
      </c>
      <c r="N1411" t="s">
        <v>116</v>
      </c>
      <c r="O1411">
        <v>2025</v>
      </c>
    </row>
    <row r="1412" spans="1:15" x14ac:dyDescent="0.3">
      <c r="A1412" t="s">
        <v>1497</v>
      </c>
      <c r="B1412" t="s">
        <v>29</v>
      </c>
      <c r="C1412" t="s">
        <v>54</v>
      </c>
      <c r="D1412" t="s">
        <v>55</v>
      </c>
      <c r="E1412" t="s">
        <v>19</v>
      </c>
      <c r="F1412" s="1">
        <v>45740</v>
      </c>
      <c r="G1412">
        <v>5</v>
      </c>
      <c r="H1412">
        <v>1147.6500000000001</v>
      </c>
      <c r="I1412">
        <v>5</v>
      </c>
      <c r="J1412" t="s">
        <v>71</v>
      </c>
      <c r="K1412">
        <v>286.91000000000003</v>
      </c>
      <c r="L1412">
        <v>5738.25</v>
      </c>
      <c r="M1412">
        <v>5451.34</v>
      </c>
      <c r="N1412" t="s">
        <v>83</v>
      </c>
      <c r="O1412">
        <v>2025</v>
      </c>
    </row>
    <row r="1413" spans="1:15" x14ac:dyDescent="0.3">
      <c r="A1413" t="s">
        <v>1498</v>
      </c>
      <c r="B1413" t="s">
        <v>74</v>
      </c>
      <c r="C1413" t="s">
        <v>90</v>
      </c>
      <c r="D1413" t="s">
        <v>91</v>
      </c>
      <c r="E1413" t="s">
        <v>44</v>
      </c>
      <c r="F1413" s="1">
        <v>45380</v>
      </c>
      <c r="G1413">
        <v>10</v>
      </c>
      <c r="H1413">
        <v>1359.09</v>
      </c>
      <c r="I1413">
        <v>0</v>
      </c>
      <c r="J1413" t="s">
        <v>20</v>
      </c>
      <c r="K1413">
        <v>0</v>
      </c>
      <c r="L1413">
        <v>13590.9</v>
      </c>
      <c r="M1413">
        <v>13590.9</v>
      </c>
      <c r="N1413" t="s">
        <v>83</v>
      </c>
      <c r="O1413">
        <v>2024</v>
      </c>
    </row>
    <row r="1414" spans="1:15" x14ac:dyDescent="0.3">
      <c r="A1414" t="s">
        <v>1499</v>
      </c>
      <c r="B1414" t="s">
        <v>74</v>
      </c>
      <c r="C1414" t="s">
        <v>34</v>
      </c>
      <c r="D1414" t="s">
        <v>80</v>
      </c>
      <c r="E1414" t="s">
        <v>50</v>
      </c>
      <c r="F1414" s="1">
        <v>45660</v>
      </c>
      <c r="G1414">
        <v>7</v>
      </c>
      <c r="H1414">
        <v>6252.44</v>
      </c>
      <c r="I1414">
        <v>0</v>
      </c>
      <c r="J1414" t="s">
        <v>26</v>
      </c>
      <c r="K1414">
        <v>0</v>
      </c>
      <c r="L1414">
        <v>43767.08</v>
      </c>
      <c r="M1414">
        <v>43767.08</v>
      </c>
      <c r="N1414" t="s">
        <v>116</v>
      </c>
      <c r="O1414">
        <v>2025</v>
      </c>
    </row>
    <row r="1415" spans="1:15" x14ac:dyDescent="0.3">
      <c r="A1415" t="s">
        <v>1500</v>
      </c>
      <c r="B1415" t="s">
        <v>61</v>
      </c>
      <c r="C1415" t="s">
        <v>62</v>
      </c>
      <c r="D1415" t="s">
        <v>63</v>
      </c>
      <c r="E1415" t="s">
        <v>30</v>
      </c>
      <c r="F1415" s="1">
        <v>45486</v>
      </c>
      <c r="G1415">
        <v>4</v>
      </c>
      <c r="H1415">
        <v>1876.67</v>
      </c>
      <c r="I1415">
        <v>15</v>
      </c>
      <c r="J1415" t="s">
        <v>71</v>
      </c>
      <c r="K1415">
        <v>1126</v>
      </c>
      <c r="L1415">
        <v>7506.68</v>
      </c>
      <c r="M1415">
        <v>6380.68</v>
      </c>
      <c r="N1415" t="s">
        <v>122</v>
      </c>
      <c r="O1415">
        <v>2024</v>
      </c>
    </row>
    <row r="1416" spans="1:15" x14ac:dyDescent="0.3">
      <c r="A1416" t="s">
        <v>1501</v>
      </c>
      <c r="B1416" t="s">
        <v>33</v>
      </c>
      <c r="C1416" t="s">
        <v>54</v>
      </c>
      <c r="D1416" t="s">
        <v>137</v>
      </c>
      <c r="E1416" t="s">
        <v>81</v>
      </c>
      <c r="F1416" s="1">
        <v>45360</v>
      </c>
      <c r="G1416">
        <v>8</v>
      </c>
      <c r="H1416">
        <v>906.19</v>
      </c>
      <c r="I1416">
        <v>15</v>
      </c>
      <c r="J1416" t="s">
        <v>36</v>
      </c>
      <c r="K1416">
        <v>1087.43</v>
      </c>
      <c r="L1416">
        <v>7249.52</v>
      </c>
      <c r="M1416">
        <v>6162.09</v>
      </c>
      <c r="N1416" t="s">
        <v>83</v>
      </c>
      <c r="O1416">
        <v>2024</v>
      </c>
    </row>
    <row r="1417" spans="1:15" x14ac:dyDescent="0.3">
      <c r="A1417" t="s">
        <v>1502</v>
      </c>
      <c r="B1417" t="s">
        <v>47</v>
      </c>
      <c r="C1417" t="s">
        <v>17</v>
      </c>
      <c r="D1417" t="s">
        <v>24</v>
      </c>
      <c r="E1417" t="s">
        <v>50</v>
      </c>
      <c r="F1417" s="1">
        <v>45395</v>
      </c>
      <c r="G1417">
        <v>2</v>
      </c>
      <c r="H1417">
        <v>3074.03</v>
      </c>
      <c r="I1417">
        <v>0</v>
      </c>
      <c r="J1417" t="s">
        <v>40</v>
      </c>
      <c r="K1417">
        <v>0</v>
      </c>
      <c r="L1417">
        <v>6148.06</v>
      </c>
      <c r="M1417">
        <v>6148.06</v>
      </c>
      <c r="N1417" t="s">
        <v>27</v>
      </c>
      <c r="O1417">
        <v>2024</v>
      </c>
    </row>
    <row r="1418" spans="1:15" x14ac:dyDescent="0.3">
      <c r="A1418" t="s">
        <v>1503</v>
      </c>
      <c r="B1418" t="s">
        <v>33</v>
      </c>
      <c r="C1418" t="s">
        <v>54</v>
      </c>
      <c r="D1418" t="s">
        <v>77</v>
      </c>
      <c r="E1418" t="s">
        <v>25</v>
      </c>
      <c r="F1418" s="1">
        <v>45588</v>
      </c>
      <c r="G1418">
        <v>5</v>
      </c>
      <c r="H1418">
        <v>5486.84</v>
      </c>
      <c r="I1418">
        <v>10</v>
      </c>
      <c r="J1418" t="s">
        <v>20</v>
      </c>
      <c r="K1418">
        <v>2743.42</v>
      </c>
      <c r="L1418">
        <v>27434.2</v>
      </c>
      <c r="M1418">
        <v>24690.78</v>
      </c>
      <c r="N1418" t="s">
        <v>57</v>
      </c>
      <c r="O1418">
        <v>2024</v>
      </c>
    </row>
    <row r="1419" spans="1:15" x14ac:dyDescent="0.3">
      <c r="A1419" t="s">
        <v>1504</v>
      </c>
      <c r="B1419" t="s">
        <v>43</v>
      </c>
      <c r="C1419" t="s">
        <v>17</v>
      </c>
      <c r="D1419" t="s">
        <v>59</v>
      </c>
      <c r="E1419" t="s">
        <v>25</v>
      </c>
      <c r="F1419" s="1">
        <v>45822</v>
      </c>
      <c r="G1419">
        <v>10</v>
      </c>
      <c r="H1419">
        <v>25625.29</v>
      </c>
      <c r="I1419">
        <v>15</v>
      </c>
      <c r="J1419" t="s">
        <v>20</v>
      </c>
      <c r="K1419">
        <v>38437.93</v>
      </c>
      <c r="L1419">
        <v>256252.9</v>
      </c>
      <c r="M1419">
        <v>217814.97</v>
      </c>
      <c r="N1419" t="s">
        <v>72</v>
      </c>
      <c r="O1419">
        <v>2025</v>
      </c>
    </row>
    <row r="1420" spans="1:15" x14ac:dyDescent="0.3">
      <c r="A1420" t="s">
        <v>1505</v>
      </c>
      <c r="B1420" t="s">
        <v>65</v>
      </c>
      <c r="C1420" t="s">
        <v>54</v>
      </c>
      <c r="D1420" t="s">
        <v>70</v>
      </c>
      <c r="E1420" t="s">
        <v>30</v>
      </c>
      <c r="F1420" s="1">
        <v>45888</v>
      </c>
      <c r="G1420">
        <v>8</v>
      </c>
      <c r="H1420">
        <v>2835.58</v>
      </c>
      <c r="I1420">
        <v>10</v>
      </c>
      <c r="J1420" t="s">
        <v>82</v>
      </c>
      <c r="K1420">
        <v>2268.46</v>
      </c>
      <c r="L1420">
        <v>22684.639999999999</v>
      </c>
      <c r="M1420">
        <v>20416.18</v>
      </c>
      <c r="N1420" t="s">
        <v>21</v>
      </c>
      <c r="O1420">
        <v>2025</v>
      </c>
    </row>
    <row r="1421" spans="1:15" x14ac:dyDescent="0.3">
      <c r="A1421" t="s">
        <v>1506</v>
      </c>
      <c r="B1421" t="s">
        <v>33</v>
      </c>
      <c r="C1421" t="s">
        <v>17</v>
      </c>
      <c r="D1421" t="s">
        <v>18</v>
      </c>
      <c r="E1421" t="s">
        <v>56</v>
      </c>
      <c r="F1421" s="1">
        <v>45497</v>
      </c>
      <c r="G1421">
        <v>6</v>
      </c>
      <c r="H1421">
        <v>72930.460000000006</v>
      </c>
      <c r="I1421">
        <v>0</v>
      </c>
      <c r="J1421" t="s">
        <v>40</v>
      </c>
      <c r="K1421">
        <v>0</v>
      </c>
      <c r="L1421">
        <v>437582.76</v>
      </c>
      <c r="M1421">
        <v>437582.76</v>
      </c>
      <c r="N1421" t="s">
        <v>122</v>
      </c>
      <c r="O1421">
        <v>2024</v>
      </c>
    </row>
    <row r="1422" spans="1:15" x14ac:dyDescent="0.3">
      <c r="A1422" t="s">
        <v>1507</v>
      </c>
      <c r="B1422" t="s">
        <v>65</v>
      </c>
      <c r="C1422" t="s">
        <v>34</v>
      </c>
      <c r="D1422" t="s">
        <v>85</v>
      </c>
      <c r="E1422" t="s">
        <v>44</v>
      </c>
      <c r="F1422" s="1">
        <v>45971</v>
      </c>
      <c r="G1422">
        <v>1</v>
      </c>
      <c r="H1422">
        <v>12657.54</v>
      </c>
      <c r="I1422">
        <v>0</v>
      </c>
      <c r="J1422" t="s">
        <v>45</v>
      </c>
      <c r="K1422">
        <v>0</v>
      </c>
      <c r="L1422">
        <v>12657.54</v>
      </c>
      <c r="M1422">
        <v>12657.54</v>
      </c>
      <c r="N1422" t="s">
        <v>96</v>
      </c>
      <c r="O1422">
        <v>2025</v>
      </c>
    </row>
    <row r="1423" spans="1:15" x14ac:dyDescent="0.3">
      <c r="A1423" t="s">
        <v>1508</v>
      </c>
      <c r="B1423" t="s">
        <v>16</v>
      </c>
      <c r="C1423" t="s">
        <v>54</v>
      </c>
      <c r="D1423" t="s">
        <v>77</v>
      </c>
      <c r="E1423" t="s">
        <v>44</v>
      </c>
      <c r="F1423" s="1">
        <v>45646</v>
      </c>
      <c r="G1423">
        <v>2</v>
      </c>
      <c r="H1423">
        <v>6256.12</v>
      </c>
      <c r="I1423">
        <v>20</v>
      </c>
      <c r="J1423" t="s">
        <v>26</v>
      </c>
      <c r="K1423">
        <v>2502.4499999999998</v>
      </c>
      <c r="L1423">
        <v>12512.24</v>
      </c>
      <c r="M1423">
        <v>10009.790000000001</v>
      </c>
      <c r="N1423" t="s">
        <v>51</v>
      </c>
      <c r="O1423">
        <v>2024</v>
      </c>
    </row>
    <row r="1424" spans="1:15" x14ac:dyDescent="0.3">
      <c r="A1424" t="s">
        <v>1509</v>
      </c>
      <c r="B1424" t="s">
        <v>114</v>
      </c>
      <c r="C1424" t="s">
        <v>54</v>
      </c>
      <c r="D1424" t="s">
        <v>70</v>
      </c>
      <c r="E1424" t="s">
        <v>81</v>
      </c>
      <c r="F1424" s="1">
        <v>45424</v>
      </c>
      <c r="G1424">
        <v>5</v>
      </c>
      <c r="H1424">
        <v>2702.08</v>
      </c>
      <c r="I1424">
        <v>0</v>
      </c>
      <c r="J1424" t="s">
        <v>71</v>
      </c>
      <c r="K1424">
        <v>0</v>
      </c>
      <c r="L1424">
        <v>13510.4</v>
      </c>
      <c r="M1424">
        <v>13510.4</v>
      </c>
      <c r="N1424" t="s">
        <v>101</v>
      </c>
      <c r="O1424">
        <v>2024</v>
      </c>
    </row>
    <row r="1425" spans="1:15" x14ac:dyDescent="0.3">
      <c r="A1425" t="s">
        <v>1510</v>
      </c>
      <c r="B1425" t="s">
        <v>65</v>
      </c>
      <c r="C1425" t="s">
        <v>17</v>
      </c>
      <c r="D1425" t="s">
        <v>157</v>
      </c>
      <c r="E1425" t="s">
        <v>50</v>
      </c>
      <c r="F1425" s="1">
        <v>45733</v>
      </c>
      <c r="G1425">
        <v>8</v>
      </c>
      <c r="H1425">
        <v>6830.98</v>
      </c>
      <c r="I1425">
        <v>5</v>
      </c>
      <c r="J1425" t="s">
        <v>45</v>
      </c>
      <c r="K1425">
        <v>2732.39</v>
      </c>
      <c r="L1425">
        <v>54647.839999999997</v>
      </c>
      <c r="M1425">
        <v>51915.45</v>
      </c>
      <c r="N1425" t="s">
        <v>83</v>
      </c>
      <c r="O1425">
        <v>2025</v>
      </c>
    </row>
    <row r="1426" spans="1:15" x14ac:dyDescent="0.3">
      <c r="A1426" t="s">
        <v>1511</v>
      </c>
      <c r="B1426" t="s">
        <v>109</v>
      </c>
      <c r="C1426" t="s">
        <v>17</v>
      </c>
      <c r="D1426" t="s">
        <v>18</v>
      </c>
      <c r="E1426" t="s">
        <v>44</v>
      </c>
      <c r="F1426" s="1">
        <v>45839</v>
      </c>
      <c r="G1426">
        <v>10</v>
      </c>
      <c r="H1426">
        <v>72479.789999999994</v>
      </c>
      <c r="I1426">
        <v>0</v>
      </c>
      <c r="J1426" t="s">
        <v>20</v>
      </c>
      <c r="K1426">
        <v>0</v>
      </c>
      <c r="L1426">
        <v>724797.9</v>
      </c>
      <c r="M1426">
        <v>724797.9</v>
      </c>
      <c r="N1426" t="s">
        <v>122</v>
      </c>
      <c r="O1426">
        <v>2025</v>
      </c>
    </row>
    <row r="1427" spans="1:15" x14ac:dyDescent="0.3">
      <c r="A1427" t="s">
        <v>1512</v>
      </c>
      <c r="B1427" t="s">
        <v>109</v>
      </c>
      <c r="C1427" t="s">
        <v>54</v>
      </c>
      <c r="D1427" t="s">
        <v>68</v>
      </c>
      <c r="E1427" t="s">
        <v>56</v>
      </c>
      <c r="F1427" s="1">
        <v>46004</v>
      </c>
      <c r="G1427">
        <v>3</v>
      </c>
      <c r="H1427">
        <v>4986.78</v>
      </c>
      <c r="I1427">
        <v>15</v>
      </c>
      <c r="J1427" t="s">
        <v>31</v>
      </c>
      <c r="K1427">
        <v>2244.0500000000002</v>
      </c>
      <c r="L1427">
        <v>14960.34</v>
      </c>
      <c r="M1427">
        <v>12716.29</v>
      </c>
      <c r="N1427" t="s">
        <v>51</v>
      </c>
      <c r="O1427">
        <v>2025</v>
      </c>
    </row>
    <row r="1428" spans="1:15" x14ac:dyDescent="0.3">
      <c r="A1428" t="s">
        <v>1513</v>
      </c>
      <c r="B1428" t="s">
        <v>47</v>
      </c>
      <c r="C1428" t="s">
        <v>54</v>
      </c>
      <c r="D1428" t="s">
        <v>55</v>
      </c>
      <c r="E1428" t="s">
        <v>56</v>
      </c>
      <c r="F1428" s="1">
        <v>45922</v>
      </c>
      <c r="G1428">
        <v>6</v>
      </c>
      <c r="H1428">
        <v>1185.54</v>
      </c>
      <c r="I1428">
        <v>10</v>
      </c>
      <c r="J1428" t="s">
        <v>82</v>
      </c>
      <c r="K1428">
        <v>711.32</v>
      </c>
      <c r="L1428">
        <v>7113.24</v>
      </c>
      <c r="M1428">
        <v>6401.92</v>
      </c>
      <c r="N1428" t="s">
        <v>86</v>
      </c>
      <c r="O1428">
        <v>2025</v>
      </c>
    </row>
    <row r="1429" spans="1:15" x14ac:dyDescent="0.3">
      <c r="A1429" t="s">
        <v>1514</v>
      </c>
      <c r="B1429" t="s">
        <v>29</v>
      </c>
      <c r="C1429" t="s">
        <v>90</v>
      </c>
      <c r="D1429" t="s">
        <v>105</v>
      </c>
      <c r="E1429" t="s">
        <v>50</v>
      </c>
      <c r="F1429" s="1">
        <v>45894</v>
      </c>
      <c r="G1429">
        <v>1</v>
      </c>
      <c r="H1429">
        <v>3348.74</v>
      </c>
      <c r="I1429">
        <v>20</v>
      </c>
      <c r="J1429" t="s">
        <v>82</v>
      </c>
      <c r="K1429">
        <v>669.75</v>
      </c>
      <c r="L1429">
        <v>3348.74</v>
      </c>
      <c r="M1429">
        <v>2678.99</v>
      </c>
      <c r="N1429" t="s">
        <v>21</v>
      </c>
      <c r="O1429">
        <v>2025</v>
      </c>
    </row>
    <row r="1430" spans="1:15" x14ac:dyDescent="0.3">
      <c r="A1430" t="s">
        <v>1515</v>
      </c>
      <c r="B1430" t="s">
        <v>74</v>
      </c>
      <c r="C1430" t="s">
        <v>54</v>
      </c>
      <c r="D1430" t="s">
        <v>70</v>
      </c>
      <c r="E1430" t="s">
        <v>25</v>
      </c>
      <c r="F1430" s="1">
        <v>45350</v>
      </c>
      <c r="G1430">
        <v>2</v>
      </c>
      <c r="H1430">
        <v>2285.41</v>
      </c>
      <c r="I1430">
        <v>15</v>
      </c>
      <c r="J1430" t="s">
        <v>20</v>
      </c>
      <c r="K1430">
        <v>685.62</v>
      </c>
      <c r="L1430">
        <v>4570.82</v>
      </c>
      <c r="M1430">
        <v>3885.2</v>
      </c>
      <c r="N1430" t="s">
        <v>41</v>
      </c>
      <c r="O1430">
        <v>2024</v>
      </c>
    </row>
    <row r="1431" spans="1:15" x14ac:dyDescent="0.3">
      <c r="A1431" t="s">
        <v>1516</v>
      </c>
      <c r="B1431" t="s">
        <v>109</v>
      </c>
      <c r="C1431" t="s">
        <v>34</v>
      </c>
      <c r="D1431" t="s">
        <v>48</v>
      </c>
      <c r="E1431" t="s">
        <v>19</v>
      </c>
      <c r="F1431" s="1">
        <v>45908</v>
      </c>
      <c r="G1431">
        <v>4</v>
      </c>
      <c r="H1431">
        <v>9196.18</v>
      </c>
      <c r="I1431">
        <v>5</v>
      </c>
      <c r="J1431" t="s">
        <v>45</v>
      </c>
      <c r="K1431">
        <v>1839.24</v>
      </c>
      <c r="L1431">
        <v>36784.720000000001</v>
      </c>
      <c r="M1431">
        <v>34945.480000000003</v>
      </c>
      <c r="N1431" t="s">
        <v>86</v>
      </c>
      <c r="O1431">
        <v>2025</v>
      </c>
    </row>
    <row r="1432" spans="1:15" x14ac:dyDescent="0.3">
      <c r="A1432" t="s">
        <v>1517</v>
      </c>
      <c r="B1432" t="s">
        <v>89</v>
      </c>
      <c r="C1432" t="s">
        <v>54</v>
      </c>
      <c r="D1432" t="s">
        <v>68</v>
      </c>
      <c r="E1432" t="s">
        <v>30</v>
      </c>
      <c r="F1432" s="1">
        <v>45964</v>
      </c>
      <c r="G1432">
        <v>2</v>
      </c>
      <c r="H1432">
        <v>4549.5200000000004</v>
      </c>
      <c r="I1432">
        <v>20</v>
      </c>
      <c r="J1432" t="s">
        <v>82</v>
      </c>
      <c r="K1432">
        <v>1819.81</v>
      </c>
      <c r="L1432">
        <v>9099.0400000000009</v>
      </c>
      <c r="M1432">
        <v>7279.23</v>
      </c>
      <c r="N1432" t="s">
        <v>96</v>
      </c>
      <c r="O1432">
        <v>2025</v>
      </c>
    </row>
    <row r="1433" spans="1:15" x14ac:dyDescent="0.3">
      <c r="A1433" t="s">
        <v>1518</v>
      </c>
      <c r="B1433" t="s">
        <v>16</v>
      </c>
      <c r="C1433" t="s">
        <v>34</v>
      </c>
      <c r="D1433" t="s">
        <v>35</v>
      </c>
      <c r="E1433" t="s">
        <v>30</v>
      </c>
      <c r="F1433" s="1">
        <v>45517</v>
      </c>
      <c r="G1433">
        <v>8</v>
      </c>
      <c r="H1433">
        <v>26957.09</v>
      </c>
      <c r="I1433">
        <v>10</v>
      </c>
      <c r="J1433" t="s">
        <v>45</v>
      </c>
      <c r="K1433">
        <v>21565.67</v>
      </c>
      <c r="L1433">
        <v>215656.72</v>
      </c>
      <c r="M1433">
        <v>194091.05</v>
      </c>
      <c r="N1433" t="s">
        <v>21</v>
      </c>
      <c r="O1433">
        <v>2024</v>
      </c>
    </row>
    <row r="1434" spans="1:15" x14ac:dyDescent="0.3">
      <c r="A1434" t="s">
        <v>1519</v>
      </c>
      <c r="B1434" t="s">
        <v>38</v>
      </c>
      <c r="C1434" t="s">
        <v>54</v>
      </c>
      <c r="D1434" t="s">
        <v>137</v>
      </c>
      <c r="E1434" t="s">
        <v>30</v>
      </c>
      <c r="F1434" s="1">
        <v>45831</v>
      </c>
      <c r="G1434">
        <v>5</v>
      </c>
      <c r="H1434">
        <v>881.74</v>
      </c>
      <c r="I1434">
        <v>20</v>
      </c>
      <c r="J1434" t="s">
        <v>20</v>
      </c>
      <c r="K1434">
        <v>881.74</v>
      </c>
      <c r="L1434">
        <v>4408.7</v>
      </c>
      <c r="M1434">
        <v>3526.96</v>
      </c>
      <c r="N1434" t="s">
        <v>72</v>
      </c>
      <c r="O1434">
        <v>2025</v>
      </c>
    </row>
    <row r="1435" spans="1:15" x14ac:dyDescent="0.3">
      <c r="A1435" t="s">
        <v>1520</v>
      </c>
      <c r="B1435" t="s">
        <v>109</v>
      </c>
      <c r="C1435" t="s">
        <v>54</v>
      </c>
      <c r="D1435" t="s">
        <v>70</v>
      </c>
      <c r="E1435" t="s">
        <v>19</v>
      </c>
      <c r="F1435" s="1">
        <v>46014</v>
      </c>
      <c r="G1435">
        <v>10</v>
      </c>
      <c r="H1435">
        <v>2809.27</v>
      </c>
      <c r="I1435">
        <v>0</v>
      </c>
      <c r="J1435" t="s">
        <v>31</v>
      </c>
      <c r="K1435">
        <v>0</v>
      </c>
      <c r="L1435">
        <v>28092.7</v>
      </c>
      <c r="M1435">
        <v>28092.7</v>
      </c>
      <c r="N1435" t="s">
        <v>51</v>
      </c>
      <c r="O1435">
        <v>2025</v>
      </c>
    </row>
    <row r="1436" spans="1:15" x14ac:dyDescent="0.3">
      <c r="A1436" t="s">
        <v>1521</v>
      </c>
      <c r="B1436" t="s">
        <v>38</v>
      </c>
      <c r="C1436" t="s">
        <v>34</v>
      </c>
      <c r="D1436" t="s">
        <v>85</v>
      </c>
      <c r="E1436" t="s">
        <v>81</v>
      </c>
      <c r="F1436" s="1">
        <v>45604</v>
      </c>
      <c r="G1436">
        <v>9</v>
      </c>
      <c r="H1436">
        <v>12575.54</v>
      </c>
      <c r="I1436">
        <v>10</v>
      </c>
      <c r="J1436" t="s">
        <v>20</v>
      </c>
      <c r="K1436">
        <v>11317.99</v>
      </c>
      <c r="L1436">
        <v>113179.86</v>
      </c>
      <c r="M1436">
        <v>101861.87</v>
      </c>
      <c r="N1436" t="s">
        <v>96</v>
      </c>
      <c r="O1436">
        <v>2024</v>
      </c>
    </row>
    <row r="1437" spans="1:15" x14ac:dyDescent="0.3">
      <c r="A1437" t="s">
        <v>1522</v>
      </c>
      <c r="B1437" t="s">
        <v>29</v>
      </c>
      <c r="C1437" t="s">
        <v>34</v>
      </c>
      <c r="D1437" t="s">
        <v>80</v>
      </c>
      <c r="E1437" t="s">
        <v>30</v>
      </c>
      <c r="F1437" s="1">
        <v>45957</v>
      </c>
      <c r="G1437">
        <v>8</v>
      </c>
      <c r="H1437">
        <v>7512.52</v>
      </c>
      <c r="I1437">
        <v>0</v>
      </c>
      <c r="J1437" t="s">
        <v>71</v>
      </c>
      <c r="K1437">
        <v>0</v>
      </c>
      <c r="L1437">
        <v>60100.160000000003</v>
      </c>
      <c r="M1437">
        <v>60100.160000000003</v>
      </c>
      <c r="N1437" t="s">
        <v>57</v>
      </c>
      <c r="O1437">
        <v>2025</v>
      </c>
    </row>
    <row r="1438" spans="1:15" x14ac:dyDescent="0.3">
      <c r="A1438" t="s">
        <v>1523</v>
      </c>
      <c r="B1438" t="s">
        <v>43</v>
      </c>
      <c r="C1438" t="s">
        <v>90</v>
      </c>
      <c r="D1438" t="s">
        <v>105</v>
      </c>
      <c r="E1438" t="s">
        <v>19</v>
      </c>
      <c r="F1438" s="1">
        <v>45599</v>
      </c>
      <c r="G1438">
        <v>2</v>
      </c>
      <c r="H1438">
        <v>3522.48</v>
      </c>
      <c r="I1438">
        <v>20</v>
      </c>
      <c r="J1438" t="s">
        <v>31</v>
      </c>
      <c r="K1438">
        <v>1408.99</v>
      </c>
      <c r="L1438">
        <v>7044.96</v>
      </c>
      <c r="M1438">
        <v>5635.97</v>
      </c>
      <c r="N1438" t="s">
        <v>96</v>
      </c>
      <c r="O1438">
        <v>2024</v>
      </c>
    </row>
    <row r="1439" spans="1:15" x14ac:dyDescent="0.3">
      <c r="A1439" t="s">
        <v>1524</v>
      </c>
      <c r="B1439" t="s">
        <v>109</v>
      </c>
      <c r="C1439" t="s">
        <v>90</v>
      </c>
      <c r="D1439" t="s">
        <v>152</v>
      </c>
      <c r="E1439" t="s">
        <v>44</v>
      </c>
      <c r="F1439" s="1">
        <v>45685</v>
      </c>
      <c r="G1439">
        <v>8</v>
      </c>
      <c r="H1439">
        <v>9111.0400000000009</v>
      </c>
      <c r="I1439">
        <v>5</v>
      </c>
      <c r="J1439" t="s">
        <v>31</v>
      </c>
      <c r="K1439">
        <v>3644.42</v>
      </c>
      <c r="L1439">
        <v>72888.320000000007</v>
      </c>
      <c r="M1439">
        <v>69243.899999999994</v>
      </c>
      <c r="N1439" t="s">
        <v>116</v>
      </c>
      <c r="O1439">
        <v>2025</v>
      </c>
    </row>
    <row r="1440" spans="1:15" x14ac:dyDescent="0.3">
      <c r="A1440" t="s">
        <v>1525</v>
      </c>
      <c r="B1440" t="s">
        <v>61</v>
      </c>
      <c r="C1440" t="s">
        <v>90</v>
      </c>
      <c r="D1440" t="s">
        <v>107</v>
      </c>
      <c r="E1440" t="s">
        <v>56</v>
      </c>
      <c r="F1440" s="1">
        <v>45968</v>
      </c>
      <c r="G1440">
        <v>5</v>
      </c>
      <c r="H1440">
        <v>11983.31</v>
      </c>
      <c r="I1440">
        <v>10</v>
      </c>
      <c r="J1440" t="s">
        <v>26</v>
      </c>
      <c r="K1440">
        <v>5991.66</v>
      </c>
      <c r="L1440">
        <v>59916.55</v>
      </c>
      <c r="M1440">
        <v>53924.89</v>
      </c>
      <c r="N1440" t="s">
        <v>96</v>
      </c>
      <c r="O1440">
        <v>2025</v>
      </c>
    </row>
    <row r="1441" spans="1:15" x14ac:dyDescent="0.3">
      <c r="A1441" t="s">
        <v>1526</v>
      </c>
      <c r="B1441" t="s">
        <v>74</v>
      </c>
      <c r="C1441" t="s">
        <v>17</v>
      </c>
      <c r="D1441" t="s">
        <v>24</v>
      </c>
      <c r="E1441" t="s">
        <v>19</v>
      </c>
      <c r="F1441" s="1">
        <v>45897</v>
      </c>
      <c r="G1441">
        <v>4</v>
      </c>
      <c r="H1441">
        <v>3267.94</v>
      </c>
      <c r="I1441">
        <v>10</v>
      </c>
      <c r="J1441" t="s">
        <v>40</v>
      </c>
      <c r="K1441">
        <v>1307.18</v>
      </c>
      <c r="L1441">
        <v>13071.76</v>
      </c>
      <c r="M1441">
        <v>11764.58</v>
      </c>
      <c r="N1441" t="s">
        <v>21</v>
      </c>
      <c r="O1441">
        <v>2025</v>
      </c>
    </row>
    <row r="1442" spans="1:15" x14ac:dyDescent="0.3">
      <c r="A1442" t="s">
        <v>1527</v>
      </c>
      <c r="B1442" t="s">
        <v>38</v>
      </c>
      <c r="C1442" t="s">
        <v>54</v>
      </c>
      <c r="D1442" t="s">
        <v>68</v>
      </c>
      <c r="E1442" t="s">
        <v>56</v>
      </c>
      <c r="F1442" s="1">
        <v>45403</v>
      </c>
      <c r="G1442">
        <v>9</v>
      </c>
      <c r="H1442">
        <v>4486.62</v>
      </c>
      <c r="I1442">
        <v>10</v>
      </c>
      <c r="J1442" t="s">
        <v>26</v>
      </c>
      <c r="K1442">
        <v>4037.96</v>
      </c>
      <c r="L1442">
        <v>40379.58</v>
      </c>
      <c r="M1442">
        <v>36341.620000000003</v>
      </c>
      <c r="N1442" t="s">
        <v>27</v>
      </c>
      <c r="O1442">
        <v>2024</v>
      </c>
    </row>
    <row r="1443" spans="1:15" x14ac:dyDescent="0.3">
      <c r="A1443" t="s">
        <v>1528</v>
      </c>
      <c r="B1443" t="s">
        <v>23</v>
      </c>
      <c r="C1443" t="s">
        <v>54</v>
      </c>
      <c r="D1443" t="s">
        <v>68</v>
      </c>
      <c r="E1443" t="s">
        <v>81</v>
      </c>
      <c r="F1443" s="1">
        <v>45458</v>
      </c>
      <c r="G1443">
        <v>7</v>
      </c>
      <c r="H1443">
        <v>4575.75</v>
      </c>
      <c r="I1443">
        <v>5</v>
      </c>
      <c r="J1443" t="s">
        <v>40</v>
      </c>
      <c r="K1443">
        <v>1601.51</v>
      </c>
      <c r="L1443">
        <v>32030.25</v>
      </c>
      <c r="M1443">
        <v>30428.74</v>
      </c>
      <c r="N1443" t="s">
        <v>72</v>
      </c>
      <c r="O1443">
        <v>2024</v>
      </c>
    </row>
    <row r="1444" spans="1:15" x14ac:dyDescent="0.3">
      <c r="A1444" t="s">
        <v>1529</v>
      </c>
      <c r="B1444" t="s">
        <v>43</v>
      </c>
      <c r="C1444" t="s">
        <v>34</v>
      </c>
      <c r="D1444" t="s">
        <v>80</v>
      </c>
      <c r="E1444" t="s">
        <v>44</v>
      </c>
      <c r="F1444" s="1">
        <v>45379</v>
      </c>
      <c r="G1444">
        <v>4</v>
      </c>
      <c r="H1444">
        <v>6557.01</v>
      </c>
      <c r="I1444">
        <v>10</v>
      </c>
      <c r="J1444" t="s">
        <v>40</v>
      </c>
      <c r="K1444">
        <v>2622.8</v>
      </c>
      <c r="L1444">
        <v>26228.04</v>
      </c>
      <c r="M1444">
        <v>23605.24</v>
      </c>
      <c r="N1444" t="s">
        <v>83</v>
      </c>
      <c r="O1444">
        <v>2024</v>
      </c>
    </row>
    <row r="1445" spans="1:15" x14ac:dyDescent="0.3">
      <c r="A1445" t="s">
        <v>1530</v>
      </c>
      <c r="B1445" t="s">
        <v>23</v>
      </c>
      <c r="C1445" t="s">
        <v>62</v>
      </c>
      <c r="D1445" t="s">
        <v>132</v>
      </c>
      <c r="E1445" t="s">
        <v>25</v>
      </c>
      <c r="F1445" s="1">
        <v>45662</v>
      </c>
      <c r="G1445">
        <v>5</v>
      </c>
      <c r="H1445">
        <v>2662.02</v>
      </c>
      <c r="I1445">
        <v>20</v>
      </c>
      <c r="J1445" t="s">
        <v>40</v>
      </c>
      <c r="K1445">
        <v>2662.02</v>
      </c>
      <c r="L1445">
        <v>13310.1</v>
      </c>
      <c r="M1445">
        <v>10648.08</v>
      </c>
      <c r="N1445" t="s">
        <v>116</v>
      </c>
      <c r="O1445">
        <v>2025</v>
      </c>
    </row>
    <row r="1446" spans="1:15" x14ac:dyDescent="0.3">
      <c r="A1446" t="s">
        <v>1531</v>
      </c>
      <c r="B1446" t="s">
        <v>43</v>
      </c>
      <c r="C1446" t="s">
        <v>17</v>
      </c>
      <c r="D1446" t="s">
        <v>18</v>
      </c>
      <c r="E1446" t="s">
        <v>81</v>
      </c>
      <c r="F1446" s="1">
        <v>45562</v>
      </c>
      <c r="G1446">
        <v>3</v>
      </c>
      <c r="H1446">
        <v>65711.89</v>
      </c>
      <c r="I1446">
        <v>0</v>
      </c>
      <c r="J1446" t="s">
        <v>45</v>
      </c>
      <c r="K1446">
        <v>0</v>
      </c>
      <c r="L1446">
        <v>197135.67</v>
      </c>
      <c r="M1446">
        <v>197135.67</v>
      </c>
      <c r="N1446" t="s">
        <v>86</v>
      </c>
      <c r="O1446">
        <v>2024</v>
      </c>
    </row>
    <row r="1447" spans="1:15" x14ac:dyDescent="0.3">
      <c r="A1447" t="s">
        <v>1532</v>
      </c>
      <c r="B1447" t="s">
        <v>89</v>
      </c>
      <c r="C1447" t="s">
        <v>90</v>
      </c>
      <c r="D1447" t="s">
        <v>105</v>
      </c>
      <c r="E1447" t="s">
        <v>25</v>
      </c>
      <c r="F1447" s="1">
        <v>45783</v>
      </c>
      <c r="G1447">
        <v>9</v>
      </c>
      <c r="H1447">
        <v>3340.61</v>
      </c>
      <c r="I1447">
        <v>0</v>
      </c>
      <c r="J1447" t="s">
        <v>45</v>
      </c>
      <c r="K1447">
        <v>0</v>
      </c>
      <c r="L1447">
        <v>30065.49</v>
      </c>
      <c r="M1447">
        <v>30065.49</v>
      </c>
      <c r="N1447" t="s">
        <v>101</v>
      </c>
      <c r="O1447">
        <v>2025</v>
      </c>
    </row>
    <row r="1448" spans="1:15" x14ac:dyDescent="0.3">
      <c r="A1448" t="s">
        <v>1533</v>
      </c>
      <c r="B1448" t="s">
        <v>43</v>
      </c>
      <c r="C1448" t="s">
        <v>54</v>
      </c>
      <c r="D1448" t="s">
        <v>70</v>
      </c>
      <c r="E1448" t="s">
        <v>81</v>
      </c>
      <c r="F1448" s="1">
        <v>45357</v>
      </c>
      <c r="G1448">
        <v>8</v>
      </c>
      <c r="H1448">
        <v>2362.38</v>
      </c>
      <c r="I1448">
        <v>10</v>
      </c>
      <c r="J1448" t="s">
        <v>45</v>
      </c>
      <c r="K1448">
        <v>1889.9</v>
      </c>
      <c r="L1448">
        <v>18899.04</v>
      </c>
      <c r="M1448">
        <v>17009.14</v>
      </c>
      <c r="N1448" t="s">
        <v>83</v>
      </c>
      <c r="O1448">
        <v>2024</v>
      </c>
    </row>
    <row r="1449" spans="1:15" x14ac:dyDescent="0.3">
      <c r="A1449" t="s">
        <v>1534</v>
      </c>
      <c r="B1449" t="s">
        <v>53</v>
      </c>
      <c r="C1449" t="s">
        <v>62</v>
      </c>
      <c r="D1449" t="s">
        <v>99</v>
      </c>
      <c r="E1449" t="s">
        <v>50</v>
      </c>
      <c r="F1449" s="1">
        <v>45442</v>
      </c>
      <c r="G1449">
        <v>10</v>
      </c>
      <c r="H1449">
        <v>1595.99</v>
      </c>
      <c r="I1449">
        <v>5</v>
      </c>
      <c r="J1449" t="s">
        <v>36</v>
      </c>
      <c r="K1449">
        <v>798</v>
      </c>
      <c r="L1449">
        <v>15959.9</v>
      </c>
      <c r="M1449">
        <v>15161.9</v>
      </c>
      <c r="N1449" t="s">
        <v>101</v>
      </c>
      <c r="O1449">
        <v>2024</v>
      </c>
    </row>
    <row r="1450" spans="1:15" x14ac:dyDescent="0.3">
      <c r="A1450" t="s">
        <v>1535</v>
      </c>
      <c r="B1450" t="s">
        <v>53</v>
      </c>
      <c r="C1450" t="s">
        <v>17</v>
      </c>
      <c r="D1450" t="s">
        <v>18</v>
      </c>
      <c r="E1450" t="s">
        <v>30</v>
      </c>
      <c r="F1450" s="1">
        <v>45885</v>
      </c>
      <c r="G1450">
        <v>6</v>
      </c>
      <c r="H1450">
        <v>59181.78</v>
      </c>
      <c r="I1450">
        <v>5</v>
      </c>
      <c r="J1450" t="s">
        <v>71</v>
      </c>
      <c r="K1450">
        <v>17754.53</v>
      </c>
      <c r="L1450">
        <v>355090.68</v>
      </c>
      <c r="M1450">
        <v>337336.15</v>
      </c>
      <c r="N1450" t="s">
        <v>21</v>
      </c>
      <c r="O1450">
        <v>2025</v>
      </c>
    </row>
    <row r="1451" spans="1:15" x14ac:dyDescent="0.3">
      <c r="A1451" t="s">
        <v>1536</v>
      </c>
      <c r="B1451" t="s">
        <v>43</v>
      </c>
      <c r="C1451" t="s">
        <v>17</v>
      </c>
      <c r="D1451" t="s">
        <v>39</v>
      </c>
      <c r="E1451" t="s">
        <v>25</v>
      </c>
      <c r="F1451" s="1">
        <v>45845</v>
      </c>
      <c r="G1451">
        <v>1</v>
      </c>
      <c r="H1451">
        <v>18902.599999999999</v>
      </c>
      <c r="I1451">
        <v>10</v>
      </c>
      <c r="J1451" t="s">
        <v>45</v>
      </c>
      <c r="K1451">
        <v>1890.26</v>
      </c>
      <c r="L1451">
        <v>18902.599999999999</v>
      </c>
      <c r="M1451">
        <v>17012.34</v>
      </c>
      <c r="N1451" t="s">
        <v>122</v>
      </c>
      <c r="O1451">
        <v>2025</v>
      </c>
    </row>
    <row r="1452" spans="1:15" x14ac:dyDescent="0.3">
      <c r="A1452" t="s">
        <v>1537</v>
      </c>
      <c r="B1452" t="s">
        <v>65</v>
      </c>
      <c r="C1452" t="s">
        <v>17</v>
      </c>
      <c r="D1452" t="s">
        <v>18</v>
      </c>
      <c r="E1452" t="s">
        <v>56</v>
      </c>
      <c r="F1452" s="1">
        <v>45815</v>
      </c>
      <c r="G1452">
        <v>2</v>
      </c>
      <c r="H1452">
        <v>62350.9</v>
      </c>
      <c r="I1452">
        <v>10</v>
      </c>
      <c r="J1452" t="s">
        <v>82</v>
      </c>
      <c r="K1452">
        <v>12470.18</v>
      </c>
      <c r="L1452">
        <v>124701.8</v>
      </c>
      <c r="M1452">
        <v>112231.62</v>
      </c>
      <c r="N1452" t="s">
        <v>72</v>
      </c>
      <c r="O1452">
        <v>2025</v>
      </c>
    </row>
    <row r="1453" spans="1:15" x14ac:dyDescent="0.3">
      <c r="A1453" t="s">
        <v>1538</v>
      </c>
      <c r="B1453" t="s">
        <v>38</v>
      </c>
      <c r="C1453" t="s">
        <v>54</v>
      </c>
      <c r="D1453" t="s">
        <v>137</v>
      </c>
      <c r="E1453" t="s">
        <v>44</v>
      </c>
      <c r="F1453" s="1">
        <v>45365</v>
      </c>
      <c r="G1453">
        <v>7</v>
      </c>
      <c r="H1453">
        <v>1007.07</v>
      </c>
      <c r="I1453">
        <v>5</v>
      </c>
      <c r="J1453" t="s">
        <v>31</v>
      </c>
      <c r="K1453">
        <v>352.47</v>
      </c>
      <c r="L1453">
        <v>7049.49</v>
      </c>
      <c r="M1453">
        <v>6697.02</v>
      </c>
      <c r="N1453" t="s">
        <v>83</v>
      </c>
      <c r="O1453">
        <v>2024</v>
      </c>
    </row>
    <row r="1454" spans="1:15" x14ac:dyDescent="0.3">
      <c r="A1454" t="s">
        <v>1539</v>
      </c>
      <c r="B1454" t="s">
        <v>93</v>
      </c>
      <c r="C1454" t="s">
        <v>17</v>
      </c>
      <c r="D1454" t="s">
        <v>39</v>
      </c>
      <c r="E1454" t="s">
        <v>44</v>
      </c>
      <c r="F1454" s="1">
        <v>45635</v>
      </c>
      <c r="G1454">
        <v>7</v>
      </c>
      <c r="H1454">
        <v>22262.09</v>
      </c>
      <c r="I1454">
        <v>10</v>
      </c>
      <c r="J1454" t="s">
        <v>45</v>
      </c>
      <c r="K1454">
        <v>15583.46</v>
      </c>
      <c r="L1454">
        <v>155834.63</v>
      </c>
      <c r="M1454">
        <v>140251.17000000001</v>
      </c>
      <c r="N1454" t="s">
        <v>51</v>
      </c>
      <c r="O1454">
        <v>2024</v>
      </c>
    </row>
    <row r="1455" spans="1:15" x14ac:dyDescent="0.3">
      <c r="A1455" t="s">
        <v>1540</v>
      </c>
      <c r="B1455" t="s">
        <v>93</v>
      </c>
      <c r="C1455" t="s">
        <v>90</v>
      </c>
      <c r="D1455" t="s">
        <v>115</v>
      </c>
      <c r="E1455" t="s">
        <v>25</v>
      </c>
      <c r="F1455" s="1">
        <v>45669</v>
      </c>
      <c r="G1455">
        <v>1</v>
      </c>
      <c r="H1455">
        <v>7781.75</v>
      </c>
      <c r="I1455">
        <v>5</v>
      </c>
      <c r="J1455" t="s">
        <v>36</v>
      </c>
      <c r="K1455">
        <v>389.09</v>
      </c>
      <c r="L1455">
        <v>7781.75</v>
      </c>
      <c r="M1455">
        <v>7392.66</v>
      </c>
      <c r="N1455" t="s">
        <v>116</v>
      </c>
      <c r="O1455">
        <v>2025</v>
      </c>
    </row>
    <row r="1456" spans="1:15" x14ac:dyDescent="0.3">
      <c r="A1456" t="s">
        <v>1541</v>
      </c>
      <c r="B1456" t="s">
        <v>47</v>
      </c>
      <c r="C1456" t="s">
        <v>54</v>
      </c>
      <c r="D1456" t="s">
        <v>70</v>
      </c>
      <c r="E1456" t="s">
        <v>81</v>
      </c>
      <c r="F1456" s="1">
        <v>45612</v>
      </c>
      <c r="G1456">
        <v>9</v>
      </c>
      <c r="H1456">
        <v>2967.09</v>
      </c>
      <c r="I1456">
        <v>20</v>
      </c>
      <c r="J1456" t="s">
        <v>20</v>
      </c>
      <c r="K1456">
        <v>5340.76</v>
      </c>
      <c r="L1456">
        <v>26703.81</v>
      </c>
      <c r="M1456">
        <v>21363.05</v>
      </c>
      <c r="N1456" t="s">
        <v>96</v>
      </c>
      <c r="O1456">
        <v>2024</v>
      </c>
    </row>
    <row r="1457" spans="1:15" x14ac:dyDescent="0.3">
      <c r="A1457" t="s">
        <v>1542</v>
      </c>
      <c r="B1457" t="s">
        <v>29</v>
      </c>
      <c r="C1457" t="s">
        <v>54</v>
      </c>
      <c r="D1457" t="s">
        <v>137</v>
      </c>
      <c r="E1457" t="s">
        <v>56</v>
      </c>
      <c r="F1457" s="1">
        <v>45964</v>
      </c>
      <c r="G1457">
        <v>3</v>
      </c>
      <c r="H1457">
        <v>985.32</v>
      </c>
      <c r="I1457">
        <v>0</v>
      </c>
      <c r="J1457" t="s">
        <v>26</v>
      </c>
      <c r="K1457">
        <v>0</v>
      </c>
      <c r="L1457">
        <v>2955.96</v>
      </c>
      <c r="M1457">
        <v>2955.96</v>
      </c>
      <c r="N1457" t="s">
        <v>96</v>
      </c>
      <c r="O1457">
        <v>2025</v>
      </c>
    </row>
    <row r="1458" spans="1:15" x14ac:dyDescent="0.3">
      <c r="A1458" t="s">
        <v>1543</v>
      </c>
      <c r="B1458" t="s">
        <v>93</v>
      </c>
      <c r="C1458" t="s">
        <v>17</v>
      </c>
      <c r="D1458" t="s">
        <v>59</v>
      </c>
      <c r="E1458" t="s">
        <v>81</v>
      </c>
      <c r="F1458" s="1">
        <v>45843</v>
      </c>
      <c r="G1458">
        <v>2</v>
      </c>
      <c r="H1458">
        <v>27797.47</v>
      </c>
      <c r="I1458">
        <v>20</v>
      </c>
      <c r="J1458" t="s">
        <v>31</v>
      </c>
      <c r="K1458">
        <v>11118.99</v>
      </c>
      <c r="L1458">
        <v>55594.94</v>
      </c>
      <c r="M1458">
        <v>44475.95</v>
      </c>
      <c r="N1458" t="s">
        <v>122</v>
      </c>
      <c r="O1458">
        <v>2025</v>
      </c>
    </row>
    <row r="1459" spans="1:15" x14ac:dyDescent="0.3">
      <c r="A1459" t="s">
        <v>1544</v>
      </c>
      <c r="B1459" t="s">
        <v>89</v>
      </c>
      <c r="C1459" t="s">
        <v>17</v>
      </c>
      <c r="D1459" t="s">
        <v>24</v>
      </c>
      <c r="E1459" t="s">
        <v>30</v>
      </c>
      <c r="F1459" s="1">
        <v>45616</v>
      </c>
      <c r="G1459">
        <v>5</v>
      </c>
      <c r="H1459">
        <v>3130.89</v>
      </c>
      <c r="I1459">
        <v>20</v>
      </c>
      <c r="J1459" t="s">
        <v>71</v>
      </c>
      <c r="K1459">
        <v>3130.89</v>
      </c>
      <c r="L1459">
        <v>15654.45</v>
      </c>
      <c r="M1459">
        <v>12523.56</v>
      </c>
      <c r="N1459" t="s">
        <v>96</v>
      </c>
      <c r="O1459">
        <v>2024</v>
      </c>
    </row>
    <row r="1460" spans="1:15" x14ac:dyDescent="0.3">
      <c r="A1460" t="s">
        <v>1545</v>
      </c>
      <c r="B1460" t="s">
        <v>33</v>
      </c>
      <c r="C1460" t="s">
        <v>62</v>
      </c>
      <c r="D1460" t="s">
        <v>63</v>
      </c>
      <c r="E1460" t="s">
        <v>50</v>
      </c>
      <c r="F1460" s="1">
        <v>45528</v>
      </c>
      <c r="G1460">
        <v>8</v>
      </c>
      <c r="H1460">
        <v>1761.67</v>
      </c>
      <c r="I1460">
        <v>0</v>
      </c>
      <c r="J1460" t="s">
        <v>45</v>
      </c>
      <c r="K1460">
        <v>0</v>
      </c>
      <c r="L1460">
        <v>14093.36</v>
      </c>
      <c r="M1460">
        <v>14093.36</v>
      </c>
      <c r="N1460" t="s">
        <v>21</v>
      </c>
      <c r="O1460">
        <v>2024</v>
      </c>
    </row>
    <row r="1461" spans="1:15" x14ac:dyDescent="0.3">
      <c r="A1461" t="s">
        <v>1546</v>
      </c>
      <c r="B1461" t="s">
        <v>16</v>
      </c>
      <c r="C1461" t="s">
        <v>34</v>
      </c>
      <c r="D1461" t="s">
        <v>35</v>
      </c>
      <c r="E1461" t="s">
        <v>56</v>
      </c>
      <c r="F1461" s="1">
        <v>45373</v>
      </c>
      <c r="G1461">
        <v>6</v>
      </c>
      <c r="H1461">
        <v>26002.86</v>
      </c>
      <c r="I1461">
        <v>0</v>
      </c>
      <c r="J1461" t="s">
        <v>45</v>
      </c>
      <c r="K1461">
        <v>0</v>
      </c>
      <c r="L1461">
        <v>156017.16</v>
      </c>
      <c r="M1461">
        <v>156017.16</v>
      </c>
      <c r="N1461" t="s">
        <v>83</v>
      </c>
      <c r="O1461">
        <v>2024</v>
      </c>
    </row>
    <row r="1462" spans="1:15" x14ac:dyDescent="0.3">
      <c r="A1462" t="s">
        <v>1547</v>
      </c>
      <c r="B1462" t="s">
        <v>93</v>
      </c>
      <c r="C1462" t="s">
        <v>62</v>
      </c>
      <c r="D1462" t="s">
        <v>99</v>
      </c>
      <c r="E1462" t="s">
        <v>50</v>
      </c>
      <c r="F1462" s="1">
        <v>45720</v>
      </c>
      <c r="G1462">
        <v>4</v>
      </c>
      <c r="H1462">
        <v>1563.5</v>
      </c>
      <c r="I1462">
        <v>5</v>
      </c>
      <c r="J1462" t="s">
        <v>71</v>
      </c>
      <c r="K1462">
        <v>312.7</v>
      </c>
      <c r="L1462">
        <v>6254</v>
      </c>
      <c r="M1462">
        <v>5941.3</v>
      </c>
      <c r="N1462" t="s">
        <v>83</v>
      </c>
      <c r="O1462">
        <v>2025</v>
      </c>
    </row>
    <row r="1463" spans="1:15" x14ac:dyDescent="0.3">
      <c r="A1463" t="s">
        <v>1548</v>
      </c>
      <c r="B1463" t="s">
        <v>74</v>
      </c>
      <c r="C1463" t="s">
        <v>54</v>
      </c>
      <c r="D1463" t="s">
        <v>55</v>
      </c>
      <c r="E1463" t="s">
        <v>56</v>
      </c>
      <c r="F1463" s="1">
        <v>45912</v>
      </c>
      <c r="G1463">
        <v>5</v>
      </c>
      <c r="H1463">
        <v>1318.76</v>
      </c>
      <c r="I1463">
        <v>10</v>
      </c>
      <c r="J1463" t="s">
        <v>36</v>
      </c>
      <c r="K1463">
        <v>659.38</v>
      </c>
      <c r="L1463">
        <v>6593.8</v>
      </c>
      <c r="M1463">
        <v>5934.42</v>
      </c>
      <c r="N1463" t="s">
        <v>86</v>
      </c>
      <c r="O1463">
        <v>2025</v>
      </c>
    </row>
    <row r="1464" spans="1:15" x14ac:dyDescent="0.3">
      <c r="A1464" t="s">
        <v>1549</v>
      </c>
      <c r="B1464" t="s">
        <v>47</v>
      </c>
      <c r="C1464" t="s">
        <v>62</v>
      </c>
      <c r="D1464" t="s">
        <v>95</v>
      </c>
      <c r="E1464" t="s">
        <v>56</v>
      </c>
      <c r="F1464" s="1">
        <v>45809</v>
      </c>
      <c r="G1464">
        <v>3</v>
      </c>
      <c r="H1464">
        <v>835.2</v>
      </c>
      <c r="I1464">
        <v>5</v>
      </c>
      <c r="J1464" t="s">
        <v>31</v>
      </c>
      <c r="K1464">
        <v>125.28</v>
      </c>
      <c r="L1464">
        <v>2505.6</v>
      </c>
      <c r="M1464">
        <v>2380.3200000000002</v>
      </c>
      <c r="N1464" t="s">
        <v>72</v>
      </c>
      <c r="O1464">
        <v>2025</v>
      </c>
    </row>
    <row r="1465" spans="1:15" x14ac:dyDescent="0.3">
      <c r="A1465" t="s">
        <v>1550</v>
      </c>
      <c r="B1465" t="s">
        <v>109</v>
      </c>
      <c r="C1465" t="s">
        <v>34</v>
      </c>
      <c r="D1465" t="s">
        <v>35</v>
      </c>
      <c r="E1465" t="s">
        <v>50</v>
      </c>
      <c r="F1465" s="1">
        <v>45720</v>
      </c>
      <c r="G1465">
        <v>5</v>
      </c>
      <c r="H1465">
        <v>27284.43</v>
      </c>
      <c r="I1465">
        <v>15</v>
      </c>
      <c r="J1465" t="s">
        <v>82</v>
      </c>
      <c r="K1465">
        <v>20463.32</v>
      </c>
      <c r="L1465">
        <v>136422.15</v>
      </c>
      <c r="M1465">
        <v>115958.83</v>
      </c>
      <c r="N1465" t="s">
        <v>83</v>
      </c>
      <c r="O1465">
        <v>2025</v>
      </c>
    </row>
    <row r="1466" spans="1:15" x14ac:dyDescent="0.3">
      <c r="A1466" t="s">
        <v>1551</v>
      </c>
      <c r="B1466" t="s">
        <v>38</v>
      </c>
      <c r="C1466" t="s">
        <v>17</v>
      </c>
      <c r="D1466" t="s">
        <v>59</v>
      </c>
      <c r="E1466" t="s">
        <v>25</v>
      </c>
      <c r="F1466" s="1">
        <v>45316</v>
      </c>
      <c r="G1466">
        <v>3</v>
      </c>
      <c r="H1466">
        <v>28687.08</v>
      </c>
      <c r="I1466">
        <v>5</v>
      </c>
      <c r="J1466" t="s">
        <v>31</v>
      </c>
      <c r="K1466">
        <v>4303.0600000000004</v>
      </c>
      <c r="L1466">
        <v>86061.24</v>
      </c>
      <c r="M1466">
        <v>81758.179999999993</v>
      </c>
      <c r="N1466" t="s">
        <v>116</v>
      </c>
      <c r="O1466">
        <v>2024</v>
      </c>
    </row>
    <row r="1467" spans="1:15" x14ac:dyDescent="0.3">
      <c r="A1467" t="s">
        <v>1552</v>
      </c>
      <c r="B1467" t="s">
        <v>114</v>
      </c>
      <c r="C1467" t="s">
        <v>54</v>
      </c>
      <c r="D1467" t="s">
        <v>77</v>
      </c>
      <c r="E1467" t="s">
        <v>56</v>
      </c>
      <c r="F1467" s="1">
        <v>45654</v>
      </c>
      <c r="G1467">
        <v>3</v>
      </c>
      <c r="H1467">
        <v>5503.19</v>
      </c>
      <c r="I1467">
        <v>20</v>
      </c>
      <c r="J1467" t="s">
        <v>31</v>
      </c>
      <c r="K1467">
        <v>3301.91</v>
      </c>
      <c r="L1467">
        <v>16509.57</v>
      </c>
      <c r="M1467">
        <v>13207.66</v>
      </c>
      <c r="N1467" t="s">
        <v>51</v>
      </c>
      <c r="O1467">
        <v>2024</v>
      </c>
    </row>
    <row r="1468" spans="1:15" x14ac:dyDescent="0.3">
      <c r="A1468" t="s">
        <v>1553</v>
      </c>
      <c r="B1468" t="s">
        <v>47</v>
      </c>
      <c r="C1468" t="s">
        <v>34</v>
      </c>
      <c r="D1468" t="s">
        <v>48</v>
      </c>
      <c r="E1468" t="s">
        <v>19</v>
      </c>
      <c r="F1468" s="1">
        <v>45897</v>
      </c>
      <c r="G1468">
        <v>10</v>
      </c>
      <c r="H1468">
        <v>8433.26</v>
      </c>
      <c r="I1468">
        <v>0</v>
      </c>
      <c r="J1468" t="s">
        <v>45</v>
      </c>
      <c r="K1468">
        <v>0</v>
      </c>
      <c r="L1468">
        <v>84332.6</v>
      </c>
      <c r="M1468">
        <v>84332.6</v>
      </c>
      <c r="N1468" t="s">
        <v>21</v>
      </c>
      <c r="O1468">
        <v>2025</v>
      </c>
    </row>
    <row r="1469" spans="1:15" x14ac:dyDescent="0.3">
      <c r="A1469" t="s">
        <v>1554</v>
      </c>
      <c r="B1469" t="s">
        <v>89</v>
      </c>
      <c r="C1469" t="s">
        <v>17</v>
      </c>
      <c r="D1469" t="s">
        <v>39</v>
      </c>
      <c r="E1469" t="s">
        <v>56</v>
      </c>
      <c r="F1469" s="1">
        <v>45738</v>
      </c>
      <c r="G1469">
        <v>5</v>
      </c>
      <c r="H1469">
        <v>19609.47</v>
      </c>
      <c r="I1469">
        <v>5</v>
      </c>
      <c r="J1469" t="s">
        <v>71</v>
      </c>
      <c r="K1469">
        <v>4902.37</v>
      </c>
      <c r="L1469">
        <v>98047.35</v>
      </c>
      <c r="M1469">
        <v>93144.98</v>
      </c>
      <c r="N1469" t="s">
        <v>83</v>
      </c>
      <c r="O1469">
        <v>2025</v>
      </c>
    </row>
    <row r="1470" spans="1:15" x14ac:dyDescent="0.3">
      <c r="A1470" t="s">
        <v>1555</v>
      </c>
      <c r="B1470" t="s">
        <v>114</v>
      </c>
      <c r="C1470" t="s">
        <v>34</v>
      </c>
      <c r="D1470" t="s">
        <v>66</v>
      </c>
      <c r="E1470" t="s">
        <v>44</v>
      </c>
      <c r="F1470" s="1">
        <v>45447</v>
      </c>
      <c r="G1470">
        <v>1</v>
      </c>
      <c r="H1470">
        <v>41935.53</v>
      </c>
      <c r="I1470">
        <v>10</v>
      </c>
      <c r="J1470" t="s">
        <v>82</v>
      </c>
      <c r="K1470">
        <v>4193.55</v>
      </c>
      <c r="L1470">
        <v>41935.53</v>
      </c>
      <c r="M1470">
        <v>37741.980000000003</v>
      </c>
      <c r="N1470" t="s">
        <v>72</v>
      </c>
      <c r="O1470">
        <v>2024</v>
      </c>
    </row>
    <row r="1471" spans="1:15" x14ac:dyDescent="0.3">
      <c r="A1471" t="s">
        <v>1556</v>
      </c>
      <c r="B1471" t="s">
        <v>33</v>
      </c>
      <c r="C1471" t="s">
        <v>90</v>
      </c>
      <c r="D1471" t="s">
        <v>152</v>
      </c>
      <c r="E1471" t="s">
        <v>56</v>
      </c>
      <c r="F1471" s="1">
        <v>45812</v>
      </c>
      <c r="G1471">
        <v>10</v>
      </c>
      <c r="H1471">
        <v>9698.25</v>
      </c>
      <c r="I1471">
        <v>0</v>
      </c>
      <c r="J1471" t="s">
        <v>36</v>
      </c>
      <c r="K1471">
        <v>0</v>
      </c>
      <c r="L1471">
        <v>96982.5</v>
      </c>
      <c r="M1471">
        <v>96982.5</v>
      </c>
      <c r="N1471" t="s">
        <v>72</v>
      </c>
      <c r="O1471">
        <v>2025</v>
      </c>
    </row>
    <row r="1472" spans="1:15" x14ac:dyDescent="0.3">
      <c r="A1472" t="s">
        <v>1557</v>
      </c>
      <c r="B1472" t="s">
        <v>89</v>
      </c>
      <c r="C1472" t="s">
        <v>34</v>
      </c>
      <c r="D1472" t="s">
        <v>48</v>
      </c>
      <c r="E1472" t="s">
        <v>19</v>
      </c>
      <c r="F1472" s="1">
        <v>45869</v>
      </c>
      <c r="G1472">
        <v>9</v>
      </c>
      <c r="H1472">
        <v>8994.6</v>
      </c>
      <c r="I1472">
        <v>20</v>
      </c>
      <c r="J1472" t="s">
        <v>26</v>
      </c>
      <c r="K1472">
        <v>16190.28</v>
      </c>
      <c r="L1472">
        <v>80951.399999999994</v>
      </c>
      <c r="M1472">
        <v>64761.120000000003</v>
      </c>
      <c r="N1472" t="s">
        <v>122</v>
      </c>
      <c r="O1472">
        <v>2025</v>
      </c>
    </row>
    <row r="1473" spans="1:15" x14ac:dyDescent="0.3">
      <c r="A1473" t="s">
        <v>1558</v>
      </c>
      <c r="B1473" t="s">
        <v>43</v>
      </c>
      <c r="C1473" t="s">
        <v>54</v>
      </c>
      <c r="D1473" t="s">
        <v>68</v>
      </c>
      <c r="E1473" t="s">
        <v>19</v>
      </c>
      <c r="F1473" s="1">
        <v>45618</v>
      </c>
      <c r="G1473">
        <v>3</v>
      </c>
      <c r="H1473">
        <v>5634.97</v>
      </c>
      <c r="I1473">
        <v>0</v>
      </c>
      <c r="J1473" t="s">
        <v>31</v>
      </c>
      <c r="K1473">
        <v>0</v>
      </c>
      <c r="L1473">
        <v>16904.91</v>
      </c>
      <c r="M1473">
        <v>16904.91</v>
      </c>
      <c r="N1473" t="s">
        <v>96</v>
      </c>
      <c r="O1473">
        <v>2024</v>
      </c>
    </row>
    <row r="1474" spans="1:15" x14ac:dyDescent="0.3">
      <c r="A1474" t="s">
        <v>1559</v>
      </c>
      <c r="B1474" t="s">
        <v>65</v>
      </c>
      <c r="C1474" t="s">
        <v>34</v>
      </c>
      <c r="D1474" t="s">
        <v>35</v>
      </c>
      <c r="E1474" t="s">
        <v>19</v>
      </c>
      <c r="F1474" s="1">
        <v>45393</v>
      </c>
      <c r="G1474">
        <v>6</v>
      </c>
      <c r="H1474">
        <v>24279.94</v>
      </c>
      <c r="I1474">
        <v>0</v>
      </c>
      <c r="J1474" t="s">
        <v>45</v>
      </c>
      <c r="K1474">
        <v>0</v>
      </c>
      <c r="L1474">
        <v>145679.64000000001</v>
      </c>
      <c r="M1474">
        <v>145679.64000000001</v>
      </c>
      <c r="N1474" t="s">
        <v>27</v>
      </c>
      <c r="O1474">
        <v>2024</v>
      </c>
    </row>
    <row r="1475" spans="1:15" x14ac:dyDescent="0.3">
      <c r="A1475" t="s">
        <v>1560</v>
      </c>
      <c r="B1475" t="s">
        <v>89</v>
      </c>
      <c r="C1475" t="s">
        <v>62</v>
      </c>
      <c r="D1475" t="s">
        <v>119</v>
      </c>
      <c r="E1475" t="s">
        <v>56</v>
      </c>
      <c r="F1475" s="1">
        <v>45465</v>
      </c>
      <c r="G1475">
        <v>5</v>
      </c>
      <c r="H1475">
        <v>3971.8</v>
      </c>
      <c r="I1475">
        <v>10</v>
      </c>
      <c r="J1475" t="s">
        <v>20</v>
      </c>
      <c r="K1475">
        <v>1985.9</v>
      </c>
      <c r="L1475">
        <v>19859</v>
      </c>
      <c r="M1475">
        <v>17873.099999999999</v>
      </c>
      <c r="N1475" t="s">
        <v>72</v>
      </c>
      <c r="O1475">
        <v>2024</v>
      </c>
    </row>
    <row r="1476" spans="1:15" x14ac:dyDescent="0.3">
      <c r="A1476" t="s">
        <v>1561</v>
      </c>
      <c r="B1476" t="s">
        <v>114</v>
      </c>
      <c r="C1476" t="s">
        <v>54</v>
      </c>
      <c r="D1476" t="s">
        <v>70</v>
      </c>
      <c r="E1476" t="s">
        <v>50</v>
      </c>
      <c r="F1476" s="1">
        <v>45436</v>
      </c>
      <c r="G1476">
        <v>2</v>
      </c>
      <c r="H1476">
        <v>2379.2800000000002</v>
      </c>
      <c r="I1476">
        <v>20</v>
      </c>
      <c r="J1476" t="s">
        <v>40</v>
      </c>
      <c r="K1476">
        <v>951.71</v>
      </c>
      <c r="L1476">
        <v>4758.5600000000004</v>
      </c>
      <c r="M1476">
        <v>3806.85</v>
      </c>
      <c r="N1476" t="s">
        <v>101</v>
      </c>
      <c r="O1476">
        <v>2024</v>
      </c>
    </row>
    <row r="1477" spans="1:15" x14ac:dyDescent="0.3">
      <c r="A1477" t="s">
        <v>1562</v>
      </c>
      <c r="B1477" t="s">
        <v>93</v>
      </c>
      <c r="C1477" t="s">
        <v>34</v>
      </c>
      <c r="D1477" t="s">
        <v>80</v>
      </c>
      <c r="E1477" t="s">
        <v>25</v>
      </c>
      <c r="F1477" s="1">
        <v>45298</v>
      </c>
      <c r="G1477">
        <v>8</v>
      </c>
      <c r="H1477">
        <v>6648.76</v>
      </c>
      <c r="I1477">
        <v>0</v>
      </c>
      <c r="J1477" t="s">
        <v>20</v>
      </c>
      <c r="K1477">
        <v>0</v>
      </c>
      <c r="L1477">
        <v>53190.080000000002</v>
      </c>
      <c r="M1477">
        <v>53190.080000000002</v>
      </c>
      <c r="N1477" t="s">
        <v>116</v>
      </c>
      <c r="O1477">
        <v>2024</v>
      </c>
    </row>
    <row r="1478" spans="1:15" x14ac:dyDescent="0.3">
      <c r="A1478" t="s">
        <v>1563</v>
      </c>
      <c r="B1478" t="s">
        <v>43</v>
      </c>
      <c r="C1478" t="s">
        <v>62</v>
      </c>
      <c r="D1478" t="s">
        <v>63</v>
      </c>
      <c r="E1478" t="s">
        <v>81</v>
      </c>
      <c r="F1478" s="1">
        <v>45747</v>
      </c>
      <c r="G1478">
        <v>9</v>
      </c>
      <c r="H1478">
        <v>1676.78</v>
      </c>
      <c r="I1478">
        <v>15</v>
      </c>
      <c r="J1478" t="s">
        <v>31</v>
      </c>
      <c r="K1478">
        <v>2263.65</v>
      </c>
      <c r="L1478">
        <v>15091.02</v>
      </c>
      <c r="M1478">
        <v>12827.37</v>
      </c>
      <c r="N1478" t="s">
        <v>83</v>
      </c>
      <c r="O1478">
        <v>2025</v>
      </c>
    </row>
    <row r="1479" spans="1:15" x14ac:dyDescent="0.3">
      <c r="A1479" t="s">
        <v>1564</v>
      </c>
      <c r="B1479" t="s">
        <v>16</v>
      </c>
      <c r="C1479" t="s">
        <v>62</v>
      </c>
      <c r="D1479" t="s">
        <v>95</v>
      </c>
      <c r="E1479" t="s">
        <v>30</v>
      </c>
      <c r="F1479" s="1">
        <v>45747</v>
      </c>
      <c r="G1479">
        <v>7</v>
      </c>
      <c r="H1479">
        <v>818.65</v>
      </c>
      <c r="I1479">
        <v>0</v>
      </c>
      <c r="J1479" t="s">
        <v>82</v>
      </c>
      <c r="K1479">
        <v>0</v>
      </c>
      <c r="L1479">
        <v>5730.55</v>
      </c>
      <c r="M1479">
        <v>5730.55</v>
      </c>
      <c r="N1479" t="s">
        <v>83</v>
      </c>
      <c r="O1479">
        <v>2025</v>
      </c>
    </row>
    <row r="1480" spans="1:15" x14ac:dyDescent="0.3">
      <c r="A1480" t="s">
        <v>1565</v>
      </c>
      <c r="B1480" t="s">
        <v>16</v>
      </c>
      <c r="C1480" t="s">
        <v>34</v>
      </c>
      <c r="D1480" t="s">
        <v>48</v>
      </c>
      <c r="E1480" t="s">
        <v>30</v>
      </c>
      <c r="F1480" s="1">
        <v>45654</v>
      </c>
      <c r="G1480">
        <v>2</v>
      </c>
      <c r="H1480">
        <v>9557.41</v>
      </c>
      <c r="I1480">
        <v>5</v>
      </c>
      <c r="J1480" t="s">
        <v>82</v>
      </c>
      <c r="K1480">
        <v>955.74</v>
      </c>
      <c r="L1480">
        <v>19114.82</v>
      </c>
      <c r="M1480">
        <v>18159.080000000002</v>
      </c>
      <c r="N1480" t="s">
        <v>51</v>
      </c>
      <c r="O1480">
        <v>2024</v>
      </c>
    </row>
    <row r="1481" spans="1:15" x14ac:dyDescent="0.3">
      <c r="A1481" t="s">
        <v>1566</v>
      </c>
      <c r="B1481" t="s">
        <v>53</v>
      </c>
      <c r="C1481" t="s">
        <v>17</v>
      </c>
      <c r="D1481" t="s">
        <v>39</v>
      </c>
      <c r="E1481" t="s">
        <v>81</v>
      </c>
      <c r="F1481" s="1">
        <v>45574</v>
      </c>
      <c r="G1481">
        <v>8</v>
      </c>
      <c r="H1481">
        <v>20941.59</v>
      </c>
      <c r="I1481">
        <v>20</v>
      </c>
      <c r="J1481" t="s">
        <v>45</v>
      </c>
      <c r="K1481">
        <v>33506.54</v>
      </c>
      <c r="L1481">
        <v>167532.72</v>
      </c>
      <c r="M1481">
        <v>134026.18</v>
      </c>
      <c r="N1481" t="s">
        <v>57</v>
      </c>
      <c r="O1481">
        <v>2024</v>
      </c>
    </row>
    <row r="1482" spans="1:15" x14ac:dyDescent="0.3">
      <c r="A1482" t="s">
        <v>1567</v>
      </c>
      <c r="B1482" t="s">
        <v>114</v>
      </c>
      <c r="C1482" t="s">
        <v>17</v>
      </c>
      <c r="D1482" t="s">
        <v>39</v>
      </c>
      <c r="E1482" t="s">
        <v>25</v>
      </c>
      <c r="F1482" s="1">
        <v>45394</v>
      </c>
      <c r="G1482">
        <v>9</v>
      </c>
      <c r="H1482">
        <v>17628.87</v>
      </c>
      <c r="I1482">
        <v>20</v>
      </c>
      <c r="J1482" t="s">
        <v>31</v>
      </c>
      <c r="K1482">
        <v>31731.97</v>
      </c>
      <c r="L1482">
        <v>158659.82999999999</v>
      </c>
      <c r="M1482">
        <v>126927.86</v>
      </c>
      <c r="N1482" t="s">
        <v>27</v>
      </c>
      <c r="O1482">
        <v>2024</v>
      </c>
    </row>
    <row r="1483" spans="1:15" x14ac:dyDescent="0.3">
      <c r="A1483" t="s">
        <v>1568</v>
      </c>
      <c r="B1483" t="s">
        <v>29</v>
      </c>
      <c r="C1483" t="s">
        <v>17</v>
      </c>
      <c r="D1483" t="s">
        <v>18</v>
      </c>
      <c r="E1483" t="s">
        <v>50</v>
      </c>
      <c r="F1483" s="1">
        <v>45517</v>
      </c>
      <c r="G1483">
        <v>4</v>
      </c>
      <c r="H1483">
        <v>62810.9</v>
      </c>
      <c r="I1483">
        <v>5</v>
      </c>
      <c r="J1483" t="s">
        <v>31</v>
      </c>
      <c r="K1483">
        <v>12562.18</v>
      </c>
      <c r="L1483">
        <v>251243.6</v>
      </c>
      <c r="M1483">
        <v>238681.42</v>
      </c>
      <c r="N1483" t="s">
        <v>21</v>
      </c>
      <c r="O1483">
        <v>2024</v>
      </c>
    </row>
    <row r="1484" spans="1:15" x14ac:dyDescent="0.3">
      <c r="A1484" t="s">
        <v>1569</v>
      </c>
      <c r="B1484" t="s">
        <v>16</v>
      </c>
      <c r="C1484" t="s">
        <v>90</v>
      </c>
      <c r="D1484" t="s">
        <v>107</v>
      </c>
      <c r="E1484" t="s">
        <v>56</v>
      </c>
      <c r="F1484" s="1">
        <v>45426</v>
      </c>
      <c r="G1484">
        <v>4</v>
      </c>
      <c r="H1484">
        <v>12704.32</v>
      </c>
      <c r="I1484">
        <v>0</v>
      </c>
      <c r="J1484" t="s">
        <v>40</v>
      </c>
      <c r="K1484">
        <v>0</v>
      </c>
      <c r="L1484">
        <v>50817.279999999999</v>
      </c>
      <c r="M1484">
        <v>50817.279999999999</v>
      </c>
      <c r="N1484" t="s">
        <v>101</v>
      </c>
      <c r="O1484">
        <v>2024</v>
      </c>
    </row>
    <row r="1485" spans="1:15" x14ac:dyDescent="0.3">
      <c r="A1485" t="s">
        <v>1570</v>
      </c>
      <c r="B1485" t="s">
        <v>109</v>
      </c>
      <c r="C1485" t="s">
        <v>54</v>
      </c>
      <c r="D1485" t="s">
        <v>55</v>
      </c>
      <c r="E1485" t="s">
        <v>56</v>
      </c>
      <c r="F1485" s="1">
        <v>45794</v>
      </c>
      <c r="G1485">
        <v>9</v>
      </c>
      <c r="H1485">
        <v>1263.3699999999999</v>
      </c>
      <c r="I1485">
        <v>5</v>
      </c>
      <c r="J1485" t="s">
        <v>82</v>
      </c>
      <c r="K1485">
        <v>568.52</v>
      </c>
      <c r="L1485">
        <v>11370.33</v>
      </c>
      <c r="M1485">
        <v>10801.81</v>
      </c>
      <c r="N1485" t="s">
        <v>101</v>
      </c>
      <c r="O1485">
        <v>2025</v>
      </c>
    </row>
    <row r="1486" spans="1:15" x14ac:dyDescent="0.3">
      <c r="A1486" t="s">
        <v>1571</v>
      </c>
      <c r="B1486" t="s">
        <v>16</v>
      </c>
      <c r="C1486" t="s">
        <v>17</v>
      </c>
      <c r="D1486" t="s">
        <v>157</v>
      </c>
      <c r="E1486" t="s">
        <v>19</v>
      </c>
      <c r="F1486" s="1">
        <v>45938</v>
      </c>
      <c r="G1486">
        <v>10</v>
      </c>
      <c r="H1486">
        <v>7381.83</v>
      </c>
      <c r="I1486">
        <v>10</v>
      </c>
      <c r="J1486" t="s">
        <v>31</v>
      </c>
      <c r="K1486">
        <v>7381.83</v>
      </c>
      <c r="L1486">
        <v>73818.3</v>
      </c>
      <c r="M1486">
        <v>66436.47</v>
      </c>
      <c r="N1486" t="s">
        <v>57</v>
      </c>
      <c r="O1486">
        <v>2025</v>
      </c>
    </row>
    <row r="1487" spans="1:15" x14ac:dyDescent="0.3">
      <c r="A1487" t="s">
        <v>1572</v>
      </c>
      <c r="B1487" t="s">
        <v>61</v>
      </c>
      <c r="C1487" t="s">
        <v>90</v>
      </c>
      <c r="D1487" t="s">
        <v>91</v>
      </c>
      <c r="E1487" t="s">
        <v>50</v>
      </c>
      <c r="F1487" s="1">
        <v>45529</v>
      </c>
      <c r="G1487">
        <v>5</v>
      </c>
      <c r="H1487">
        <v>1600.49</v>
      </c>
      <c r="I1487">
        <v>15</v>
      </c>
      <c r="J1487" t="s">
        <v>40</v>
      </c>
      <c r="K1487">
        <v>1200.3699999999999</v>
      </c>
      <c r="L1487">
        <v>8002.45</v>
      </c>
      <c r="M1487">
        <v>6802.08</v>
      </c>
      <c r="N1487" t="s">
        <v>21</v>
      </c>
      <c r="O1487">
        <v>2024</v>
      </c>
    </row>
    <row r="1488" spans="1:15" x14ac:dyDescent="0.3">
      <c r="A1488" t="s">
        <v>1573</v>
      </c>
      <c r="B1488" t="s">
        <v>33</v>
      </c>
      <c r="C1488" t="s">
        <v>90</v>
      </c>
      <c r="D1488" t="s">
        <v>91</v>
      </c>
      <c r="E1488" t="s">
        <v>81</v>
      </c>
      <c r="F1488" s="1">
        <v>45594</v>
      </c>
      <c r="G1488">
        <v>2</v>
      </c>
      <c r="H1488">
        <v>1575.31</v>
      </c>
      <c r="I1488">
        <v>10</v>
      </c>
      <c r="J1488" t="s">
        <v>71</v>
      </c>
      <c r="K1488">
        <v>315.06</v>
      </c>
      <c r="L1488">
        <v>3150.62</v>
      </c>
      <c r="M1488">
        <v>2835.56</v>
      </c>
      <c r="N1488" t="s">
        <v>57</v>
      </c>
      <c r="O1488">
        <v>2024</v>
      </c>
    </row>
    <row r="1489" spans="1:15" x14ac:dyDescent="0.3">
      <c r="A1489" t="s">
        <v>1574</v>
      </c>
      <c r="B1489" t="s">
        <v>33</v>
      </c>
      <c r="C1489" t="s">
        <v>90</v>
      </c>
      <c r="D1489" t="s">
        <v>152</v>
      </c>
      <c r="E1489" t="s">
        <v>50</v>
      </c>
      <c r="F1489" s="1">
        <v>45410</v>
      </c>
      <c r="G1489">
        <v>3</v>
      </c>
      <c r="H1489">
        <v>10161.84</v>
      </c>
      <c r="I1489">
        <v>10</v>
      </c>
      <c r="J1489" t="s">
        <v>31</v>
      </c>
      <c r="K1489">
        <v>3048.55</v>
      </c>
      <c r="L1489">
        <v>30485.52</v>
      </c>
      <c r="M1489">
        <v>27436.97</v>
      </c>
      <c r="N1489" t="s">
        <v>27</v>
      </c>
      <c r="O1489">
        <v>2024</v>
      </c>
    </row>
    <row r="1490" spans="1:15" x14ac:dyDescent="0.3">
      <c r="A1490" t="s">
        <v>1575</v>
      </c>
      <c r="B1490" t="s">
        <v>16</v>
      </c>
      <c r="C1490" t="s">
        <v>17</v>
      </c>
      <c r="D1490" t="s">
        <v>39</v>
      </c>
      <c r="E1490" t="s">
        <v>56</v>
      </c>
      <c r="F1490" s="1">
        <v>45787</v>
      </c>
      <c r="G1490">
        <v>8</v>
      </c>
      <c r="H1490">
        <v>18904.759999999998</v>
      </c>
      <c r="I1490">
        <v>5</v>
      </c>
      <c r="J1490" t="s">
        <v>36</v>
      </c>
      <c r="K1490">
        <v>7561.9</v>
      </c>
      <c r="L1490">
        <v>151238.07999999999</v>
      </c>
      <c r="M1490">
        <v>143676.18</v>
      </c>
      <c r="N1490" t="s">
        <v>101</v>
      </c>
      <c r="O1490">
        <v>2025</v>
      </c>
    </row>
    <row r="1491" spans="1:15" x14ac:dyDescent="0.3">
      <c r="A1491" t="s">
        <v>1576</v>
      </c>
      <c r="B1491" t="s">
        <v>43</v>
      </c>
      <c r="C1491" t="s">
        <v>17</v>
      </c>
      <c r="D1491" t="s">
        <v>39</v>
      </c>
      <c r="E1491" t="s">
        <v>81</v>
      </c>
      <c r="F1491" s="1">
        <v>45710</v>
      </c>
      <c r="G1491">
        <v>1</v>
      </c>
      <c r="H1491">
        <v>18730.16</v>
      </c>
      <c r="I1491">
        <v>10</v>
      </c>
      <c r="J1491" t="s">
        <v>20</v>
      </c>
      <c r="K1491">
        <v>1873.02</v>
      </c>
      <c r="L1491">
        <v>18730.16</v>
      </c>
      <c r="M1491">
        <v>16857.14</v>
      </c>
      <c r="N1491" t="s">
        <v>41</v>
      </c>
      <c r="O1491">
        <v>2025</v>
      </c>
    </row>
    <row r="1492" spans="1:15" x14ac:dyDescent="0.3">
      <c r="A1492" t="s">
        <v>1577</v>
      </c>
      <c r="B1492" t="s">
        <v>23</v>
      </c>
      <c r="C1492" t="s">
        <v>62</v>
      </c>
      <c r="D1492" t="s">
        <v>119</v>
      </c>
      <c r="E1492" t="s">
        <v>56</v>
      </c>
      <c r="F1492" s="1">
        <v>45727</v>
      </c>
      <c r="G1492">
        <v>7</v>
      </c>
      <c r="H1492">
        <v>3378.11</v>
      </c>
      <c r="I1492">
        <v>0</v>
      </c>
      <c r="J1492" t="s">
        <v>71</v>
      </c>
      <c r="K1492">
        <v>0</v>
      </c>
      <c r="L1492">
        <v>23646.77</v>
      </c>
      <c r="M1492">
        <v>23646.77</v>
      </c>
      <c r="N1492" t="s">
        <v>83</v>
      </c>
      <c r="O1492">
        <v>2025</v>
      </c>
    </row>
    <row r="1493" spans="1:15" x14ac:dyDescent="0.3">
      <c r="A1493" t="s">
        <v>1578</v>
      </c>
      <c r="B1493" t="s">
        <v>16</v>
      </c>
      <c r="C1493" t="s">
        <v>62</v>
      </c>
      <c r="D1493" t="s">
        <v>99</v>
      </c>
      <c r="E1493" t="s">
        <v>50</v>
      </c>
      <c r="F1493" s="1">
        <v>45943</v>
      </c>
      <c r="G1493">
        <v>1</v>
      </c>
      <c r="H1493">
        <v>1612.26</v>
      </c>
      <c r="I1493">
        <v>15</v>
      </c>
      <c r="J1493" t="s">
        <v>45</v>
      </c>
      <c r="K1493">
        <v>241.84</v>
      </c>
      <c r="L1493">
        <v>1612.26</v>
      </c>
      <c r="M1493">
        <v>1370.42</v>
      </c>
      <c r="N1493" t="s">
        <v>57</v>
      </c>
      <c r="O1493">
        <v>2025</v>
      </c>
    </row>
    <row r="1494" spans="1:15" x14ac:dyDescent="0.3">
      <c r="A1494" t="s">
        <v>1579</v>
      </c>
      <c r="B1494" t="s">
        <v>114</v>
      </c>
      <c r="C1494" t="s">
        <v>34</v>
      </c>
      <c r="D1494" t="s">
        <v>66</v>
      </c>
      <c r="E1494" t="s">
        <v>50</v>
      </c>
      <c r="F1494" s="1">
        <v>45932</v>
      </c>
      <c r="G1494">
        <v>2</v>
      </c>
      <c r="H1494">
        <v>50026.66</v>
      </c>
      <c r="I1494">
        <v>20</v>
      </c>
      <c r="J1494" t="s">
        <v>20</v>
      </c>
      <c r="K1494">
        <v>20010.66</v>
      </c>
      <c r="L1494">
        <v>100053.32</v>
      </c>
      <c r="M1494">
        <v>80042.66</v>
      </c>
      <c r="N1494" t="s">
        <v>57</v>
      </c>
      <c r="O1494">
        <v>2025</v>
      </c>
    </row>
    <row r="1495" spans="1:15" x14ac:dyDescent="0.3">
      <c r="A1495" t="s">
        <v>1580</v>
      </c>
      <c r="B1495" t="s">
        <v>53</v>
      </c>
      <c r="C1495" t="s">
        <v>54</v>
      </c>
      <c r="D1495" t="s">
        <v>137</v>
      </c>
      <c r="E1495" t="s">
        <v>81</v>
      </c>
      <c r="F1495" s="1">
        <v>45313</v>
      </c>
      <c r="G1495">
        <v>7</v>
      </c>
      <c r="H1495">
        <v>830.31</v>
      </c>
      <c r="I1495">
        <v>10</v>
      </c>
      <c r="J1495" t="s">
        <v>26</v>
      </c>
      <c r="K1495">
        <v>581.22</v>
      </c>
      <c r="L1495">
        <v>5812.17</v>
      </c>
      <c r="M1495">
        <v>5230.95</v>
      </c>
      <c r="N1495" t="s">
        <v>116</v>
      </c>
      <c r="O1495">
        <v>2024</v>
      </c>
    </row>
    <row r="1496" spans="1:15" x14ac:dyDescent="0.3">
      <c r="A1496" t="s">
        <v>1581</v>
      </c>
      <c r="B1496" t="s">
        <v>47</v>
      </c>
      <c r="C1496" t="s">
        <v>62</v>
      </c>
      <c r="D1496" t="s">
        <v>132</v>
      </c>
      <c r="E1496" t="s">
        <v>30</v>
      </c>
      <c r="F1496" s="1">
        <v>45823</v>
      </c>
      <c r="G1496">
        <v>4</v>
      </c>
      <c r="H1496">
        <v>2476.31</v>
      </c>
      <c r="I1496">
        <v>5</v>
      </c>
      <c r="J1496" t="s">
        <v>26</v>
      </c>
      <c r="K1496">
        <v>495.26</v>
      </c>
      <c r="L1496">
        <v>9905.24</v>
      </c>
      <c r="M1496">
        <v>9409.98</v>
      </c>
      <c r="N1496" t="s">
        <v>72</v>
      </c>
      <c r="O1496">
        <v>2025</v>
      </c>
    </row>
    <row r="1497" spans="1:15" x14ac:dyDescent="0.3">
      <c r="A1497" t="s">
        <v>1582</v>
      </c>
      <c r="B1497" t="s">
        <v>23</v>
      </c>
      <c r="C1497" t="s">
        <v>34</v>
      </c>
      <c r="D1497" t="s">
        <v>66</v>
      </c>
      <c r="E1497" t="s">
        <v>44</v>
      </c>
      <c r="F1497" s="1">
        <v>45589</v>
      </c>
      <c r="G1497">
        <v>3</v>
      </c>
      <c r="H1497">
        <v>49617.19</v>
      </c>
      <c r="I1497">
        <v>10</v>
      </c>
      <c r="J1497" t="s">
        <v>20</v>
      </c>
      <c r="K1497">
        <v>14885.16</v>
      </c>
      <c r="L1497">
        <v>148851.57</v>
      </c>
      <c r="M1497">
        <v>133966.41</v>
      </c>
      <c r="N1497" t="s">
        <v>57</v>
      </c>
      <c r="O1497">
        <v>2024</v>
      </c>
    </row>
    <row r="1498" spans="1:15" x14ac:dyDescent="0.3">
      <c r="A1498" t="s">
        <v>1583</v>
      </c>
      <c r="B1498" t="s">
        <v>65</v>
      </c>
      <c r="C1498" t="s">
        <v>90</v>
      </c>
      <c r="D1498" t="s">
        <v>107</v>
      </c>
      <c r="E1498" t="s">
        <v>30</v>
      </c>
      <c r="F1498" s="1">
        <v>45305</v>
      </c>
      <c r="G1498">
        <v>1</v>
      </c>
      <c r="H1498">
        <v>13336.45</v>
      </c>
      <c r="I1498">
        <v>20</v>
      </c>
      <c r="J1498" t="s">
        <v>20</v>
      </c>
      <c r="K1498">
        <v>2667.29</v>
      </c>
      <c r="L1498">
        <v>13336.45</v>
      </c>
      <c r="M1498">
        <v>10669.16</v>
      </c>
      <c r="N1498" t="s">
        <v>116</v>
      </c>
      <c r="O1498">
        <v>2024</v>
      </c>
    </row>
    <row r="1499" spans="1:15" x14ac:dyDescent="0.3">
      <c r="A1499" t="s">
        <v>1584</v>
      </c>
      <c r="B1499" t="s">
        <v>23</v>
      </c>
      <c r="C1499" t="s">
        <v>17</v>
      </c>
      <c r="D1499" t="s">
        <v>24</v>
      </c>
      <c r="E1499" t="s">
        <v>44</v>
      </c>
      <c r="F1499" s="1">
        <v>45335</v>
      </c>
      <c r="G1499">
        <v>3</v>
      </c>
      <c r="H1499">
        <v>2912.32</v>
      </c>
      <c r="I1499">
        <v>0</v>
      </c>
      <c r="J1499" t="s">
        <v>71</v>
      </c>
      <c r="K1499">
        <v>0</v>
      </c>
      <c r="L1499">
        <v>8736.9599999999991</v>
      </c>
      <c r="M1499">
        <v>8736.9599999999991</v>
      </c>
      <c r="N1499" t="s">
        <v>41</v>
      </c>
      <c r="O1499">
        <v>2024</v>
      </c>
    </row>
    <row r="1500" spans="1:15" x14ac:dyDescent="0.3">
      <c r="A1500" t="s">
        <v>1585</v>
      </c>
      <c r="B1500" t="s">
        <v>109</v>
      </c>
      <c r="C1500" t="s">
        <v>34</v>
      </c>
      <c r="D1500" t="s">
        <v>85</v>
      </c>
      <c r="E1500" t="s">
        <v>19</v>
      </c>
      <c r="F1500" s="1">
        <v>45678</v>
      </c>
      <c r="G1500">
        <v>7</v>
      </c>
      <c r="H1500">
        <v>11193.58</v>
      </c>
      <c r="I1500">
        <v>10</v>
      </c>
      <c r="J1500" t="s">
        <v>82</v>
      </c>
      <c r="K1500">
        <v>7835.51</v>
      </c>
      <c r="L1500">
        <v>78355.06</v>
      </c>
      <c r="M1500">
        <v>70519.55</v>
      </c>
      <c r="N1500" t="s">
        <v>116</v>
      </c>
      <c r="O1500">
        <v>2025</v>
      </c>
    </row>
    <row r="1501" spans="1:15" x14ac:dyDescent="0.3">
      <c r="A1501" t="s">
        <v>1586</v>
      </c>
      <c r="B1501" t="s">
        <v>47</v>
      </c>
      <c r="C1501" t="s">
        <v>17</v>
      </c>
      <c r="D1501" t="s">
        <v>18</v>
      </c>
      <c r="E1501" t="s">
        <v>81</v>
      </c>
      <c r="F1501" s="1">
        <v>45312</v>
      </c>
      <c r="G1501">
        <v>1</v>
      </c>
      <c r="H1501">
        <v>70568.09</v>
      </c>
      <c r="I1501">
        <v>20</v>
      </c>
      <c r="J1501" t="s">
        <v>31</v>
      </c>
      <c r="K1501">
        <v>14113.62</v>
      </c>
      <c r="L1501">
        <v>70568.09</v>
      </c>
      <c r="M1501">
        <v>56454.47</v>
      </c>
      <c r="N1501" t="s">
        <v>116</v>
      </c>
      <c r="O1501">
        <v>2024</v>
      </c>
    </row>
    <row r="1502" spans="1:15" x14ac:dyDescent="0.3">
      <c r="A1502" t="s">
        <v>1587</v>
      </c>
      <c r="B1502" t="s">
        <v>47</v>
      </c>
      <c r="C1502" t="s">
        <v>54</v>
      </c>
      <c r="D1502" t="s">
        <v>55</v>
      </c>
      <c r="E1502" t="s">
        <v>30</v>
      </c>
      <c r="F1502" s="1">
        <v>45490</v>
      </c>
      <c r="G1502">
        <v>10</v>
      </c>
      <c r="H1502">
        <v>1337.79</v>
      </c>
      <c r="I1502">
        <v>10</v>
      </c>
      <c r="J1502" t="s">
        <v>31</v>
      </c>
      <c r="K1502">
        <v>1337.79</v>
      </c>
      <c r="L1502">
        <v>13377.9</v>
      </c>
      <c r="M1502">
        <v>12040.11</v>
      </c>
      <c r="N1502" t="s">
        <v>122</v>
      </c>
      <c r="O1502">
        <v>2024</v>
      </c>
    </row>
    <row r="1503" spans="1:15" x14ac:dyDescent="0.3">
      <c r="A1503" t="s">
        <v>1588</v>
      </c>
      <c r="B1503" t="s">
        <v>16</v>
      </c>
      <c r="C1503" t="s">
        <v>90</v>
      </c>
      <c r="D1503" t="s">
        <v>91</v>
      </c>
      <c r="E1503" t="s">
        <v>25</v>
      </c>
      <c r="F1503" s="1">
        <v>45572</v>
      </c>
      <c r="G1503">
        <v>8</v>
      </c>
      <c r="H1503">
        <v>1568.6</v>
      </c>
      <c r="I1503">
        <v>10</v>
      </c>
      <c r="J1503" t="s">
        <v>40</v>
      </c>
      <c r="K1503">
        <v>1254.8800000000001</v>
      </c>
      <c r="L1503">
        <v>12548.8</v>
      </c>
      <c r="M1503">
        <v>11293.92</v>
      </c>
      <c r="N1503" t="s">
        <v>57</v>
      </c>
      <c r="O1503">
        <v>2024</v>
      </c>
    </row>
    <row r="1504" spans="1:15" x14ac:dyDescent="0.3">
      <c r="A1504" t="s">
        <v>1589</v>
      </c>
      <c r="B1504" t="s">
        <v>23</v>
      </c>
      <c r="C1504" t="s">
        <v>54</v>
      </c>
      <c r="D1504" t="s">
        <v>68</v>
      </c>
      <c r="E1504" t="s">
        <v>19</v>
      </c>
      <c r="F1504" s="1">
        <v>45387</v>
      </c>
      <c r="G1504">
        <v>4</v>
      </c>
      <c r="H1504">
        <v>5137.75</v>
      </c>
      <c r="I1504">
        <v>20</v>
      </c>
      <c r="J1504" t="s">
        <v>31</v>
      </c>
      <c r="K1504">
        <v>4110.2</v>
      </c>
      <c r="L1504">
        <v>20551</v>
      </c>
      <c r="M1504">
        <v>16440.8</v>
      </c>
      <c r="N1504" t="s">
        <v>27</v>
      </c>
      <c r="O1504">
        <v>2024</v>
      </c>
    </row>
    <row r="1505" spans="1:15" x14ac:dyDescent="0.3">
      <c r="A1505" t="s">
        <v>1590</v>
      </c>
      <c r="B1505" t="s">
        <v>43</v>
      </c>
      <c r="C1505" t="s">
        <v>62</v>
      </c>
      <c r="D1505" t="s">
        <v>99</v>
      </c>
      <c r="E1505" t="s">
        <v>30</v>
      </c>
      <c r="F1505" s="1">
        <v>45683</v>
      </c>
      <c r="G1505">
        <v>1</v>
      </c>
      <c r="H1505">
        <v>1722.43</v>
      </c>
      <c r="I1505">
        <v>15</v>
      </c>
      <c r="J1505" t="s">
        <v>20</v>
      </c>
      <c r="K1505">
        <v>258.36</v>
      </c>
      <c r="L1505">
        <v>1722.43</v>
      </c>
      <c r="M1505">
        <v>1464.07</v>
      </c>
      <c r="N1505" t="s">
        <v>116</v>
      </c>
      <c r="O1505">
        <v>2025</v>
      </c>
    </row>
    <row r="1506" spans="1:15" x14ac:dyDescent="0.3">
      <c r="A1506" t="s">
        <v>1591</v>
      </c>
      <c r="B1506" t="s">
        <v>16</v>
      </c>
      <c r="C1506" t="s">
        <v>62</v>
      </c>
      <c r="D1506" t="s">
        <v>132</v>
      </c>
      <c r="E1506" t="s">
        <v>25</v>
      </c>
      <c r="F1506" s="1">
        <v>45521</v>
      </c>
      <c r="G1506">
        <v>10</v>
      </c>
      <c r="H1506">
        <v>2859.49</v>
      </c>
      <c r="I1506">
        <v>15</v>
      </c>
      <c r="J1506" t="s">
        <v>71</v>
      </c>
      <c r="K1506">
        <v>4289.2299999999996</v>
      </c>
      <c r="L1506">
        <v>28594.9</v>
      </c>
      <c r="M1506">
        <v>24305.67</v>
      </c>
      <c r="N1506" t="s">
        <v>21</v>
      </c>
      <c r="O1506">
        <v>2024</v>
      </c>
    </row>
    <row r="1507" spans="1:15" x14ac:dyDescent="0.3">
      <c r="A1507" t="s">
        <v>1592</v>
      </c>
      <c r="B1507" t="s">
        <v>33</v>
      </c>
      <c r="C1507" t="s">
        <v>34</v>
      </c>
      <c r="D1507" t="s">
        <v>35</v>
      </c>
      <c r="E1507" t="s">
        <v>56</v>
      </c>
      <c r="F1507" s="1">
        <v>45950</v>
      </c>
      <c r="G1507">
        <v>5</v>
      </c>
      <c r="H1507">
        <v>27035.49</v>
      </c>
      <c r="I1507">
        <v>0</v>
      </c>
      <c r="J1507" t="s">
        <v>82</v>
      </c>
      <c r="K1507">
        <v>0</v>
      </c>
      <c r="L1507">
        <v>135177.45000000001</v>
      </c>
      <c r="M1507">
        <v>135177.45000000001</v>
      </c>
      <c r="N1507" t="s">
        <v>57</v>
      </c>
      <c r="O1507">
        <v>2025</v>
      </c>
    </row>
    <row r="1508" spans="1:15" x14ac:dyDescent="0.3">
      <c r="A1508" t="s">
        <v>1593</v>
      </c>
      <c r="B1508" t="s">
        <v>53</v>
      </c>
      <c r="C1508" t="s">
        <v>17</v>
      </c>
      <c r="D1508" t="s">
        <v>24</v>
      </c>
      <c r="E1508" t="s">
        <v>50</v>
      </c>
      <c r="F1508" s="1">
        <v>45899</v>
      </c>
      <c r="G1508">
        <v>4</v>
      </c>
      <c r="H1508">
        <v>2762.92</v>
      </c>
      <c r="I1508">
        <v>15</v>
      </c>
      <c r="J1508" t="s">
        <v>71</v>
      </c>
      <c r="K1508">
        <v>1657.75</v>
      </c>
      <c r="L1508">
        <v>11051.68</v>
      </c>
      <c r="M1508">
        <v>9393.93</v>
      </c>
      <c r="N1508" t="s">
        <v>21</v>
      </c>
      <c r="O1508">
        <v>2025</v>
      </c>
    </row>
    <row r="1509" spans="1:15" x14ac:dyDescent="0.3">
      <c r="A1509" t="s">
        <v>1594</v>
      </c>
      <c r="B1509" t="s">
        <v>65</v>
      </c>
      <c r="C1509" t="s">
        <v>54</v>
      </c>
      <c r="D1509" t="s">
        <v>68</v>
      </c>
      <c r="E1509" t="s">
        <v>30</v>
      </c>
      <c r="F1509" s="1">
        <v>45352</v>
      </c>
      <c r="G1509">
        <v>8</v>
      </c>
      <c r="H1509">
        <v>4333.53</v>
      </c>
      <c r="I1509">
        <v>10</v>
      </c>
      <c r="J1509" t="s">
        <v>20</v>
      </c>
      <c r="K1509">
        <v>3466.82</v>
      </c>
      <c r="L1509">
        <v>34668.239999999998</v>
      </c>
      <c r="M1509">
        <v>31201.42</v>
      </c>
      <c r="N1509" t="s">
        <v>83</v>
      </c>
      <c r="O1509">
        <v>2024</v>
      </c>
    </row>
    <row r="1510" spans="1:15" x14ac:dyDescent="0.3">
      <c r="A1510" t="s">
        <v>1595</v>
      </c>
      <c r="B1510" t="s">
        <v>109</v>
      </c>
      <c r="C1510" t="s">
        <v>62</v>
      </c>
      <c r="D1510" t="s">
        <v>63</v>
      </c>
      <c r="E1510" t="s">
        <v>19</v>
      </c>
      <c r="F1510" s="1">
        <v>45297</v>
      </c>
      <c r="G1510">
        <v>5</v>
      </c>
      <c r="H1510">
        <v>1930.68</v>
      </c>
      <c r="I1510">
        <v>20</v>
      </c>
      <c r="J1510" t="s">
        <v>31</v>
      </c>
      <c r="K1510">
        <v>1930.68</v>
      </c>
      <c r="L1510">
        <v>9653.4</v>
      </c>
      <c r="M1510">
        <v>7722.72</v>
      </c>
      <c r="N1510" t="s">
        <v>116</v>
      </c>
      <c r="O1510">
        <v>2024</v>
      </c>
    </row>
    <row r="1511" spans="1:15" x14ac:dyDescent="0.3">
      <c r="A1511" t="s">
        <v>1596</v>
      </c>
      <c r="B1511" t="s">
        <v>89</v>
      </c>
      <c r="C1511" t="s">
        <v>90</v>
      </c>
      <c r="D1511" t="s">
        <v>91</v>
      </c>
      <c r="E1511" t="s">
        <v>19</v>
      </c>
      <c r="F1511" s="1">
        <v>45621</v>
      </c>
      <c r="G1511">
        <v>8</v>
      </c>
      <c r="H1511">
        <v>1777.41</v>
      </c>
      <c r="I1511">
        <v>20</v>
      </c>
      <c r="J1511" t="s">
        <v>20</v>
      </c>
      <c r="K1511">
        <v>2843.86</v>
      </c>
      <c r="L1511">
        <v>14219.28</v>
      </c>
      <c r="M1511">
        <v>11375.42</v>
      </c>
      <c r="N1511" t="s">
        <v>96</v>
      </c>
      <c r="O1511">
        <v>2024</v>
      </c>
    </row>
    <row r="1512" spans="1:15" x14ac:dyDescent="0.3">
      <c r="A1512" t="s">
        <v>1597</v>
      </c>
      <c r="B1512" t="s">
        <v>114</v>
      </c>
      <c r="C1512" t="s">
        <v>54</v>
      </c>
      <c r="D1512" t="s">
        <v>70</v>
      </c>
      <c r="E1512" t="s">
        <v>25</v>
      </c>
      <c r="F1512" s="1">
        <v>46008</v>
      </c>
      <c r="G1512">
        <v>2</v>
      </c>
      <c r="H1512">
        <v>2733.28</v>
      </c>
      <c r="I1512">
        <v>0</v>
      </c>
      <c r="J1512" t="s">
        <v>31</v>
      </c>
      <c r="K1512">
        <v>0</v>
      </c>
      <c r="L1512">
        <v>5466.56</v>
      </c>
      <c r="M1512">
        <v>5466.56</v>
      </c>
      <c r="N1512" t="s">
        <v>51</v>
      </c>
      <c r="O1512">
        <v>2025</v>
      </c>
    </row>
    <row r="1513" spans="1:15" x14ac:dyDescent="0.3">
      <c r="A1513" t="s">
        <v>1598</v>
      </c>
      <c r="B1513" t="s">
        <v>16</v>
      </c>
      <c r="C1513" t="s">
        <v>34</v>
      </c>
      <c r="D1513" t="s">
        <v>66</v>
      </c>
      <c r="E1513" t="s">
        <v>25</v>
      </c>
      <c r="F1513" s="1">
        <v>45494</v>
      </c>
      <c r="G1513">
        <v>8</v>
      </c>
      <c r="H1513">
        <v>44697.49</v>
      </c>
      <c r="I1513">
        <v>0</v>
      </c>
      <c r="J1513" t="s">
        <v>36</v>
      </c>
      <c r="K1513">
        <v>0</v>
      </c>
      <c r="L1513">
        <v>357579.92</v>
      </c>
      <c r="M1513">
        <v>357579.92</v>
      </c>
      <c r="N1513" t="s">
        <v>122</v>
      </c>
      <c r="O1513">
        <v>2024</v>
      </c>
    </row>
    <row r="1514" spans="1:15" x14ac:dyDescent="0.3">
      <c r="A1514" t="s">
        <v>1599</v>
      </c>
      <c r="B1514" t="s">
        <v>89</v>
      </c>
      <c r="C1514" t="s">
        <v>17</v>
      </c>
      <c r="D1514" t="s">
        <v>157</v>
      </c>
      <c r="E1514" t="s">
        <v>50</v>
      </c>
      <c r="F1514" s="1">
        <v>45435</v>
      </c>
      <c r="G1514">
        <v>9</v>
      </c>
      <c r="H1514">
        <v>7031.76</v>
      </c>
      <c r="I1514">
        <v>0</v>
      </c>
      <c r="J1514" t="s">
        <v>71</v>
      </c>
      <c r="K1514">
        <v>0</v>
      </c>
      <c r="L1514">
        <v>63285.84</v>
      </c>
      <c r="M1514">
        <v>63285.84</v>
      </c>
      <c r="N1514" t="s">
        <v>101</v>
      </c>
      <c r="O1514">
        <v>2024</v>
      </c>
    </row>
    <row r="1515" spans="1:15" x14ac:dyDescent="0.3">
      <c r="A1515" t="s">
        <v>1600</v>
      </c>
      <c r="B1515" t="s">
        <v>23</v>
      </c>
      <c r="C1515" t="s">
        <v>62</v>
      </c>
      <c r="D1515" t="s">
        <v>95</v>
      </c>
      <c r="E1515" t="s">
        <v>19</v>
      </c>
      <c r="F1515" s="1">
        <v>45827</v>
      </c>
      <c r="G1515">
        <v>6</v>
      </c>
      <c r="H1515">
        <v>843.02</v>
      </c>
      <c r="I1515">
        <v>10</v>
      </c>
      <c r="J1515" t="s">
        <v>40</v>
      </c>
      <c r="K1515">
        <v>505.81</v>
      </c>
      <c r="L1515">
        <v>5058.12</v>
      </c>
      <c r="M1515">
        <v>4552.3100000000004</v>
      </c>
      <c r="N1515" t="s">
        <v>72</v>
      </c>
      <c r="O1515">
        <v>2025</v>
      </c>
    </row>
    <row r="1516" spans="1:15" x14ac:dyDescent="0.3">
      <c r="A1516" t="s">
        <v>1601</v>
      </c>
      <c r="B1516" t="s">
        <v>53</v>
      </c>
      <c r="C1516" t="s">
        <v>54</v>
      </c>
      <c r="D1516" t="s">
        <v>55</v>
      </c>
      <c r="E1516" t="s">
        <v>19</v>
      </c>
      <c r="F1516" s="1">
        <v>45920</v>
      </c>
      <c r="G1516">
        <v>6</v>
      </c>
      <c r="H1516">
        <v>1235.81</v>
      </c>
      <c r="I1516">
        <v>10</v>
      </c>
      <c r="J1516" t="s">
        <v>20</v>
      </c>
      <c r="K1516">
        <v>741.49</v>
      </c>
      <c r="L1516">
        <v>7414.86</v>
      </c>
      <c r="M1516">
        <v>6673.37</v>
      </c>
      <c r="N1516" t="s">
        <v>86</v>
      </c>
      <c r="O1516">
        <v>2025</v>
      </c>
    </row>
    <row r="1517" spans="1:15" x14ac:dyDescent="0.3">
      <c r="A1517" t="s">
        <v>1602</v>
      </c>
      <c r="B1517" t="s">
        <v>29</v>
      </c>
      <c r="C1517" t="s">
        <v>90</v>
      </c>
      <c r="D1517" t="s">
        <v>152</v>
      </c>
      <c r="E1517" t="s">
        <v>19</v>
      </c>
      <c r="F1517" s="1">
        <v>45460</v>
      </c>
      <c r="G1517">
        <v>9</v>
      </c>
      <c r="H1517">
        <v>10787.7</v>
      </c>
      <c r="I1517">
        <v>15</v>
      </c>
      <c r="J1517" t="s">
        <v>36</v>
      </c>
      <c r="K1517">
        <v>14563.4</v>
      </c>
      <c r="L1517">
        <v>97089.3</v>
      </c>
      <c r="M1517">
        <v>82525.899999999994</v>
      </c>
      <c r="N1517" t="s">
        <v>72</v>
      </c>
      <c r="O1517">
        <v>2024</v>
      </c>
    </row>
    <row r="1518" spans="1:15" x14ac:dyDescent="0.3">
      <c r="A1518" t="s">
        <v>1603</v>
      </c>
      <c r="B1518" t="s">
        <v>23</v>
      </c>
      <c r="C1518" t="s">
        <v>17</v>
      </c>
      <c r="D1518" t="s">
        <v>39</v>
      </c>
      <c r="E1518" t="s">
        <v>50</v>
      </c>
      <c r="F1518" s="1">
        <v>45773</v>
      </c>
      <c r="G1518">
        <v>2</v>
      </c>
      <c r="H1518">
        <v>20669.900000000001</v>
      </c>
      <c r="I1518">
        <v>0</v>
      </c>
      <c r="J1518" t="s">
        <v>36</v>
      </c>
      <c r="K1518">
        <v>0</v>
      </c>
      <c r="L1518">
        <v>41339.800000000003</v>
      </c>
      <c r="M1518">
        <v>41339.800000000003</v>
      </c>
      <c r="N1518" t="s">
        <v>27</v>
      </c>
      <c r="O1518">
        <v>2025</v>
      </c>
    </row>
    <row r="1519" spans="1:15" x14ac:dyDescent="0.3">
      <c r="A1519" t="s">
        <v>1604</v>
      </c>
      <c r="B1519" t="s">
        <v>29</v>
      </c>
      <c r="C1519" t="s">
        <v>62</v>
      </c>
      <c r="D1519" t="s">
        <v>63</v>
      </c>
      <c r="E1519" t="s">
        <v>30</v>
      </c>
      <c r="F1519" s="1">
        <v>45842</v>
      </c>
      <c r="G1519">
        <v>8</v>
      </c>
      <c r="H1519">
        <v>1768.97</v>
      </c>
      <c r="I1519">
        <v>0</v>
      </c>
      <c r="J1519" t="s">
        <v>82</v>
      </c>
      <c r="K1519">
        <v>0</v>
      </c>
      <c r="L1519">
        <v>14151.76</v>
      </c>
      <c r="M1519">
        <v>14151.76</v>
      </c>
      <c r="N1519" t="s">
        <v>122</v>
      </c>
      <c r="O1519">
        <v>2025</v>
      </c>
    </row>
    <row r="1520" spans="1:15" x14ac:dyDescent="0.3">
      <c r="A1520" t="s">
        <v>1605</v>
      </c>
      <c r="B1520" t="s">
        <v>93</v>
      </c>
      <c r="C1520" t="s">
        <v>54</v>
      </c>
      <c r="D1520" t="s">
        <v>68</v>
      </c>
      <c r="E1520" t="s">
        <v>50</v>
      </c>
      <c r="F1520" s="1">
        <v>45650</v>
      </c>
      <c r="G1520">
        <v>9</v>
      </c>
      <c r="H1520">
        <v>5548.14</v>
      </c>
      <c r="I1520">
        <v>10</v>
      </c>
      <c r="J1520" t="s">
        <v>82</v>
      </c>
      <c r="K1520">
        <v>4993.33</v>
      </c>
      <c r="L1520">
        <v>49933.26</v>
      </c>
      <c r="M1520">
        <v>44939.93</v>
      </c>
      <c r="N1520" t="s">
        <v>51</v>
      </c>
      <c r="O1520">
        <v>2024</v>
      </c>
    </row>
    <row r="1521" spans="1:15" x14ac:dyDescent="0.3">
      <c r="A1521" t="s">
        <v>1606</v>
      </c>
      <c r="B1521" t="s">
        <v>43</v>
      </c>
      <c r="C1521" t="s">
        <v>17</v>
      </c>
      <c r="D1521" t="s">
        <v>59</v>
      </c>
      <c r="E1521" t="s">
        <v>19</v>
      </c>
      <c r="F1521" s="1">
        <v>45890</v>
      </c>
      <c r="G1521">
        <v>5</v>
      </c>
      <c r="H1521">
        <v>24795.47</v>
      </c>
      <c r="I1521">
        <v>15</v>
      </c>
      <c r="J1521" t="s">
        <v>31</v>
      </c>
      <c r="K1521">
        <v>18596.599999999999</v>
      </c>
      <c r="L1521">
        <v>123977.35</v>
      </c>
      <c r="M1521">
        <v>105380.75</v>
      </c>
      <c r="N1521" t="s">
        <v>21</v>
      </c>
      <c r="O1521">
        <v>2025</v>
      </c>
    </row>
    <row r="1522" spans="1:15" x14ac:dyDescent="0.3">
      <c r="A1522" t="s">
        <v>1607</v>
      </c>
      <c r="B1522" t="s">
        <v>65</v>
      </c>
      <c r="C1522" t="s">
        <v>62</v>
      </c>
      <c r="D1522" t="s">
        <v>132</v>
      </c>
      <c r="E1522" t="s">
        <v>30</v>
      </c>
      <c r="F1522" s="1">
        <v>45371</v>
      </c>
      <c r="G1522">
        <v>10</v>
      </c>
      <c r="H1522">
        <v>2345.2600000000002</v>
      </c>
      <c r="I1522">
        <v>5</v>
      </c>
      <c r="J1522" t="s">
        <v>20</v>
      </c>
      <c r="K1522">
        <v>1172.6300000000001</v>
      </c>
      <c r="L1522">
        <v>23452.6</v>
      </c>
      <c r="M1522">
        <v>22279.97</v>
      </c>
      <c r="N1522" t="s">
        <v>83</v>
      </c>
      <c r="O1522">
        <v>2024</v>
      </c>
    </row>
    <row r="1523" spans="1:15" x14ac:dyDescent="0.3">
      <c r="A1523" t="s">
        <v>1608</v>
      </c>
      <c r="B1523" t="s">
        <v>43</v>
      </c>
      <c r="C1523" t="s">
        <v>62</v>
      </c>
      <c r="D1523" t="s">
        <v>63</v>
      </c>
      <c r="E1523" t="s">
        <v>81</v>
      </c>
      <c r="F1523" s="1">
        <v>45421</v>
      </c>
      <c r="G1523">
        <v>9</v>
      </c>
      <c r="H1523">
        <v>1884.29</v>
      </c>
      <c r="I1523">
        <v>15</v>
      </c>
      <c r="J1523" t="s">
        <v>82</v>
      </c>
      <c r="K1523">
        <v>2543.79</v>
      </c>
      <c r="L1523">
        <v>16958.61</v>
      </c>
      <c r="M1523">
        <v>14414.82</v>
      </c>
      <c r="N1523" t="s">
        <v>101</v>
      </c>
      <c r="O1523">
        <v>2024</v>
      </c>
    </row>
    <row r="1524" spans="1:15" x14ac:dyDescent="0.3">
      <c r="A1524" t="s">
        <v>1609</v>
      </c>
      <c r="B1524" t="s">
        <v>74</v>
      </c>
      <c r="C1524" t="s">
        <v>62</v>
      </c>
      <c r="D1524" t="s">
        <v>132</v>
      </c>
      <c r="E1524" t="s">
        <v>44</v>
      </c>
      <c r="F1524" s="1">
        <v>45922</v>
      </c>
      <c r="G1524">
        <v>8</v>
      </c>
      <c r="H1524">
        <v>2380.8200000000002</v>
      </c>
      <c r="I1524">
        <v>0</v>
      </c>
      <c r="J1524" t="s">
        <v>40</v>
      </c>
      <c r="K1524">
        <v>0</v>
      </c>
      <c r="L1524">
        <v>19046.560000000001</v>
      </c>
      <c r="M1524">
        <v>19046.560000000001</v>
      </c>
      <c r="N1524" t="s">
        <v>86</v>
      </c>
      <c r="O1524">
        <v>2025</v>
      </c>
    </row>
    <row r="1525" spans="1:15" x14ac:dyDescent="0.3">
      <c r="A1525" t="s">
        <v>1610</v>
      </c>
      <c r="B1525" t="s">
        <v>47</v>
      </c>
      <c r="C1525" t="s">
        <v>34</v>
      </c>
      <c r="D1525" t="s">
        <v>85</v>
      </c>
      <c r="E1525" t="s">
        <v>44</v>
      </c>
      <c r="F1525" s="1">
        <v>45438</v>
      </c>
      <c r="G1525">
        <v>3</v>
      </c>
      <c r="H1525">
        <v>12226.39</v>
      </c>
      <c r="I1525">
        <v>0</v>
      </c>
      <c r="J1525" t="s">
        <v>36</v>
      </c>
      <c r="K1525">
        <v>0</v>
      </c>
      <c r="L1525">
        <v>36679.17</v>
      </c>
      <c r="M1525">
        <v>36679.17</v>
      </c>
      <c r="N1525" t="s">
        <v>101</v>
      </c>
      <c r="O1525">
        <v>2024</v>
      </c>
    </row>
    <row r="1526" spans="1:15" x14ac:dyDescent="0.3">
      <c r="A1526" t="s">
        <v>1611</v>
      </c>
      <c r="B1526" t="s">
        <v>114</v>
      </c>
      <c r="C1526" t="s">
        <v>62</v>
      </c>
      <c r="D1526" t="s">
        <v>95</v>
      </c>
      <c r="E1526" t="s">
        <v>25</v>
      </c>
      <c r="F1526" s="1">
        <v>45815</v>
      </c>
      <c r="G1526">
        <v>8</v>
      </c>
      <c r="H1526">
        <v>805.08</v>
      </c>
      <c r="I1526">
        <v>15</v>
      </c>
      <c r="J1526" t="s">
        <v>36</v>
      </c>
      <c r="K1526">
        <v>966.1</v>
      </c>
      <c r="L1526">
        <v>6440.64</v>
      </c>
      <c r="M1526">
        <v>5474.54</v>
      </c>
      <c r="N1526" t="s">
        <v>72</v>
      </c>
      <c r="O1526">
        <v>2025</v>
      </c>
    </row>
    <row r="1527" spans="1:15" x14ac:dyDescent="0.3">
      <c r="A1527" t="s">
        <v>1612</v>
      </c>
      <c r="B1527" t="s">
        <v>65</v>
      </c>
      <c r="C1527" t="s">
        <v>62</v>
      </c>
      <c r="D1527" t="s">
        <v>119</v>
      </c>
      <c r="E1527" t="s">
        <v>44</v>
      </c>
      <c r="F1527" s="1">
        <v>45538</v>
      </c>
      <c r="G1527">
        <v>9</v>
      </c>
      <c r="H1527">
        <v>3494.09</v>
      </c>
      <c r="I1527">
        <v>15</v>
      </c>
      <c r="J1527" t="s">
        <v>82</v>
      </c>
      <c r="K1527">
        <v>4717.0200000000004</v>
      </c>
      <c r="L1527">
        <v>31446.81</v>
      </c>
      <c r="M1527">
        <v>26729.79</v>
      </c>
      <c r="N1527" t="s">
        <v>86</v>
      </c>
      <c r="O1527">
        <v>2024</v>
      </c>
    </row>
    <row r="1528" spans="1:15" x14ac:dyDescent="0.3">
      <c r="A1528" t="s">
        <v>1613</v>
      </c>
      <c r="B1528" t="s">
        <v>43</v>
      </c>
      <c r="C1528" t="s">
        <v>90</v>
      </c>
      <c r="D1528" t="s">
        <v>115</v>
      </c>
      <c r="E1528" t="s">
        <v>44</v>
      </c>
      <c r="F1528" s="1">
        <v>45835</v>
      </c>
      <c r="G1528">
        <v>2</v>
      </c>
      <c r="H1528">
        <v>8966.57</v>
      </c>
      <c r="I1528">
        <v>5</v>
      </c>
      <c r="J1528" t="s">
        <v>45</v>
      </c>
      <c r="K1528">
        <v>896.66</v>
      </c>
      <c r="L1528">
        <v>17933.14</v>
      </c>
      <c r="M1528">
        <v>17036.48</v>
      </c>
      <c r="N1528" t="s">
        <v>72</v>
      </c>
      <c r="O1528">
        <v>2025</v>
      </c>
    </row>
    <row r="1529" spans="1:15" x14ac:dyDescent="0.3">
      <c r="A1529" t="s">
        <v>1614</v>
      </c>
      <c r="B1529" t="s">
        <v>16</v>
      </c>
      <c r="C1529" t="s">
        <v>34</v>
      </c>
      <c r="D1529" t="s">
        <v>48</v>
      </c>
      <c r="E1529" t="s">
        <v>50</v>
      </c>
      <c r="F1529" s="1">
        <v>45865</v>
      </c>
      <c r="G1529">
        <v>8</v>
      </c>
      <c r="H1529">
        <v>8180.19</v>
      </c>
      <c r="I1529">
        <v>10</v>
      </c>
      <c r="J1529" t="s">
        <v>31</v>
      </c>
      <c r="K1529">
        <v>6544.15</v>
      </c>
      <c r="L1529">
        <v>65441.52</v>
      </c>
      <c r="M1529">
        <v>58897.37</v>
      </c>
      <c r="N1529" t="s">
        <v>122</v>
      </c>
      <c r="O1529">
        <v>2025</v>
      </c>
    </row>
    <row r="1530" spans="1:15" x14ac:dyDescent="0.3">
      <c r="A1530" t="s">
        <v>1615</v>
      </c>
      <c r="B1530" t="s">
        <v>114</v>
      </c>
      <c r="C1530" t="s">
        <v>17</v>
      </c>
      <c r="D1530" t="s">
        <v>24</v>
      </c>
      <c r="E1530" t="s">
        <v>56</v>
      </c>
      <c r="F1530" s="1">
        <v>45474</v>
      </c>
      <c r="G1530">
        <v>1</v>
      </c>
      <c r="H1530">
        <v>3349.6</v>
      </c>
      <c r="I1530">
        <v>15</v>
      </c>
      <c r="J1530" t="s">
        <v>45</v>
      </c>
      <c r="K1530">
        <v>502.44</v>
      </c>
      <c r="L1530">
        <v>3349.6</v>
      </c>
      <c r="M1530">
        <v>2847.16</v>
      </c>
      <c r="N1530" t="s">
        <v>122</v>
      </c>
      <c r="O1530">
        <v>2024</v>
      </c>
    </row>
    <row r="1531" spans="1:15" x14ac:dyDescent="0.3">
      <c r="A1531" t="s">
        <v>1616</v>
      </c>
      <c r="B1531" t="s">
        <v>29</v>
      </c>
      <c r="C1531" t="s">
        <v>62</v>
      </c>
      <c r="D1531" t="s">
        <v>99</v>
      </c>
      <c r="E1531" t="s">
        <v>81</v>
      </c>
      <c r="F1531" s="1">
        <v>45683</v>
      </c>
      <c r="G1531">
        <v>6</v>
      </c>
      <c r="H1531">
        <v>1417.13</v>
      </c>
      <c r="I1531">
        <v>0</v>
      </c>
      <c r="J1531" t="s">
        <v>20</v>
      </c>
      <c r="K1531">
        <v>0</v>
      </c>
      <c r="L1531">
        <v>8502.7800000000007</v>
      </c>
      <c r="M1531">
        <v>8502.7800000000007</v>
      </c>
      <c r="N1531" t="s">
        <v>116</v>
      </c>
      <c r="O1531">
        <v>2025</v>
      </c>
    </row>
    <row r="1532" spans="1:15" x14ac:dyDescent="0.3">
      <c r="A1532" t="s">
        <v>1617</v>
      </c>
      <c r="B1532" t="s">
        <v>33</v>
      </c>
      <c r="C1532" t="s">
        <v>34</v>
      </c>
      <c r="D1532" t="s">
        <v>35</v>
      </c>
      <c r="E1532" t="s">
        <v>81</v>
      </c>
      <c r="F1532" s="1">
        <v>45297</v>
      </c>
      <c r="G1532">
        <v>10</v>
      </c>
      <c r="H1532">
        <v>24439.94</v>
      </c>
      <c r="I1532">
        <v>0</v>
      </c>
      <c r="J1532" t="s">
        <v>20</v>
      </c>
      <c r="K1532">
        <v>0</v>
      </c>
      <c r="L1532">
        <v>244399.4</v>
      </c>
      <c r="M1532">
        <v>244399.4</v>
      </c>
      <c r="N1532" t="s">
        <v>116</v>
      </c>
      <c r="O1532">
        <v>2024</v>
      </c>
    </row>
    <row r="1533" spans="1:15" x14ac:dyDescent="0.3">
      <c r="A1533" t="s">
        <v>1618</v>
      </c>
      <c r="B1533" t="s">
        <v>65</v>
      </c>
      <c r="C1533" t="s">
        <v>62</v>
      </c>
      <c r="D1533" t="s">
        <v>119</v>
      </c>
      <c r="E1533" t="s">
        <v>25</v>
      </c>
      <c r="F1533" s="1">
        <v>45326</v>
      </c>
      <c r="G1533">
        <v>5</v>
      </c>
      <c r="H1533">
        <v>3711.46</v>
      </c>
      <c r="I1533">
        <v>15</v>
      </c>
      <c r="J1533" t="s">
        <v>40</v>
      </c>
      <c r="K1533">
        <v>2783.59</v>
      </c>
      <c r="L1533">
        <v>18557.3</v>
      </c>
      <c r="M1533">
        <v>15773.71</v>
      </c>
      <c r="N1533" t="s">
        <v>41</v>
      </c>
      <c r="O1533">
        <v>2024</v>
      </c>
    </row>
    <row r="1534" spans="1:15" x14ac:dyDescent="0.3">
      <c r="A1534" t="s">
        <v>1619</v>
      </c>
      <c r="B1534" t="s">
        <v>43</v>
      </c>
      <c r="C1534" t="s">
        <v>17</v>
      </c>
      <c r="D1534" t="s">
        <v>39</v>
      </c>
      <c r="E1534" t="s">
        <v>30</v>
      </c>
      <c r="F1534" s="1">
        <v>45877</v>
      </c>
      <c r="G1534">
        <v>1</v>
      </c>
      <c r="H1534">
        <v>20084.330000000002</v>
      </c>
      <c r="I1534">
        <v>15</v>
      </c>
      <c r="J1534" t="s">
        <v>26</v>
      </c>
      <c r="K1534">
        <v>3012.65</v>
      </c>
      <c r="L1534">
        <v>20084.330000000002</v>
      </c>
      <c r="M1534">
        <v>17071.68</v>
      </c>
      <c r="N1534" t="s">
        <v>21</v>
      </c>
      <c r="O1534">
        <v>2025</v>
      </c>
    </row>
    <row r="1535" spans="1:15" x14ac:dyDescent="0.3">
      <c r="A1535" t="s">
        <v>1620</v>
      </c>
      <c r="B1535" t="s">
        <v>89</v>
      </c>
      <c r="C1535" t="s">
        <v>54</v>
      </c>
      <c r="D1535" t="s">
        <v>68</v>
      </c>
      <c r="E1535" t="s">
        <v>50</v>
      </c>
      <c r="F1535" s="1">
        <v>45955</v>
      </c>
      <c r="G1535">
        <v>9</v>
      </c>
      <c r="H1535">
        <v>5454.2</v>
      </c>
      <c r="I1535">
        <v>0</v>
      </c>
      <c r="J1535" t="s">
        <v>71</v>
      </c>
      <c r="K1535">
        <v>0</v>
      </c>
      <c r="L1535">
        <v>49087.8</v>
      </c>
      <c r="M1535">
        <v>49087.8</v>
      </c>
      <c r="N1535" t="s">
        <v>57</v>
      </c>
      <c r="O1535">
        <v>2025</v>
      </c>
    </row>
    <row r="1536" spans="1:15" x14ac:dyDescent="0.3">
      <c r="A1536" t="s">
        <v>1621</v>
      </c>
      <c r="B1536" t="s">
        <v>93</v>
      </c>
      <c r="C1536" t="s">
        <v>62</v>
      </c>
      <c r="D1536" t="s">
        <v>95</v>
      </c>
      <c r="E1536" t="s">
        <v>30</v>
      </c>
      <c r="F1536" s="1">
        <v>46014</v>
      </c>
      <c r="G1536">
        <v>3</v>
      </c>
      <c r="H1536">
        <v>983.6</v>
      </c>
      <c r="I1536">
        <v>5</v>
      </c>
      <c r="J1536" t="s">
        <v>36</v>
      </c>
      <c r="K1536">
        <v>147.54</v>
      </c>
      <c r="L1536">
        <v>2950.8</v>
      </c>
      <c r="M1536">
        <v>2803.26</v>
      </c>
      <c r="N1536" t="s">
        <v>51</v>
      </c>
      <c r="O1536">
        <v>2025</v>
      </c>
    </row>
    <row r="1537" spans="1:15" x14ac:dyDescent="0.3">
      <c r="A1537" t="s">
        <v>1622</v>
      </c>
      <c r="B1537" t="s">
        <v>38</v>
      </c>
      <c r="C1537" t="s">
        <v>17</v>
      </c>
      <c r="D1537" t="s">
        <v>157</v>
      </c>
      <c r="E1537" t="s">
        <v>44</v>
      </c>
      <c r="F1537" s="1">
        <v>45349</v>
      </c>
      <c r="G1537">
        <v>8</v>
      </c>
      <c r="H1537">
        <v>7415.59</v>
      </c>
      <c r="I1537">
        <v>0</v>
      </c>
      <c r="J1537" t="s">
        <v>82</v>
      </c>
      <c r="K1537">
        <v>0</v>
      </c>
      <c r="L1537">
        <v>59324.72</v>
      </c>
      <c r="M1537">
        <v>59324.72</v>
      </c>
      <c r="N1537" t="s">
        <v>41</v>
      </c>
      <c r="O1537">
        <v>2024</v>
      </c>
    </row>
    <row r="1538" spans="1:15" x14ac:dyDescent="0.3">
      <c r="A1538" t="s">
        <v>1623</v>
      </c>
      <c r="B1538" t="s">
        <v>38</v>
      </c>
      <c r="C1538" t="s">
        <v>62</v>
      </c>
      <c r="D1538" t="s">
        <v>95</v>
      </c>
      <c r="E1538" t="s">
        <v>81</v>
      </c>
      <c r="F1538" s="1">
        <v>45490</v>
      </c>
      <c r="G1538">
        <v>10</v>
      </c>
      <c r="H1538">
        <v>867.49</v>
      </c>
      <c r="I1538">
        <v>10</v>
      </c>
      <c r="J1538" t="s">
        <v>40</v>
      </c>
      <c r="K1538">
        <v>867.49</v>
      </c>
      <c r="L1538">
        <v>8674.9</v>
      </c>
      <c r="M1538">
        <v>7807.41</v>
      </c>
      <c r="N1538" t="s">
        <v>122</v>
      </c>
      <c r="O1538">
        <v>2024</v>
      </c>
    </row>
    <row r="1539" spans="1:15" x14ac:dyDescent="0.3">
      <c r="A1539" t="s">
        <v>1624</v>
      </c>
      <c r="B1539" t="s">
        <v>114</v>
      </c>
      <c r="C1539" t="s">
        <v>62</v>
      </c>
      <c r="D1539" t="s">
        <v>63</v>
      </c>
      <c r="E1539" t="s">
        <v>81</v>
      </c>
      <c r="F1539" s="1">
        <v>45820</v>
      </c>
      <c r="G1539">
        <v>1</v>
      </c>
      <c r="H1539">
        <v>2043.25</v>
      </c>
      <c r="I1539">
        <v>15</v>
      </c>
      <c r="J1539" t="s">
        <v>45</v>
      </c>
      <c r="K1539">
        <v>306.49</v>
      </c>
      <c r="L1539">
        <v>2043.25</v>
      </c>
      <c r="M1539">
        <v>1736.76</v>
      </c>
      <c r="N1539" t="s">
        <v>72</v>
      </c>
      <c r="O1539">
        <v>2025</v>
      </c>
    </row>
    <row r="1540" spans="1:15" x14ac:dyDescent="0.3">
      <c r="A1540" t="s">
        <v>1625</v>
      </c>
      <c r="B1540" t="s">
        <v>47</v>
      </c>
      <c r="C1540" t="s">
        <v>90</v>
      </c>
      <c r="D1540" t="s">
        <v>105</v>
      </c>
      <c r="E1540" t="s">
        <v>50</v>
      </c>
      <c r="F1540" s="1">
        <v>45565</v>
      </c>
      <c r="G1540">
        <v>2</v>
      </c>
      <c r="H1540">
        <v>3301.01</v>
      </c>
      <c r="I1540">
        <v>0</v>
      </c>
      <c r="J1540" t="s">
        <v>36</v>
      </c>
      <c r="K1540">
        <v>0</v>
      </c>
      <c r="L1540">
        <v>6602.02</v>
      </c>
      <c r="M1540">
        <v>6602.02</v>
      </c>
      <c r="N1540" t="s">
        <v>86</v>
      </c>
      <c r="O1540">
        <v>2024</v>
      </c>
    </row>
    <row r="1541" spans="1:15" x14ac:dyDescent="0.3">
      <c r="A1541" t="s">
        <v>1626</v>
      </c>
      <c r="B1541" t="s">
        <v>29</v>
      </c>
      <c r="C1541" t="s">
        <v>62</v>
      </c>
      <c r="D1541" t="s">
        <v>132</v>
      </c>
      <c r="E1541" t="s">
        <v>30</v>
      </c>
      <c r="F1541" s="1">
        <v>45469</v>
      </c>
      <c r="G1541">
        <v>1</v>
      </c>
      <c r="H1541">
        <v>2444.48</v>
      </c>
      <c r="I1541">
        <v>20</v>
      </c>
      <c r="J1541" t="s">
        <v>31</v>
      </c>
      <c r="K1541">
        <v>488.9</v>
      </c>
      <c r="L1541">
        <v>2444.48</v>
      </c>
      <c r="M1541">
        <v>1955.58</v>
      </c>
      <c r="N1541" t="s">
        <v>72</v>
      </c>
      <c r="O1541">
        <v>2024</v>
      </c>
    </row>
    <row r="1542" spans="1:15" x14ac:dyDescent="0.3">
      <c r="A1542" t="s">
        <v>1627</v>
      </c>
      <c r="B1542" t="s">
        <v>33</v>
      </c>
      <c r="C1542" t="s">
        <v>62</v>
      </c>
      <c r="D1542" t="s">
        <v>95</v>
      </c>
      <c r="E1542" t="s">
        <v>56</v>
      </c>
      <c r="F1542" s="1">
        <v>45871</v>
      </c>
      <c r="G1542">
        <v>8</v>
      </c>
      <c r="H1542">
        <v>737.63</v>
      </c>
      <c r="I1542">
        <v>0</v>
      </c>
      <c r="J1542" t="s">
        <v>82</v>
      </c>
      <c r="K1542">
        <v>0</v>
      </c>
      <c r="L1542">
        <v>5901.04</v>
      </c>
      <c r="M1542">
        <v>5901.04</v>
      </c>
      <c r="N1542" t="s">
        <v>21</v>
      </c>
      <c r="O1542">
        <v>2025</v>
      </c>
    </row>
    <row r="1543" spans="1:15" x14ac:dyDescent="0.3">
      <c r="A1543" t="s">
        <v>1628</v>
      </c>
      <c r="B1543" t="s">
        <v>53</v>
      </c>
      <c r="C1543" t="s">
        <v>34</v>
      </c>
      <c r="D1543" t="s">
        <v>80</v>
      </c>
      <c r="E1543" t="s">
        <v>19</v>
      </c>
      <c r="F1543" s="1">
        <v>45465</v>
      </c>
      <c r="G1543">
        <v>1</v>
      </c>
      <c r="H1543">
        <v>5726.29</v>
      </c>
      <c r="I1543">
        <v>10</v>
      </c>
      <c r="J1543" t="s">
        <v>26</v>
      </c>
      <c r="K1543">
        <v>572.63</v>
      </c>
      <c r="L1543">
        <v>5726.29</v>
      </c>
      <c r="M1543">
        <v>5153.66</v>
      </c>
      <c r="N1543" t="s">
        <v>72</v>
      </c>
      <c r="O1543">
        <v>2024</v>
      </c>
    </row>
    <row r="1544" spans="1:15" x14ac:dyDescent="0.3">
      <c r="A1544" t="s">
        <v>1629</v>
      </c>
      <c r="B1544" t="s">
        <v>114</v>
      </c>
      <c r="C1544" t="s">
        <v>90</v>
      </c>
      <c r="D1544" t="s">
        <v>105</v>
      </c>
      <c r="E1544" t="s">
        <v>30</v>
      </c>
      <c r="F1544" s="1">
        <v>45607</v>
      </c>
      <c r="G1544">
        <v>4</v>
      </c>
      <c r="H1544">
        <v>4184.38</v>
      </c>
      <c r="I1544">
        <v>5</v>
      </c>
      <c r="J1544" t="s">
        <v>20</v>
      </c>
      <c r="K1544">
        <v>836.88</v>
      </c>
      <c r="L1544">
        <v>16737.52</v>
      </c>
      <c r="M1544">
        <v>15900.64</v>
      </c>
      <c r="N1544" t="s">
        <v>96</v>
      </c>
      <c r="O1544">
        <v>2024</v>
      </c>
    </row>
    <row r="1545" spans="1:15" x14ac:dyDescent="0.3">
      <c r="A1545" t="s">
        <v>1630</v>
      </c>
      <c r="B1545" t="s">
        <v>23</v>
      </c>
      <c r="C1545" t="s">
        <v>62</v>
      </c>
      <c r="D1545" t="s">
        <v>95</v>
      </c>
      <c r="E1545" t="s">
        <v>30</v>
      </c>
      <c r="F1545" s="1">
        <v>45474</v>
      </c>
      <c r="G1545">
        <v>5</v>
      </c>
      <c r="H1545">
        <v>748.09</v>
      </c>
      <c r="I1545">
        <v>10</v>
      </c>
      <c r="J1545" t="s">
        <v>40</v>
      </c>
      <c r="K1545">
        <v>374.05</v>
      </c>
      <c r="L1545">
        <v>3740.45</v>
      </c>
      <c r="M1545">
        <v>3366.4</v>
      </c>
      <c r="N1545" t="s">
        <v>122</v>
      </c>
      <c r="O1545">
        <v>2024</v>
      </c>
    </row>
    <row r="1546" spans="1:15" x14ac:dyDescent="0.3">
      <c r="A1546" t="s">
        <v>1631</v>
      </c>
      <c r="B1546" t="s">
        <v>38</v>
      </c>
      <c r="C1546" t="s">
        <v>90</v>
      </c>
      <c r="D1546" t="s">
        <v>107</v>
      </c>
      <c r="E1546" t="s">
        <v>50</v>
      </c>
      <c r="F1546" s="1">
        <v>45496</v>
      </c>
      <c r="G1546">
        <v>3</v>
      </c>
      <c r="H1546">
        <v>13737.83</v>
      </c>
      <c r="I1546">
        <v>10</v>
      </c>
      <c r="J1546" t="s">
        <v>40</v>
      </c>
      <c r="K1546">
        <v>4121.3500000000004</v>
      </c>
      <c r="L1546">
        <v>41213.49</v>
      </c>
      <c r="M1546">
        <v>37092.14</v>
      </c>
      <c r="N1546" t="s">
        <v>122</v>
      </c>
      <c r="O1546">
        <v>2024</v>
      </c>
    </row>
    <row r="1547" spans="1:15" x14ac:dyDescent="0.3">
      <c r="A1547" t="s">
        <v>1632</v>
      </c>
      <c r="B1547" t="s">
        <v>47</v>
      </c>
      <c r="C1547" t="s">
        <v>90</v>
      </c>
      <c r="D1547" t="s">
        <v>115</v>
      </c>
      <c r="E1547" t="s">
        <v>56</v>
      </c>
      <c r="F1547" s="1">
        <v>45884</v>
      </c>
      <c r="G1547">
        <v>6</v>
      </c>
      <c r="H1547">
        <v>7897.72</v>
      </c>
      <c r="I1547">
        <v>20</v>
      </c>
      <c r="J1547" t="s">
        <v>45</v>
      </c>
      <c r="K1547">
        <v>9477.26</v>
      </c>
      <c r="L1547">
        <v>47386.32</v>
      </c>
      <c r="M1547">
        <v>37909.06</v>
      </c>
      <c r="N1547" t="s">
        <v>21</v>
      </c>
      <c r="O1547">
        <v>2025</v>
      </c>
    </row>
    <row r="1548" spans="1:15" x14ac:dyDescent="0.3">
      <c r="A1548" t="s">
        <v>1633</v>
      </c>
      <c r="B1548" t="s">
        <v>109</v>
      </c>
      <c r="C1548" t="s">
        <v>90</v>
      </c>
      <c r="D1548" t="s">
        <v>107</v>
      </c>
      <c r="E1548" t="s">
        <v>44</v>
      </c>
      <c r="F1548" s="1">
        <v>45451</v>
      </c>
      <c r="G1548">
        <v>9</v>
      </c>
      <c r="H1548">
        <v>12506.13</v>
      </c>
      <c r="I1548">
        <v>15</v>
      </c>
      <c r="J1548" t="s">
        <v>31</v>
      </c>
      <c r="K1548">
        <v>16883.28</v>
      </c>
      <c r="L1548">
        <v>112555.17</v>
      </c>
      <c r="M1548">
        <v>95671.89</v>
      </c>
      <c r="N1548" t="s">
        <v>72</v>
      </c>
      <c r="O1548">
        <v>2024</v>
      </c>
    </row>
    <row r="1549" spans="1:15" x14ac:dyDescent="0.3">
      <c r="A1549" t="s">
        <v>1634</v>
      </c>
      <c r="B1549" t="s">
        <v>29</v>
      </c>
      <c r="C1549" t="s">
        <v>62</v>
      </c>
      <c r="D1549" t="s">
        <v>119</v>
      </c>
      <c r="E1549" t="s">
        <v>19</v>
      </c>
      <c r="F1549" s="1">
        <v>45384</v>
      </c>
      <c r="G1549">
        <v>9</v>
      </c>
      <c r="H1549">
        <v>3826.73</v>
      </c>
      <c r="I1549">
        <v>10</v>
      </c>
      <c r="J1549" t="s">
        <v>40</v>
      </c>
      <c r="K1549">
        <v>3444.06</v>
      </c>
      <c r="L1549">
        <v>34440.57</v>
      </c>
      <c r="M1549">
        <v>30996.51</v>
      </c>
      <c r="N1549" t="s">
        <v>27</v>
      </c>
      <c r="O1549">
        <v>2024</v>
      </c>
    </row>
    <row r="1550" spans="1:15" x14ac:dyDescent="0.3">
      <c r="A1550" t="s">
        <v>1635</v>
      </c>
      <c r="B1550" t="s">
        <v>43</v>
      </c>
      <c r="C1550" t="s">
        <v>34</v>
      </c>
      <c r="D1550" t="s">
        <v>35</v>
      </c>
      <c r="E1550" t="s">
        <v>25</v>
      </c>
      <c r="F1550" s="1">
        <v>45821</v>
      </c>
      <c r="G1550">
        <v>3</v>
      </c>
      <c r="H1550">
        <v>25470.06</v>
      </c>
      <c r="I1550">
        <v>15</v>
      </c>
      <c r="J1550" t="s">
        <v>82</v>
      </c>
      <c r="K1550">
        <v>11461.53</v>
      </c>
      <c r="L1550">
        <v>76410.179999999993</v>
      </c>
      <c r="M1550">
        <v>64948.65</v>
      </c>
      <c r="N1550" t="s">
        <v>72</v>
      </c>
      <c r="O1550">
        <v>2025</v>
      </c>
    </row>
    <row r="1551" spans="1:15" x14ac:dyDescent="0.3">
      <c r="A1551" t="s">
        <v>1636</v>
      </c>
      <c r="B1551" t="s">
        <v>33</v>
      </c>
      <c r="C1551" t="s">
        <v>54</v>
      </c>
      <c r="D1551" t="s">
        <v>137</v>
      </c>
      <c r="E1551" t="s">
        <v>81</v>
      </c>
      <c r="F1551" s="1">
        <v>45966</v>
      </c>
      <c r="G1551">
        <v>10</v>
      </c>
      <c r="H1551">
        <v>1114.07</v>
      </c>
      <c r="I1551">
        <v>10</v>
      </c>
      <c r="J1551" t="s">
        <v>31</v>
      </c>
      <c r="K1551">
        <v>1114.07</v>
      </c>
      <c r="L1551">
        <v>11140.7</v>
      </c>
      <c r="M1551">
        <v>10026.629999999999</v>
      </c>
      <c r="N1551" t="s">
        <v>96</v>
      </c>
      <c r="O1551">
        <v>2025</v>
      </c>
    </row>
    <row r="1552" spans="1:15" x14ac:dyDescent="0.3">
      <c r="A1552" t="s">
        <v>1637</v>
      </c>
      <c r="B1552" t="s">
        <v>38</v>
      </c>
      <c r="C1552" t="s">
        <v>17</v>
      </c>
      <c r="D1552" t="s">
        <v>39</v>
      </c>
      <c r="E1552" t="s">
        <v>25</v>
      </c>
      <c r="F1552" s="1">
        <v>45723</v>
      </c>
      <c r="G1552">
        <v>8</v>
      </c>
      <c r="H1552">
        <v>17706.21</v>
      </c>
      <c r="I1552">
        <v>0</v>
      </c>
      <c r="J1552" t="s">
        <v>36</v>
      </c>
      <c r="K1552">
        <v>0</v>
      </c>
      <c r="L1552">
        <v>141649.68</v>
      </c>
      <c r="M1552">
        <v>141649.68</v>
      </c>
      <c r="N1552" t="s">
        <v>83</v>
      </c>
      <c r="O1552">
        <v>2025</v>
      </c>
    </row>
    <row r="1553" spans="1:15" x14ac:dyDescent="0.3">
      <c r="A1553" t="s">
        <v>1638</v>
      </c>
      <c r="B1553" t="s">
        <v>43</v>
      </c>
      <c r="C1553" t="s">
        <v>34</v>
      </c>
      <c r="D1553" t="s">
        <v>48</v>
      </c>
      <c r="E1553" t="s">
        <v>50</v>
      </c>
      <c r="F1553" s="1">
        <v>45851</v>
      </c>
      <c r="G1553">
        <v>3</v>
      </c>
      <c r="H1553">
        <v>8704.09</v>
      </c>
      <c r="I1553">
        <v>15</v>
      </c>
      <c r="J1553" t="s">
        <v>71</v>
      </c>
      <c r="K1553">
        <v>3916.84</v>
      </c>
      <c r="L1553">
        <v>26112.27</v>
      </c>
      <c r="M1553">
        <v>22195.43</v>
      </c>
      <c r="N1553" t="s">
        <v>122</v>
      </c>
      <c r="O1553">
        <v>2025</v>
      </c>
    </row>
    <row r="1554" spans="1:15" x14ac:dyDescent="0.3">
      <c r="A1554" t="s">
        <v>1639</v>
      </c>
      <c r="B1554" t="s">
        <v>93</v>
      </c>
      <c r="C1554" t="s">
        <v>54</v>
      </c>
      <c r="D1554" t="s">
        <v>68</v>
      </c>
      <c r="E1554" t="s">
        <v>81</v>
      </c>
      <c r="F1554" s="1">
        <v>45700</v>
      </c>
      <c r="G1554">
        <v>8</v>
      </c>
      <c r="H1554">
        <v>4988.3599999999997</v>
      </c>
      <c r="I1554">
        <v>10</v>
      </c>
      <c r="J1554" t="s">
        <v>31</v>
      </c>
      <c r="K1554">
        <v>3990.69</v>
      </c>
      <c r="L1554">
        <v>39906.879999999997</v>
      </c>
      <c r="M1554">
        <v>35916.19</v>
      </c>
      <c r="N1554" t="s">
        <v>41</v>
      </c>
      <c r="O1554">
        <v>2025</v>
      </c>
    </row>
    <row r="1555" spans="1:15" x14ac:dyDescent="0.3">
      <c r="A1555" t="s">
        <v>1640</v>
      </c>
      <c r="B1555" t="s">
        <v>33</v>
      </c>
      <c r="C1555" t="s">
        <v>62</v>
      </c>
      <c r="D1555" t="s">
        <v>132</v>
      </c>
      <c r="E1555" t="s">
        <v>56</v>
      </c>
      <c r="F1555" s="1">
        <v>45599</v>
      </c>
      <c r="G1555">
        <v>1</v>
      </c>
      <c r="H1555">
        <v>3142.4</v>
      </c>
      <c r="I1555">
        <v>5</v>
      </c>
      <c r="J1555" t="s">
        <v>31</v>
      </c>
      <c r="K1555">
        <v>157.12</v>
      </c>
      <c r="L1555">
        <v>3142.4</v>
      </c>
      <c r="M1555">
        <v>2985.28</v>
      </c>
      <c r="N1555" t="s">
        <v>96</v>
      </c>
      <c r="O1555">
        <v>2024</v>
      </c>
    </row>
    <row r="1556" spans="1:15" x14ac:dyDescent="0.3">
      <c r="A1556" t="s">
        <v>1641</v>
      </c>
      <c r="B1556" t="s">
        <v>23</v>
      </c>
      <c r="C1556" t="s">
        <v>54</v>
      </c>
      <c r="D1556" t="s">
        <v>70</v>
      </c>
      <c r="E1556" t="s">
        <v>56</v>
      </c>
      <c r="F1556" s="1">
        <v>45883</v>
      </c>
      <c r="G1556">
        <v>7</v>
      </c>
      <c r="H1556">
        <v>2620.67</v>
      </c>
      <c r="I1556">
        <v>5</v>
      </c>
      <c r="J1556" t="s">
        <v>40</v>
      </c>
      <c r="K1556">
        <v>917.23</v>
      </c>
      <c r="L1556">
        <v>18344.689999999999</v>
      </c>
      <c r="M1556">
        <v>17427.46</v>
      </c>
      <c r="N1556" t="s">
        <v>21</v>
      </c>
      <c r="O1556">
        <v>2025</v>
      </c>
    </row>
    <row r="1557" spans="1:15" x14ac:dyDescent="0.3">
      <c r="A1557" t="s">
        <v>1642</v>
      </c>
      <c r="B1557" t="s">
        <v>114</v>
      </c>
      <c r="C1557" t="s">
        <v>54</v>
      </c>
      <c r="D1557" t="s">
        <v>55</v>
      </c>
      <c r="E1557" t="s">
        <v>19</v>
      </c>
      <c r="F1557" s="1">
        <v>45873</v>
      </c>
      <c r="G1557">
        <v>3</v>
      </c>
      <c r="H1557">
        <v>1118.97</v>
      </c>
      <c r="I1557">
        <v>10</v>
      </c>
      <c r="J1557" t="s">
        <v>20</v>
      </c>
      <c r="K1557">
        <v>335.69</v>
      </c>
      <c r="L1557">
        <v>3356.91</v>
      </c>
      <c r="M1557">
        <v>3021.22</v>
      </c>
      <c r="N1557" t="s">
        <v>21</v>
      </c>
      <c r="O1557">
        <v>2025</v>
      </c>
    </row>
    <row r="1558" spans="1:15" x14ac:dyDescent="0.3">
      <c r="A1558" t="s">
        <v>1643</v>
      </c>
      <c r="B1558" t="s">
        <v>43</v>
      </c>
      <c r="C1558" t="s">
        <v>17</v>
      </c>
      <c r="D1558" t="s">
        <v>18</v>
      </c>
      <c r="E1558" t="s">
        <v>44</v>
      </c>
      <c r="F1558" s="1">
        <v>45646</v>
      </c>
      <c r="G1558">
        <v>8</v>
      </c>
      <c r="H1558">
        <v>71428.39</v>
      </c>
      <c r="I1558">
        <v>15</v>
      </c>
      <c r="J1558" t="s">
        <v>36</v>
      </c>
      <c r="K1558">
        <v>85714.07</v>
      </c>
      <c r="L1558">
        <v>571427.12</v>
      </c>
      <c r="M1558">
        <v>485713.05</v>
      </c>
      <c r="N1558" t="s">
        <v>51</v>
      </c>
      <c r="O1558">
        <v>2024</v>
      </c>
    </row>
    <row r="1559" spans="1:15" x14ac:dyDescent="0.3">
      <c r="A1559" t="s">
        <v>1644</v>
      </c>
      <c r="B1559" t="s">
        <v>29</v>
      </c>
      <c r="C1559" t="s">
        <v>17</v>
      </c>
      <c r="D1559" t="s">
        <v>59</v>
      </c>
      <c r="E1559" t="s">
        <v>50</v>
      </c>
      <c r="F1559" s="1">
        <v>45606</v>
      </c>
      <c r="G1559">
        <v>2</v>
      </c>
      <c r="H1559">
        <v>26019.08</v>
      </c>
      <c r="I1559">
        <v>5</v>
      </c>
      <c r="J1559" t="s">
        <v>40</v>
      </c>
      <c r="K1559">
        <v>2601.91</v>
      </c>
      <c r="L1559">
        <v>52038.16</v>
      </c>
      <c r="M1559">
        <v>49436.25</v>
      </c>
      <c r="N1559" t="s">
        <v>96</v>
      </c>
      <c r="O1559">
        <v>2024</v>
      </c>
    </row>
    <row r="1560" spans="1:15" x14ac:dyDescent="0.3">
      <c r="A1560" t="s">
        <v>1645</v>
      </c>
      <c r="B1560" t="s">
        <v>16</v>
      </c>
      <c r="C1560" t="s">
        <v>90</v>
      </c>
      <c r="D1560" t="s">
        <v>105</v>
      </c>
      <c r="E1560" t="s">
        <v>50</v>
      </c>
      <c r="F1560" s="1">
        <v>45993</v>
      </c>
      <c r="G1560">
        <v>9</v>
      </c>
      <c r="H1560">
        <v>4278.96</v>
      </c>
      <c r="I1560">
        <v>10</v>
      </c>
      <c r="J1560" t="s">
        <v>36</v>
      </c>
      <c r="K1560">
        <v>3851.06</v>
      </c>
      <c r="L1560">
        <v>38510.639999999999</v>
      </c>
      <c r="M1560">
        <v>34659.58</v>
      </c>
      <c r="N1560" t="s">
        <v>51</v>
      </c>
      <c r="O1560">
        <v>2025</v>
      </c>
    </row>
    <row r="1561" spans="1:15" x14ac:dyDescent="0.3">
      <c r="A1561" t="s">
        <v>1646</v>
      </c>
      <c r="B1561" t="s">
        <v>53</v>
      </c>
      <c r="C1561" t="s">
        <v>17</v>
      </c>
      <c r="D1561" t="s">
        <v>157</v>
      </c>
      <c r="E1561" t="s">
        <v>19</v>
      </c>
      <c r="F1561" s="1">
        <v>45774</v>
      </c>
      <c r="G1561">
        <v>9</v>
      </c>
      <c r="H1561">
        <v>7501.88</v>
      </c>
      <c r="I1561">
        <v>5</v>
      </c>
      <c r="J1561" t="s">
        <v>82</v>
      </c>
      <c r="K1561">
        <v>3375.85</v>
      </c>
      <c r="L1561">
        <v>67516.92</v>
      </c>
      <c r="M1561">
        <v>64141.07</v>
      </c>
      <c r="N1561" t="s">
        <v>27</v>
      </c>
      <c r="O1561">
        <v>2025</v>
      </c>
    </row>
    <row r="1562" spans="1:15" x14ac:dyDescent="0.3">
      <c r="A1562" t="s">
        <v>1647</v>
      </c>
      <c r="B1562" t="s">
        <v>38</v>
      </c>
      <c r="C1562" t="s">
        <v>90</v>
      </c>
      <c r="D1562" t="s">
        <v>152</v>
      </c>
      <c r="E1562" t="s">
        <v>56</v>
      </c>
      <c r="F1562" s="1">
        <v>45390</v>
      </c>
      <c r="G1562">
        <v>7</v>
      </c>
      <c r="H1562">
        <v>9321.26</v>
      </c>
      <c r="I1562">
        <v>5</v>
      </c>
      <c r="J1562" t="s">
        <v>20</v>
      </c>
      <c r="K1562">
        <v>3262.44</v>
      </c>
      <c r="L1562">
        <v>65248.82</v>
      </c>
      <c r="M1562">
        <v>61986.38</v>
      </c>
      <c r="N1562" t="s">
        <v>27</v>
      </c>
      <c r="O1562">
        <v>2024</v>
      </c>
    </row>
    <row r="1563" spans="1:15" x14ac:dyDescent="0.3">
      <c r="A1563" t="s">
        <v>1648</v>
      </c>
      <c r="B1563" t="s">
        <v>114</v>
      </c>
      <c r="C1563" t="s">
        <v>90</v>
      </c>
      <c r="D1563" t="s">
        <v>115</v>
      </c>
      <c r="E1563" t="s">
        <v>19</v>
      </c>
      <c r="F1563" s="1">
        <v>45903</v>
      </c>
      <c r="G1563">
        <v>7</v>
      </c>
      <c r="H1563">
        <v>8268.23</v>
      </c>
      <c r="I1563">
        <v>10</v>
      </c>
      <c r="J1563" t="s">
        <v>31</v>
      </c>
      <c r="K1563">
        <v>5787.76</v>
      </c>
      <c r="L1563">
        <v>57877.61</v>
      </c>
      <c r="M1563">
        <v>52089.85</v>
      </c>
      <c r="N1563" t="s">
        <v>86</v>
      </c>
      <c r="O1563">
        <v>2025</v>
      </c>
    </row>
    <row r="1564" spans="1:15" x14ac:dyDescent="0.3">
      <c r="A1564" t="s">
        <v>1649</v>
      </c>
      <c r="B1564" t="s">
        <v>109</v>
      </c>
      <c r="C1564" t="s">
        <v>90</v>
      </c>
      <c r="D1564" t="s">
        <v>91</v>
      </c>
      <c r="E1564" t="s">
        <v>50</v>
      </c>
      <c r="F1564" s="1">
        <v>45532</v>
      </c>
      <c r="G1564">
        <v>6</v>
      </c>
      <c r="H1564">
        <v>1485.86</v>
      </c>
      <c r="I1564">
        <v>20</v>
      </c>
      <c r="J1564" t="s">
        <v>36</v>
      </c>
      <c r="K1564">
        <v>1783.03</v>
      </c>
      <c r="L1564">
        <v>8915.16</v>
      </c>
      <c r="M1564">
        <v>7132.13</v>
      </c>
      <c r="N1564" t="s">
        <v>21</v>
      </c>
      <c r="O1564">
        <v>2024</v>
      </c>
    </row>
    <row r="1565" spans="1:15" x14ac:dyDescent="0.3">
      <c r="A1565" t="s">
        <v>1650</v>
      </c>
      <c r="B1565" t="s">
        <v>93</v>
      </c>
      <c r="C1565" t="s">
        <v>17</v>
      </c>
      <c r="D1565" t="s">
        <v>24</v>
      </c>
      <c r="E1565" t="s">
        <v>44</v>
      </c>
      <c r="F1565" s="1">
        <v>45371</v>
      </c>
      <c r="G1565">
        <v>4</v>
      </c>
      <c r="H1565">
        <v>2803.56</v>
      </c>
      <c r="I1565">
        <v>5</v>
      </c>
      <c r="J1565" t="s">
        <v>31</v>
      </c>
      <c r="K1565">
        <v>560.71</v>
      </c>
      <c r="L1565">
        <v>11214.24</v>
      </c>
      <c r="M1565">
        <v>10653.53</v>
      </c>
      <c r="N1565" t="s">
        <v>83</v>
      </c>
      <c r="O1565">
        <v>2024</v>
      </c>
    </row>
    <row r="1566" spans="1:15" x14ac:dyDescent="0.3">
      <c r="A1566" t="s">
        <v>1651</v>
      </c>
      <c r="B1566" t="s">
        <v>43</v>
      </c>
      <c r="C1566" t="s">
        <v>17</v>
      </c>
      <c r="D1566" t="s">
        <v>59</v>
      </c>
      <c r="E1566" t="s">
        <v>56</v>
      </c>
      <c r="F1566" s="1">
        <v>45639</v>
      </c>
      <c r="G1566">
        <v>7</v>
      </c>
      <c r="H1566">
        <v>29246.560000000001</v>
      </c>
      <c r="I1566">
        <v>15</v>
      </c>
      <c r="J1566" t="s">
        <v>82</v>
      </c>
      <c r="K1566">
        <v>30708.89</v>
      </c>
      <c r="L1566">
        <v>204725.92</v>
      </c>
      <c r="M1566">
        <v>174017.03</v>
      </c>
      <c r="N1566" t="s">
        <v>51</v>
      </c>
      <c r="O1566">
        <v>2024</v>
      </c>
    </row>
    <row r="1567" spans="1:15" x14ac:dyDescent="0.3">
      <c r="A1567" t="s">
        <v>1652</v>
      </c>
      <c r="B1567" t="s">
        <v>43</v>
      </c>
      <c r="C1567" t="s">
        <v>34</v>
      </c>
      <c r="D1567" t="s">
        <v>48</v>
      </c>
      <c r="E1567" t="s">
        <v>56</v>
      </c>
      <c r="F1567" s="1">
        <v>45327</v>
      </c>
      <c r="G1567">
        <v>5</v>
      </c>
      <c r="H1567">
        <v>9117.0300000000007</v>
      </c>
      <c r="I1567">
        <v>15</v>
      </c>
      <c r="J1567" t="s">
        <v>71</v>
      </c>
      <c r="K1567">
        <v>6837.77</v>
      </c>
      <c r="L1567">
        <v>45585.15</v>
      </c>
      <c r="M1567">
        <v>38747.379999999997</v>
      </c>
      <c r="N1567" t="s">
        <v>41</v>
      </c>
      <c r="O1567">
        <v>2024</v>
      </c>
    </row>
    <row r="1568" spans="1:15" x14ac:dyDescent="0.3">
      <c r="A1568" t="s">
        <v>1653</v>
      </c>
      <c r="B1568" t="s">
        <v>23</v>
      </c>
      <c r="C1568" t="s">
        <v>34</v>
      </c>
      <c r="D1568" t="s">
        <v>85</v>
      </c>
      <c r="E1568" t="s">
        <v>30</v>
      </c>
      <c r="F1568" s="1">
        <v>45768</v>
      </c>
      <c r="G1568">
        <v>2</v>
      </c>
      <c r="H1568">
        <v>11838.86</v>
      </c>
      <c r="I1568">
        <v>0</v>
      </c>
      <c r="J1568" t="s">
        <v>82</v>
      </c>
      <c r="K1568">
        <v>0</v>
      </c>
      <c r="L1568">
        <v>23677.72</v>
      </c>
      <c r="M1568">
        <v>23677.72</v>
      </c>
      <c r="N1568" t="s">
        <v>27</v>
      </c>
      <c r="O1568">
        <v>2025</v>
      </c>
    </row>
    <row r="1569" spans="1:15" x14ac:dyDescent="0.3">
      <c r="A1569" t="s">
        <v>1654</v>
      </c>
      <c r="B1569" t="s">
        <v>53</v>
      </c>
      <c r="C1569" t="s">
        <v>90</v>
      </c>
      <c r="D1569" t="s">
        <v>105</v>
      </c>
      <c r="E1569" t="s">
        <v>19</v>
      </c>
      <c r="F1569" s="1">
        <v>45880</v>
      </c>
      <c r="G1569">
        <v>9</v>
      </c>
      <c r="H1569">
        <v>3485.99</v>
      </c>
      <c r="I1569">
        <v>15</v>
      </c>
      <c r="J1569" t="s">
        <v>36</v>
      </c>
      <c r="K1569">
        <v>4706.09</v>
      </c>
      <c r="L1569">
        <v>31373.91</v>
      </c>
      <c r="M1569">
        <v>26667.82</v>
      </c>
      <c r="N1569" t="s">
        <v>21</v>
      </c>
      <c r="O1569">
        <v>2025</v>
      </c>
    </row>
    <row r="1570" spans="1:15" x14ac:dyDescent="0.3">
      <c r="A1570" t="s">
        <v>1655</v>
      </c>
      <c r="B1570" t="s">
        <v>61</v>
      </c>
      <c r="C1570" t="s">
        <v>17</v>
      </c>
      <c r="D1570" t="s">
        <v>157</v>
      </c>
      <c r="E1570" t="s">
        <v>30</v>
      </c>
      <c r="F1570" s="1">
        <v>45724</v>
      </c>
      <c r="G1570">
        <v>1</v>
      </c>
      <c r="H1570">
        <v>6830.17</v>
      </c>
      <c r="I1570">
        <v>10</v>
      </c>
      <c r="J1570" t="s">
        <v>31</v>
      </c>
      <c r="K1570">
        <v>683.02</v>
      </c>
      <c r="L1570">
        <v>6830.17</v>
      </c>
      <c r="M1570">
        <v>6147.15</v>
      </c>
      <c r="N1570" t="s">
        <v>83</v>
      </c>
      <c r="O1570">
        <v>2025</v>
      </c>
    </row>
    <row r="1571" spans="1:15" x14ac:dyDescent="0.3">
      <c r="A1571" t="s">
        <v>1656</v>
      </c>
      <c r="B1571" t="s">
        <v>74</v>
      </c>
      <c r="C1571" t="s">
        <v>17</v>
      </c>
      <c r="D1571" t="s">
        <v>24</v>
      </c>
      <c r="E1571" t="s">
        <v>44</v>
      </c>
      <c r="F1571" s="1">
        <v>45806</v>
      </c>
      <c r="G1571">
        <v>6</v>
      </c>
      <c r="H1571">
        <v>3285.75</v>
      </c>
      <c r="I1571">
        <v>10</v>
      </c>
      <c r="J1571" t="s">
        <v>71</v>
      </c>
      <c r="K1571">
        <v>1971.45</v>
      </c>
      <c r="L1571">
        <v>19714.5</v>
      </c>
      <c r="M1571">
        <v>17743.05</v>
      </c>
      <c r="N1571" t="s">
        <v>101</v>
      </c>
      <c r="O1571">
        <v>2025</v>
      </c>
    </row>
    <row r="1572" spans="1:15" x14ac:dyDescent="0.3">
      <c r="A1572" t="s">
        <v>1657</v>
      </c>
      <c r="B1572" t="s">
        <v>47</v>
      </c>
      <c r="C1572" t="s">
        <v>54</v>
      </c>
      <c r="D1572" t="s">
        <v>137</v>
      </c>
      <c r="E1572" t="s">
        <v>44</v>
      </c>
      <c r="F1572" s="1">
        <v>45726</v>
      </c>
      <c r="G1572">
        <v>9</v>
      </c>
      <c r="H1572">
        <v>980.91</v>
      </c>
      <c r="I1572">
        <v>0</v>
      </c>
      <c r="J1572" t="s">
        <v>36</v>
      </c>
      <c r="K1572">
        <v>0</v>
      </c>
      <c r="L1572">
        <v>8828.19</v>
      </c>
      <c r="M1572">
        <v>8828.19</v>
      </c>
      <c r="N1572" t="s">
        <v>83</v>
      </c>
      <c r="O1572">
        <v>2025</v>
      </c>
    </row>
    <row r="1573" spans="1:15" x14ac:dyDescent="0.3">
      <c r="A1573" t="s">
        <v>1658</v>
      </c>
      <c r="B1573" t="s">
        <v>33</v>
      </c>
      <c r="C1573" t="s">
        <v>34</v>
      </c>
      <c r="D1573" t="s">
        <v>80</v>
      </c>
      <c r="E1573" t="s">
        <v>30</v>
      </c>
      <c r="F1573" s="1">
        <v>45494</v>
      </c>
      <c r="G1573">
        <v>9</v>
      </c>
      <c r="H1573">
        <v>6619.25</v>
      </c>
      <c r="I1573">
        <v>15</v>
      </c>
      <c r="J1573" t="s">
        <v>40</v>
      </c>
      <c r="K1573">
        <v>8935.99</v>
      </c>
      <c r="L1573">
        <v>59573.25</v>
      </c>
      <c r="M1573">
        <v>50637.26</v>
      </c>
      <c r="N1573" t="s">
        <v>122</v>
      </c>
      <c r="O1573">
        <v>2024</v>
      </c>
    </row>
    <row r="1574" spans="1:15" x14ac:dyDescent="0.3">
      <c r="A1574" t="s">
        <v>1659</v>
      </c>
      <c r="B1574" t="s">
        <v>89</v>
      </c>
      <c r="C1574" t="s">
        <v>90</v>
      </c>
      <c r="D1574" t="s">
        <v>105</v>
      </c>
      <c r="E1574" t="s">
        <v>19</v>
      </c>
      <c r="F1574" s="1">
        <v>45416</v>
      </c>
      <c r="G1574">
        <v>8</v>
      </c>
      <c r="H1574">
        <v>3552.72</v>
      </c>
      <c r="I1574">
        <v>0</v>
      </c>
      <c r="J1574" t="s">
        <v>26</v>
      </c>
      <c r="K1574">
        <v>0</v>
      </c>
      <c r="L1574">
        <v>28421.759999999998</v>
      </c>
      <c r="M1574">
        <v>28421.759999999998</v>
      </c>
      <c r="N1574" t="s">
        <v>101</v>
      </c>
      <c r="O1574">
        <v>2024</v>
      </c>
    </row>
    <row r="1575" spans="1:15" x14ac:dyDescent="0.3">
      <c r="A1575" t="s">
        <v>1660</v>
      </c>
      <c r="B1575" t="s">
        <v>43</v>
      </c>
      <c r="C1575" t="s">
        <v>54</v>
      </c>
      <c r="D1575" t="s">
        <v>137</v>
      </c>
      <c r="E1575" t="s">
        <v>56</v>
      </c>
      <c r="F1575" s="1">
        <v>45983</v>
      </c>
      <c r="G1575">
        <v>5</v>
      </c>
      <c r="H1575">
        <v>1080.79</v>
      </c>
      <c r="I1575">
        <v>0</v>
      </c>
      <c r="J1575" t="s">
        <v>45</v>
      </c>
      <c r="K1575">
        <v>0</v>
      </c>
      <c r="L1575">
        <v>5403.95</v>
      </c>
      <c r="M1575">
        <v>5403.95</v>
      </c>
      <c r="N1575" t="s">
        <v>96</v>
      </c>
      <c r="O1575">
        <v>2025</v>
      </c>
    </row>
    <row r="1576" spans="1:15" x14ac:dyDescent="0.3">
      <c r="A1576" t="s">
        <v>1661</v>
      </c>
      <c r="B1576" t="s">
        <v>53</v>
      </c>
      <c r="C1576" t="s">
        <v>54</v>
      </c>
      <c r="D1576" t="s">
        <v>137</v>
      </c>
      <c r="E1576" t="s">
        <v>19</v>
      </c>
      <c r="F1576" s="1">
        <v>45719</v>
      </c>
      <c r="G1576">
        <v>1</v>
      </c>
      <c r="H1576">
        <v>910.52</v>
      </c>
      <c r="I1576">
        <v>10</v>
      </c>
      <c r="J1576" t="s">
        <v>45</v>
      </c>
      <c r="K1576">
        <v>91.05</v>
      </c>
      <c r="L1576">
        <v>910.52</v>
      </c>
      <c r="M1576">
        <v>819.47</v>
      </c>
      <c r="N1576" t="s">
        <v>83</v>
      </c>
      <c r="O1576">
        <v>2025</v>
      </c>
    </row>
    <row r="1577" spans="1:15" x14ac:dyDescent="0.3">
      <c r="A1577" t="s">
        <v>1662</v>
      </c>
      <c r="B1577" t="s">
        <v>47</v>
      </c>
      <c r="C1577" t="s">
        <v>17</v>
      </c>
      <c r="D1577" t="s">
        <v>24</v>
      </c>
      <c r="E1577" t="s">
        <v>19</v>
      </c>
      <c r="F1577" s="1">
        <v>45836</v>
      </c>
      <c r="G1577">
        <v>7</v>
      </c>
      <c r="H1577">
        <v>2886.47</v>
      </c>
      <c r="I1577">
        <v>0</v>
      </c>
      <c r="J1577" t="s">
        <v>26</v>
      </c>
      <c r="K1577">
        <v>0</v>
      </c>
      <c r="L1577">
        <v>20205.29</v>
      </c>
      <c r="M1577">
        <v>20205.29</v>
      </c>
      <c r="N1577" t="s">
        <v>72</v>
      </c>
      <c r="O1577">
        <v>2025</v>
      </c>
    </row>
    <row r="1578" spans="1:15" x14ac:dyDescent="0.3">
      <c r="A1578" t="s">
        <v>1663</v>
      </c>
      <c r="B1578" t="s">
        <v>53</v>
      </c>
      <c r="C1578" t="s">
        <v>54</v>
      </c>
      <c r="D1578" t="s">
        <v>70</v>
      </c>
      <c r="E1578" t="s">
        <v>30</v>
      </c>
      <c r="F1578" s="1">
        <v>45940</v>
      </c>
      <c r="G1578">
        <v>8</v>
      </c>
      <c r="H1578">
        <v>2771.38</v>
      </c>
      <c r="I1578">
        <v>10</v>
      </c>
      <c r="J1578" t="s">
        <v>36</v>
      </c>
      <c r="K1578">
        <v>2217.1</v>
      </c>
      <c r="L1578">
        <v>22171.040000000001</v>
      </c>
      <c r="M1578">
        <v>19953.939999999999</v>
      </c>
      <c r="N1578" t="s">
        <v>57</v>
      </c>
      <c r="O1578">
        <v>2025</v>
      </c>
    </row>
    <row r="1579" spans="1:15" x14ac:dyDescent="0.3">
      <c r="A1579" t="s">
        <v>1664</v>
      </c>
      <c r="B1579" t="s">
        <v>16</v>
      </c>
      <c r="C1579" t="s">
        <v>62</v>
      </c>
      <c r="D1579" t="s">
        <v>99</v>
      </c>
      <c r="E1579" t="s">
        <v>81</v>
      </c>
      <c r="F1579" s="1">
        <v>45828</v>
      </c>
      <c r="G1579">
        <v>10</v>
      </c>
      <c r="H1579">
        <v>1521.91</v>
      </c>
      <c r="I1579">
        <v>0</v>
      </c>
      <c r="J1579" t="s">
        <v>20</v>
      </c>
      <c r="K1579">
        <v>0</v>
      </c>
      <c r="L1579">
        <v>15219.1</v>
      </c>
      <c r="M1579">
        <v>15219.1</v>
      </c>
      <c r="N1579" t="s">
        <v>72</v>
      </c>
      <c r="O1579">
        <v>2025</v>
      </c>
    </row>
    <row r="1580" spans="1:15" x14ac:dyDescent="0.3">
      <c r="A1580" t="s">
        <v>1665</v>
      </c>
      <c r="B1580" t="s">
        <v>109</v>
      </c>
      <c r="C1580" t="s">
        <v>62</v>
      </c>
      <c r="D1580" t="s">
        <v>119</v>
      </c>
      <c r="E1580" t="s">
        <v>50</v>
      </c>
      <c r="F1580" s="1">
        <v>45683</v>
      </c>
      <c r="G1580">
        <v>9</v>
      </c>
      <c r="H1580">
        <v>4007.73</v>
      </c>
      <c r="I1580">
        <v>0</v>
      </c>
      <c r="J1580" t="s">
        <v>82</v>
      </c>
      <c r="K1580">
        <v>0</v>
      </c>
      <c r="L1580">
        <v>36069.57</v>
      </c>
      <c r="M1580">
        <v>36069.57</v>
      </c>
      <c r="N1580" t="s">
        <v>116</v>
      </c>
      <c r="O1580">
        <v>2025</v>
      </c>
    </row>
    <row r="1581" spans="1:15" x14ac:dyDescent="0.3">
      <c r="A1581" t="s">
        <v>1666</v>
      </c>
      <c r="B1581" t="s">
        <v>23</v>
      </c>
      <c r="C1581" t="s">
        <v>62</v>
      </c>
      <c r="D1581" t="s">
        <v>119</v>
      </c>
      <c r="E1581" t="s">
        <v>56</v>
      </c>
      <c r="F1581" s="1">
        <v>45480</v>
      </c>
      <c r="G1581">
        <v>5</v>
      </c>
      <c r="H1581">
        <v>3781.39</v>
      </c>
      <c r="I1581">
        <v>0</v>
      </c>
      <c r="J1581" t="s">
        <v>26</v>
      </c>
      <c r="K1581">
        <v>0</v>
      </c>
      <c r="L1581">
        <v>18906.95</v>
      </c>
      <c r="M1581">
        <v>18906.95</v>
      </c>
      <c r="N1581" t="s">
        <v>122</v>
      </c>
      <c r="O1581">
        <v>2024</v>
      </c>
    </row>
    <row r="1582" spans="1:15" x14ac:dyDescent="0.3">
      <c r="A1582" t="s">
        <v>1667</v>
      </c>
      <c r="B1582" t="s">
        <v>74</v>
      </c>
      <c r="C1582" t="s">
        <v>90</v>
      </c>
      <c r="D1582" t="s">
        <v>105</v>
      </c>
      <c r="E1582" t="s">
        <v>50</v>
      </c>
      <c r="F1582" s="1">
        <v>45602</v>
      </c>
      <c r="G1582">
        <v>10</v>
      </c>
      <c r="H1582">
        <v>3959.76</v>
      </c>
      <c r="I1582">
        <v>5</v>
      </c>
      <c r="J1582" t="s">
        <v>40</v>
      </c>
      <c r="K1582">
        <v>1979.88</v>
      </c>
      <c r="L1582">
        <v>39597.599999999999</v>
      </c>
      <c r="M1582">
        <v>37617.72</v>
      </c>
      <c r="N1582" t="s">
        <v>96</v>
      </c>
      <c r="O1582">
        <v>2024</v>
      </c>
    </row>
    <row r="1583" spans="1:15" x14ac:dyDescent="0.3">
      <c r="A1583" t="s">
        <v>1668</v>
      </c>
      <c r="B1583" t="s">
        <v>93</v>
      </c>
      <c r="C1583" t="s">
        <v>17</v>
      </c>
      <c r="D1583" t="s">
        <v>39</v>
      </c>
      <c r="E1583" t="s">
        <v>56</v>
      </c>
      <c r="F1583" s="1">
        <v>45739</v>
      </c>
      <c r="G1583">
        <v>5</v>
      </c>
      <c r="H1583">
        <v>19560.91</v>
      </c>
      <c r="I1583">
        <v>5</v>
      </c>
      <c r="J1583" t="s">
        <v>20</v>
      </c>
      <c r="K1583">
        <v>4890.2299999999996</v>
      </c>
      <c r="L1583">
        <v>97804.55</v>
      </c>
      <c r="M1583">
        <v>92914.32</v>
      </c>
      <c r="N1583" t="s">
        <v>83</v>
      </c>
      <c r="O1583">
        <v>2025</v>
      </c>
    </row>
    <row r="1584" spans="1:15" x14ac:dyDescent="0.3">
      <c r="A1584" t="s">
        <v>1669</v>
      </c>
      <c r="B1584" t="s">
        <v>61</v>
      </c>
      <c r="C1584" t="s">
        <v>62</v>
      </c>
      <c r="D1584" t="s">
        <v>132</v>
      </c>
      <c r="E1584" t="s">
        <v>25</v>
      </c>
      <c r="F1584" s="1">
        <v>45477</v>
      </c>
      <c r="G1584">
        <v>5</v>
      </c>
      <c r="H1584">
        <v>2420.42</v>
      </c>
      <c r="I1584">
        <v>15</v>
      </c>
      <c r="J1584" t="s">
        <v>31</v>
      </c>
      <c r="K1584">
        <v>1815.32</v>
      </c>
      <c r="L1584">
        <v>12102.1</v>
      </c>
      <c r="M1584">
        <v>10286.780000000001</v>
      </c>
      <c r="N1584" t="s">
        <v>122</v>
      </c>
      <c r="O1584">
        <v>2024</v>
      </c>
    </row>
    <row r="1585" spans="1:15" x14ac:dyDescent="0.3">
      <c r="A1585" t="s">
        <v>1670</v>
      </c>
      <c r="B1585" t="s">
        <v>74</v>
      </c>
      <c r="C1585" t="s">
        <v>34</v>
      </c>
      <c r="D1585" t="s">
        <v>80</v>
      </c>
      <c r="E1585" t="s">
        <v>56</v>
      </c>
      <c r="F1585" s="1">
        <v>45573</v>
      </c>
      <c r="G1585">
        <v>5</v>
      </c>
      <c r="H1585">
        <v>6703.03</v>
      </c>
      <c r="I1585">
        <v>10</v>
      </c>
      <c r="J1585" t="s">
        <v>36</v>
      </c>
      <c r="K1585">
        <v>3351.52</v>
      </c>
      <c r="L1585">
        <v>33515.15</v>
      </c>
      <c r="M1585">
        <v>30163.63</v>
      </c>
      <c r="N1585" t="s">
        <v>57</v>
      </c>
      <c r="O1585">
        <v>2024</v>
      </c>
    </row>
    <row r="1586" spans="1:15" x14ac:dyDescent="0.3">
      <c r="A1586" t="s">
        <v>1671</v>
      </c>
      <c r="B1586" t="s">
        <v>29</v>
      </c>
      <c r="C1586" t="s">
        <v>17</v>
      </c>
      <c r="D1586" t="s">
        <v>59</v>
      </c>
      <c r="E1586" t="s">
        <v>25</v>
      </c>
      <c r="F1586" s="1">
        <v>45518</v>
      </c>
      <c r="G1586">
        <v>2</v>
      </c>
      <c r="H1586">
        <v>26321.16</v>
      </c>
      <c r="I1586">
        <v>20</v>
      </c>
      <c r="J1586" t="s">
        <v>45</v>
      </c>
      <c r="K1586">
        <v>10528.46</v>
      </c>
      <c r="L1586">
        <v>52642.32</v>
      </c>
      <c r="M1586">
        <v>42113.86</v>
      </c>
      <c r="N1586" t="s">
        <v>21</v>
      </c>
      <c r="O1586">
        <v>2024</v>
      </c>
    </row>
    <row r="1587" spans="1:15" x14ac:dyDescent="0.3">
      <c r="A1587" t="s">
        <v>1672</v>
      </c>
      <c r="B1587" t="s">
        <v>23</v>
      </c>
      <c r="C1587" t="s">
        <v>90</v>
      </c>
      <c r="D1587" t="s">
        <v>91</v>
      </c>
      <c r="E1587" t="s">
        <v>30</v>
      </c>
      <c r="F1587" s="1">
        <v>45846</v>
      </c>
      <c r="G1587">
        <v>7</v>
      </c>
      <c r="H1587">
        <v>1528.35</v>
      </c>
      <c r="I1587">
        <v>20</v>
      </c>
      <c r="J1587" t="s">
        <v>45</v>
      </c>
      <c r="K1587">
        <v>2139.69</v>
      </c>
      <c r="L1587">
        <v>10698.45</v>
      </c>
      <c r="M1587">
        <v>8558.76</v>
      </c>
      <c r="N1587" t="s">
        <v>122</v>
      </c>
      <c r="O1587">
        <v>2025</v>
      </c>
    </row>
    <row r="1588" spans="1:15" x14ac:dyDescent="0.3">
      <c r="A1588" t="s">
        <v>1673</v>
      </c>
      <c r="B1588" t="s">
        <v>33</v>
      </c>
      <c r="C1588" t="s">
        <v>17</v>
      </c>
      <c r="D1588" t="s">
        <v>39</v>
      </c>
      <c r="E1588" t="s">
        <v>19</v>
      </c>
      <c r="F1588" s="1">
        <v>45747</v>
      </c>
      <c r="G1588">
        <v>3</v>
      </c>
      <c r="H1588">
        <v>18278.759999999998</v>
      </c>
      <c r="I1588">
        <v>15</v>
      </c>
      <c r="J1588" t="s">
        <v>45</v>
      </c>
      <c r="K1588">
        <v>8225.44</v>
      </c>
      <c r="L1588">
        <v>54836.28</v>
      </c>
      <c r="M1588">
        <v>46610.84</v>
      </c>
      <c r="N1588" t="s">
        <v>83</v>
      </c>
      <c r="O1588">
        <v>2025</v>
      </c>
    </row>
    <row r="1589" spans="1:15" x14ac:dyDescent="0.3">
      <c r="A1589" t="s">
        <v>1674</v>
      </c>
      <c r="B1589" t="s">
        <v>16</v>
      </c>
      <c r="C1589" t="s">
        <v>34</v>
      </c>
      <c r="D1589" t="s">
        <v>66</v>
      </c>
      <c r="E1589" t="s">
        <v>50</v>
      </c>
      <c r="F1589" s="1">
        <v>45553</v>
      </c>
      <c r="G1589">
        <v>7</v>
      </c>
      <c r="H1589">
        <v>36322.67</v>
      </c>
      <c r="I1589">
        <v>20</v>
      </c>
      <c r="J1589" t="s">
        <v>31</v>
      </c>
      <c r="K1589">
        <v>50851.74</v>
      </c>
      <c r="L1589">
        <v>254258.69</v>
      </c>
      <c r="M1589">
        <v>203406.95</v>
      </c>
      <c r="N1589" t="s">
        <v>86</v>
      </c>
      <c r="O1589">
        <v>2024</v>
      </c>
    </row>
    <row r="1590" spans="1:15" x14ac:dyDescent="0.3">
      <c r="A1590" t="s">
        <v>1675</v>
      </c>
      <c r="B1590" t="s">
        <v>65</v>
      </c>
      <c r="C1590" t="s">
        <v>17</v>
      </c>
      <c r="D1590" t="s">
        <v>157</v>
      </c>
      <c r="E1590" t="s">
        <v>19</v>
      </c>
      <c r="F1590" s="1">
        <v>45504</v>
      </c>
      <c r="G1590">
        <v>9</v>
      </c>
      <c r="H1590">
        <v>6946.09</v>
      </c>
      <c r="I1590">
        <v>10</v>
      </c>
      <c r="J1590" t="s">
        <v>82</v>
      </c>
      <c r="K1590">
        <v>6251.48</v>
      </c>
      <c r="L1590">
        <v>62514.81</v>
      </c>
      <c r="M1590">
        <v>56263.33</v>
      </c>
      <c r="N1590" t="s">
        <v>122</v>
      </c>
      <c r="O1590">
        <v>2024</v>
      </c>
    </row>
    <row r="1591" spans="1:15" x14ac:dyDescent="0.3">
      <c r="A1591" t="s">
        <v>1676</v>
      </c>
      <c r="B1591" t="s">
        <v>61</v>
      </c>
      <c r="C1591" t="s">
        <v>62</v>
      </c>
      <c r="D1591" t="s">
        <v>99</v>
      </c>
      <c r="E1591" t="s">
        <v>56</v>
      </c>
      <c r="F1591" s="1">
        <v>45451</v>
      </c>
      <c r="G1591">
        <v>10</v>
      </c>
      <c r="H1591">
        <v>1569.35</v>
      </c>
      <c r="I1591">
        <v>20</v>
      </c>
      <c r="J1591" t="s">
        <v>26</v>
      </c>
      <c r="K1591">
        <v>3138.7</v>
      </c>
      <c r="L1591">
        <v>15693.5</v>
      </c>
      <c r="M1591">
        <v>12554.8</v>
      </c>
      <c r="N1591" t="s">
        <v>72</v>
      </c>
      <c r="O1591">
        <v>2024</v>
      </c>
    </row>
    <row r="1592" spans="1:15" x14ac:dyDescent="0.3">
      <c r="A1592" t="s">
        <v>1677</v>
      </c>
      <c r="B1592" t="s">
        <v>23</v>
      </c>
      <c r="C1592" t="s">
        <v>62</v>
      </c>
      <c r="D1592" t="s">
        <v>132</v>
      </c>
      <c r="E1592" t="s">
        <v>56</v>
      </c>
      <c r="F1592" s="1">
        <v>45582</v>
      </c>
      <c r="G1592">
        <v>9</v>
      </c>
      <c r="H1592">
        <v>2986.54</v>
      </c>
      <c r="I1592">
        <v>5</v>
      </c>
      <c r="J1592" t="s">
        <v>26</v>
      </c>
      <c r="K1592">
        <v>1343.94</v>
      </c>
      <c r="L1592">
        <v>26878.86</v>
      </c>
      <c r="M1592">
        <v>25534.92</v>
      </c>
      <c r="N1592" t="s">
        <v>57</v>
      </c>
      <c r="O1592">
        <v>2024</v>
      </c>
    </row>
    <row r="1593" spans="1:15" x14ac:dyDescent="0.3">
      <c r="A1593" t="s">
        <v>1678</v>
      </c>
      <c r="B1593" t="s">
        <v>53</v>
      </c>
      <c r="C1593" t="s">
        <v>90</v>
      </c>
      <c r="D1593" t="s">
        <v>91</v>
      </c>
      <c r="E1593" t="s">
        <v>56</v>
      </c>
      <c r="F1593" s="1">
        <v>45391</v>
      </c>
      <c r="G1593">
        <v>7</v>
      </c>
      <c r="H1593">
        <v>1431.86</v>
      </c>
      <c r="I1593">
        <v>0</v>
      </c>
      <c r="J1593" t="s">
        <v>82</v>
      </c>
      <c r="K1593">
        <v>0</v>
      </c>
      <c r="L1593">
        <v>10023.02</v>
      </c>
      <c r="M1593">
        <v>10023.02</v>
      </c>
      <c r="N1593" t="s">
        <v>27</v>
      </c>
      <c r="O1593">
        <v>2024</v>
      </c>
    </row>
    <row r="1594" spans="1:15" x14ac:dyDescent="0.3">
      <c r="A1594" t="s">
        <v>1679</v>
      </c>
      <c r="B1594" t="s">
        <v>53</v>
      </c>
      <c r="C1594" t="s">
        <v>54</v>
      </c>
      <c r="D1594" t="s">
        <v>137</v>
      </c>
      <c r="E1594" t="s">
        <v>44</v>
      </c>
      <c r="F1594" s="1">
        <v>45702</v>
      </c>
      <c r="G1594">
        <v>9</v>
      </c>
      <c r="H1594">
        <v>901.92</v>
      </c>
      <c r="I1594">
        <v>5</v>
      </c>
      <c r="J1594" t="s">
        <v>36</v>
      </c>
      <c r="K1594">
        <v>405.86</v>
      </c>
      <c r="L1594">
        <v>8117.28</v>
      </c>
      <c r="M1594">
        <v>7711.42</v>
      </c>
      <c r="N1594" t="s">
        <v>41</v>
      </c>
      <c r="O1594">
        <v>2025</v>
      </c>
    </row>
    <row r="1595" spans="1:15" x14ac:dyDescent="0.3">
      <c r="A1595" t="s">
        <v>1680</v>
      </c>
      <c r="B1595" t="s">
        <v>43</v>
      </c>
      <c r="C1595" t="s">
        <v>90</v>
      </c>
      <c r="D1595" t="s">
        <v>91</v>
      </c>
      <c r="E1595" t="s">
        <v>19</v>
      </c>
      <c r="F1595" s="1">
        <v>45937</v>
      </c>
      <c r="G1595">
        <v>2</v>
      </c>
      <c r="H1595">
        <v>1759</v>
      </c>
      <c r="I1595">
        <v>10</v>
      </c>
      <c r="J1595" t="s">
        <v>45</v>
      </c>
      <c r="K1595">
        <v>351.8</v>
      </c>
      <c r="L1595">
        <v>3518</v>
      </c>
      <c r="M1595">
        <v>3166.2</v>
      </c>
      <c r="N1595" t="s">
        <v>57</v>
      </c>
      <c r="O1595">
        <v>2025</v>
      </c>
    </row>
    <row r="1596" spans="1:15" x14ac:dyDescent="0.3">
      <c r="A1596" t="s">
        <v>1681</v>
      </c>
      <c r="B1596" t="s">
        <v>65</v>
      </c>
      <c r="C1596" t="s">
        <v>54</v>
      </c>
      <c r="D1596" t="s">
        <v>77</v>
      </c>
      <c r="E1596" t="s">
        <v>56</v>
      </c>
      <c r="F1596" s="1">
        <v>45705</v>
      </c>
      <c r="G1596">
        <v>8</v>
      </c>
      <c r="H1596">
        <v>5446.04</v>
      </c>
      <c r="I1596">
        <v>10</v>
      </c>
      <c r="J1596" t="s">
        <v>20</v>
      </c>
      <c r="K1596">
        <v>4356.83</v>
      </c>
      <c r="L1596">
        <v>43568.32</v>
      </c>
      <c r="M1596">
        <v>39211.49</v>
      </c>
      <c r="N1596" t="s">
        <v>41</v>
      </c>
      <c r="O1596">
        <v>2025</v>
      </c>
    </row>
    <row r="1597" spans="1:15" x14ac:dyDescent="0.3">
      <c r="A1597" t="s">
        <v>1682</v>
      </c>
      <c r="B1597" t="s">
        <v>114</v>
      </c>
      <c r="C1597" t="s">
        <v>90</v>
      </c>
      <c r="D1597" t="s">
        <v>107</v>
      </c>
      <c r="E1597" t="s">
        <v>44</v>
      </c>
      <c r="F1597" s="1">
        <v>45701</v>
      </c>
      <c r="G1597">
        <v>5</v>
      </c>
      <c r="H1597">
        <v>10810.01</v>
      </c>
      <c r="I1597">
        <v>10</v>
      </c>
      <c r="J1597" t="s">
        <v>36</v>
      </c>
      <c r="K1597">
        <v>5405.01</v>
      </c>
      <c r="L1597">
        <v>54050.05</v>
      </c>
      <c r="M1597">
        <v>48645.04</v>
      </c>
      <c r="N1597" t="s">
        <v>41</v>
      </c>
      <c r="O1597">
        <v>2025</v>
      </c>
    </row>
    <row r="1598" spans="1:15" x14ac:dyDescent="0.3">
      <c r="A1598" t="s">
        <v>1683</v>
      </c>
      <c r="B1598" t="s">
        <v>61</v>
      </c>
      <c r="C1598" t="s">
        <v>90</v>
      </c>
      <c r="D1598" t="s">
        <v>107</v>
      </c>
      <c r="E1598" t="s">
        <v>25</v>
      </c>
      <c r="F1598" s="1">
        <v>45886</v>
      </c>
      <c r="G1598">
        <v>7</v>
      </c>
      <c r="H1598">
        <v>13722.74</v>
      </c>
      <c r="I1598">
        <v>15</v>
      </c>
      <c r="J1598" t="s">
        <v>31</v>
      </c>
      <c r="K1598">
        <v>14408.88</v>
      </c>
      <c r="L1598">
        <v>96059.18</v>
      </c>
      <c r="M1598">
        <v>81650.3</v>
      </c>
      <c r="N1598" t="s">
        <v>21</v>
      </c>
      <c r="O1598">
        <v>2025</v>
      </c>
    </row>
    <row r="1599" spans="1:15" x14ac:dyDescent="0.3">
      <c r="A1599" t="s">
        <v>1684</v>
      </c>
      <c r="B1599" t="s">
        <v>93</v>
      </c>
      <c r="C1599" t="s">
        <v>34</v>
      </c>
      <c r="D1599" t="s">
        <v>80</v>
      </c>
      <c r="E1599" t="s">
        <v>50</v>
      </c>
      <c r="F1599" s="1">
        <v>45916</v>
      </c>
      <c r="G1599">
        <v>10</v>
      </c>
      <c r="H1599">
        <v>6155.04</v>
      </c>
      <c r="I1599">
        <v>0</v>
      </c>
      <c r="J1599" t="s">
        <v>36</v>
      </c>
      <c r="K1599">
        <v>0</v>
      </c>
      <c r="L1599">
        <v>61550.400000000001</v>
      </c>
      <c r="M1599">
        <v>61550.400000000001</v>
      </c>
      <c r="N1599" t="s">
        <v>86</v>
      </c>
      <c r="O1599">
        <v>2025</v>
      </c>
    </row>
    <row r="1600" spans="1:15" x14ac:dyDescent="0.3">
      <c r="A1600" t="s">
        <v>1685</v>
      </c>
      <c r="B1600" t="s">
        <v>16</v>
      </c>
      <c r="C1600" t="s">
        <v>54</v>
      </c>
      <c r="D1600" t="s">
        <v>77</v>
      </c>
      <c r="E1600" t="s">
        <v>56</v>
      </c>
      <c r="F1600" s="1">
        <v>45624</v>
      </c>
      <c r="G1600">
        <v>10</v>
      </c>
      <c r="H1600">
        <v>5293.67</v>
      </c>
      <c r="I1600">
        <v>20</v>
      </c>
      <c r="J1600" t="s">
        <v>26</v>
      </c>
      <c r="K1600">
        <v>10587.34</v>
      </c>
      <c r="L1600">
        <v>52936.7</v>
      </c>
      <c r="M1600">
        <v>42349.36</v>
      </c>
      <c r="N1600" t="s">
        <v>96</v>
      </c>
      <c r="O1600">
        <v>2024</v>
      </c>
    </row>
    <row r="1601" spans="1:15" x14ac:dyDescent="0.3">
      <c r="A1601" t="s">
        <v>1686</v>
      </c>
      <c r="B1601" t="s">
        <v>33</v>
      </c>
      <c r="C1601" t="s">
        <v>90</v>
      </c>
      <c r="D1601" t="s">
        <v>105</v>
      </c>
      <c r="E1601" t="s">
        <v>25</v>
      </c>
      <c r="F1601" s="1">
        <v>45857</v>
      </c>
      <c r="G1601">
        <v>9</v>
      </c>
      <c r="H1601">
        <v>3905.51</v>
      </c>
      <c r="I1601">
        <v>5</v>
      </c>
      <c r="J1601" t="s">
        <v>31</v>
      </c>
      <c r="K1601">
        <v>1757.48</v>
      </c>
      <c r="L1601">
        <v>35149.589999999997</v>
      </c>
      <c r="M1601">
        <v>33392.11</v>
      </c>
      <c r="N1601" t="s">
        <v>122</v>
      </c>
      <c r="O1601">
        <v>2025</v>
      </c>
    </row>
    <row r="1602" spans="1:15" x14ac:dyDescent="0.3">
      <c r="A1602" t="s">
        <v>1687</v>
      </c>
      <c r="B1602" t="s">
        <v>16</v>
      </c>
      <c r="C1602" t="s">
        <v>90</v>
      </c>
      <c r="D1602" t="s">
        <v>115</v>
      </c>
      <c r="E1602" t="s">
        <v>44</v>
      </c>
      <c r="F1602" s="1">
        <v>45471</v>
      </c>
      <c r="G1602">
        <v>8</v>
      </c>
      <c r="H1602">
        <v>9074.2800000000007</v>
      </c>
      <c r="I1602">
        <v>5</v>
      </c>
      <c r="J1602" t="s">
        <v>20</v>
      </c>
      <c r="K1602">
        <v>3629.71</v>
      </c>
      <c r="L1602">
        <v>72594.240000000005</v>
      </c>
      <c r="M1602">
        <v>68964.53</v>
      </c>
      <c r="N1602" t="s">
        <v>72</v>
      </c>
      <c r="O1602">
        <v>2024</v>
      </c>
    </row>
    <row r="1603" spans="1:15" x14ac:dyDescent="0.3">
      <c r="A1603" t="s">
        <v>1688</v>
      </c>
      <c r="B1603" t="s">
        <v>43</v>
      </c>
      <c r="C1603" t="s">
        <v>62</v>
      </c>
      <c r="D1603" t="s">
        <v>63</v>
      </c>
      <c r="E1603" t="s">
        <v>25</v>
      </c>
      <c r="F1603" s="1">
        <v>45503</v>
      </c>
      <c r="G1603">
        <v>10</v>
      </c>
      <c r="H1603">
        <v>1827.53</v>
      </c>
      <c r="I1603">
        <v>5</v>
      </c>
      <c r="J1603" t="s">
        <v>26</v>
      </c>
      <c r="K1603">
        <v>913.76</v>
      </c>
      <c r="L1603">
        <v>18275.3</v>
      </c>
      <c r="M1603">
        <v>17361.54</v>
      </c>
      <c r="N1603" t="s">
        <v>122</v>
      </c>
      <c r="O1603">
        <v>2024</v>
      </c>
    </row>
    <row r="1604" spans="1:15" x14ac:dyDescent="0.3">
      <c r="A1604" t="s">
        <v>1689</v>
      </c>
      <c r="B1604" t="s">
        <v>29</v>
      </c>
      <c r="C1604" t="s">
        <v>54</v>
      </c>
      <c r="D1604" t="s">
        <v>68</v>
      </c>
      <c r="E1604" t="s">
        <v>44</v>
      </c>
      <c r="F1604" s="1">
        <v>45764</v>
      </c>
      <c r="G1604">
        <v>9</v>
      </c>
      <c r="H1604">
        <v>4771.55</v>
      </c>
      <c r="I1604">
        <v>20</v>
      </c>
      <c r="J1604" t="s">
        <v>36</v>
      </c>
      <c r="K1604">
        <v>8588.7900000000009</v>
      </c>
      <c r="L1604">
        <v>42943.95</v>
      </c>
      <c r="M1604">
        <v>34355.160000000003</v>
      </c>
      <c r="N1604" t="s">
        <v>27</v>
      </c>
      <c r="O1604">
        <v>2025</v>
      </c>
    </row>
    <row r="1605" spans="1:15" x14ac:dyDescent="0.3">
      <c r="A1605" t="s">
        <v>1690</v>
      </c>
      <c r="B1605" t="s">
        <v>29</v>
      </c>
      <c r="C1605" t="s">
        <v>62</v>
      </c>
      <c r="D1605" t="s">
        <v>63</v>
      </c>
      <c r="E1605" t="s">
        <v>56</v>
      </c>
      <c r="F1605" s="1">
        <v>45299</v>
      </c>
      <c r="G1605">
        <v>1</v>
      </c>
      <c r="H1605">
        <v>1926.91</v>
      </c>
      <c r="I1605">
        <v>15</v>
      </c>
      <c r="J1605" t="s">
        <v>82</v>
      </c>
      <c r="K1605">
        <v>289.04000000000002</v>
      </c>
      <c r="L1605">
        <v>1926.91</v>
      </c>
      <c r="M1605">
        <v>1637.87</v>
      </c>
      <c r="N1605" t="s">
        <v>116</v>
      </c>
      <c r="O1605">
        <v>2024</v>
      </c>
    </row>
    <row r="1606" spans="1:15" x14ac:dyDescent="0.3">
      <c r="A1606" t="s">
        <v>1691</v>
      </c>
      <c r="B1606" t="s">
        <v>38</v>
      </c>
      <c r="C1606" t="s">
        <v>54</v>
      </c>
      <c r="D1606" t="s">
        <v>68</v>
      </c>
      <c r="E1606" t="s">
        <v>56</v>
      </c>
      <c r="F1606" s="1">
        <v>45719</v>
      </c>
      <c r="G1606">
        <v>5</v>
      </c>
      <c r="H1606">
        <v>5043.78</v>
      </c>
      <c r="I1606">
        <v>20</v>
      </c>
      <c r="J1606" t="s">
        <v>82</v>
      </c>
      <c r="K1606">
        <v>5043.78</v>
      </c>
      <c r="L1606">
        <v>25218.9</v>
      </c>
      <c r="M1606">
        <v>20175.12</v>
      </c>
      <c r="N1606" t="s">
        <v>83</v>
      </c>
      <c r="O1606">
        <v>2025</v>
      </c>
    </row>
    <row r="1607" spans="1:15" x14ac:dyDescent="0.3">
      <c r="A1607" t="s">
        <v>1692</v>
      </c>
      <c r="B1607" t="s">
        <v>61</v>
      </c>
      <c r="C1607" t="s">
        <v>17</v>
      </c>
      <c r="D1607" t="s">
        <v>24</v>
      </c>
      <c r="E1607" t="s">
        <v>81</v>
      </c>
      <c r="F1607" s="1">
        <v>45741</v>
      </c>
      <c r="G1607">
        <v>8</v>
      </c>
      <c r="H1607">
        <v>3320.82</v>
      </c>
      <c r="I1607">
        <v>0</v>
      </c>
      <c r="J1607" t="s">
        <v>26</v>
      </c>
      <c r="K1607">
        <v>0</v>
      </c>
      <c r="L1607">
        <v>26566.560000000001</v>
      </c>
      <c r="M1607">
        <v>26566.560000000001</v>
      </c>
      <c r="N1607" t="s">
        <v>83</v>
      </c>
      <c r="O1607">
        <v>2025</v>
      </c>
    </row>
    <row r="1608" spans="1:15" x14ac:dyDescent="0.3">
      <c r="A1608" t="s">
        <v>1693</v>
      </c>
      <c r="B1608" t="s">
        <v>38</v>
      </c>
      <c r="C1608" t="s">
        <v>62</v>
      </c>
      <c r="D1608" t="s">
        <v>99</v>
      </c>
      <c r="E1608" t="s">
        <v>44</v>
      </c>
      <c r="F1608" s="1">
        <v>45664</v>
      </c>
      <c r="G1608">
        <v>7</v>
      </c>
      <c r="H1608">
        <v>1618.73</v>
      </c>
      <c r="I1608">
        <v>20</v>
      </c>
      <c r="J1608" t="s">
        <v>26</v>
      </c>
      <c r="K1608">
        <v>2266.2199999999998</v>
      </c>
      <c r="L1608">
        <v>11331.11</v>
      </c>
      <c r="M1608">
        <v>9064.89</v>
      </c>
      <c r="N1608" t="s">
        <v>116</v>
      </c>
      <c r="O1608">
        <v>2025</v>
      </c>
    </row>
    <row r="1609" spans="1:15" x14ac:dyDescent="0.3">
      <c r="A1609" t="s">
        <v>1694</v>
      </c>
      <c r="B1609" t="s">
        <v>74</v>
      </c>
      <c r="C1609" t="s">
        <v>90</v>
      </c>
      <c r="D1609" t="s">
        <v>152</v>
      </c>
      <c r="E1609" t="s">
        <v>25</v>
      </c>
      <c r="F1609" s="1">
        <v>45441</v>
      </c>
      <c r="G1609">
        <v>5</v>
      </c>
      <c r="H1609">
        <v>10894.85</v>
      </c>
      <c r="I1609">
        <v>20</v>
      </c>
      <c r="J1609" t="s">
        <v>82</v>
      </c>
      <c r="K1609">
        <v>10894.85</v>
      </c>
      <c r="L1609">
        <v>54474.25</v>
      </c>
      <c r="M1609">
        <v>43579.4</v>
      </c>
      <c r="N1609" t="s">
        <v>101</v>
      </c>
      <c r="O1609">
        <v>2024</v>
      </c>
    </row>
    <row r="1610" spans="1:15" x14ac:dyDescent="0.3">
      <c r="A1610" t="s">
        <v>1695</v>
      </c>
      <c r="B1610" t="s">
        <v>33</v>
      </c>
      <c r="C1610" t="s">
        <v>17</v>
      </c>
      <c r="D1610" t="s">
        <v>59</v>
      </c>
      <c r="E1610" t="s">
        <v>56</v>
      </c>
      <c r="F1610" s="1">
        <v>45437</v>
      </c>
      <c r="G1610">
        <v>4</v>
      </c>
      <c r="H1610">
        <v>27472.21</v>
      </c>
      <c r="I1610">
        <v>5</v>
      </c>
      <c r="J1610" t="s">
        <v>45</v>
      </c>
      <c r="K1610">
        <v>5494.44</v>
      </c>
      <c r="L1610">
        <v>109888.84</v>
      </c>
      <c r="M1610">
        <v>104394.4</v>
      </c>
      <c r="N1610" t="s">
        <v>101</v>
      </c>
      <c r="O1610">
        <v>2024</v>
      </c>
    </row>
    <row r="1611" spans="1:15" x14ac:dyDescent="0.3">
      <c r="A1611" t="s">
        <v>1696</v>
      </c>
      <c r="B1611" t="s">
        <v>33</v>
      </c>
      <c r="C1611" t="s">
        <v>62</v>
      </c>
      <c r="D1611" t="s">
        <v>95</v>
      </c>
      <c r="E1611" t="s">
        <v>30</v>
      </c>
      <c r="F1611" s="1">
        <v>45761</v>
      </c>
      <c r="G1611">
        <v>8</v>
      </c>
      <c r="H1611">
        <v>870.5</v>
      </c>
      <c r="I1611">
        <v>10</v>
      </c>
      <c r="J1611" t="s">
        <v>82</v>
      </c>
      <c r="K1611">
        <v>696.4</v>
      </c>
      <c r="L1611">
        <v>6964</v>
      </c>
      <c r="M1611">
        <v>6267.6</v>
      </c>
      <c r="N1611" t="s">
        <v>27</v>
      </c>
      <c r="O1611">
        <v>2025</v>
      </c>
    </row>
    <row r="1612" spans="1:15" x14ac:dyDescent="0.3">
      <c r="A1612" t="s">
        <v>1697</v>
      </c>
      <c r="B1612" t="s">
        <v>16</v>
      </c>
      <c r="C1612" t="s">
        <v>62</v>
      </c>
      <c r="D1612" t="s">
        <v>119</v>
      </c>
      <c r="E1612" t="s">
        <v>56</v>
      </c>
      <c r="F1612" s="1">
        <v>45753</v>
      </c>
      <c r="G1612">
        <v>5</v>
      </c>
      <c r="H1612">
        <v>3647.2</v>
      </c>
      <c r="I1612">
        <v>20</v>
      </c>
      <c r="J1612" t="s">
        <v>45</v>
      </c>
      <c r="K1612">
        <v>3647.2</v>
      </c>
      <c r="L1612">
        <v>18236</v>
      </c>
      <c r="M1612">
        <v>14588.8</v>
      </c>
      <c r="N1612" t="s">
        <v>27</v>
      </c>
      <c r="O1612">
        <v>2025</v>
      </c>
    </row>
    <row r="1613" spans="1:15" x14ac:dyDescent="0.3">
      <c r="A1613" t="s">
        <v>1698</v>
      </c>
      <c r="B1613" t="s">
        <v>53</v>
      </c>
      <c r="C1613" t="s">
        <v>17</v>
      </c>
      <c r="D1613" t="s">
        <v>59</v>
      </c>
      <c r="E1613" t="s">
        <v>81</v>
      </c>
      <c r="F1613" s="1">
        <v>45318</v>
      </c>
      <c r="G1613">
        <v>4</v>
      </c>
      <c r="H1613">
        <v>28001.07</v>
      </c>
      <c r="I1613">
        <v>20</v>
      </c>
      <c r="J1613" t="s">
        <v>40</v>
      </c>
      <c r="K1613">
        <v>22400.86</v>
      </c>
      <c r="L1613">
        <v>112004.28</v>
      </c>
      <c r="M1613">
        <v>89603.42</v>
      </c>
      <c r="N1613" t="s">
        <v>116</v>
      </c>
      <c r="O1613">
        <v>2024</v>
      </c>
    </row>
    <row r="1614" spans="1:15" x14ac:dyDescent="0.3">
      <c r="A1614" t="s">
        <v>1699</v>
      </c>
      <c r="B1614" t="s">
        <v>43</v>
      </c>
      <c r="C1614" t="s">
        <v>62</v>
      </c>
      <c r="D1614" t="s">
        <v>119</v>
      </c>
      <c r="E1614" t="s">
        <v>30</v>
      </c>
      <c r="F1614" s="1">
        <v>45873</v>
      </c>
      <c r="G1614">
        <v>5</v>
      </c>
      <c r="H1614">
        <v>3565.87</v>
      </c>
      <c r="I1614">
        <v>15</v>
      </c>
      <c r="J1614" t="s">
        <v>36</v>
      </c>
      <c r="K1614">
        <v>2674.4</v>
      </c>
      <c r="L1614">
        <v>17829.349999999999</v>
      </c>
      <c r="M1614">
        <v>15154.95</v>
      </c>
      <c r="N1614" t="s">
        <v>21</v>
      </c>
      <c r="O1614">
        <v>2025</v>
      </c>
    </row>
    <row r="1615" spans="1:15" x14ac:dyDescent="0.3">
      <c r="A1615" t="s">
        <v>1700</v>
      </c>
      <c r="B1615" t="s">
        <v>16</v>
      </c>
      <c r="C1615" t="s">
        <v>62</v>
      </c>
      <c r="D1615" t="s">
        <v>63</v>
      </c>
      <c r="E1615" t="s">
        <v>44</v>
      </c>
      <c r="F1615" s="1">
        <v>45442</v>
      </c>
      <c r="G1615">
        <v>10</v>
      </c>
      <c r="H1615">
        <v>1751.55</v>
      </c>
      <c r="I1615">
        <v>15</v>
      </c>
      <c r="J1615" t="s">
        <v>36</v>
      </c>
      <c r="K1615">
        <v>2627.32</v>
      </c>
      <c r="L1615">
        <v>17515.5</v>
      </c>
      <c r="M1615">
        <v>14888.18</v>
      </c>
      <c r="N1615" t="s">
        <v>101</v>
      </c>
      <c r="O1615">
        <v>2024</v>
      </c>
    </row>
    <row r="1616" spans="1:15" x14ac:dyDescent="0.3">
      <c r="A1616" t="s">
        <v>1701</v>
      </c>
      <c r="B1616" t="s">
        <v>109</v>
      </c>
      <c r="C1616" t="s">
        <v>62</v>
      </c>
      <c r="D1616" t="s">
        <v>63</v>
      </c>
      <c r="E1616" t="s">
        <v>44</v>
      </c>
      <c r="F1616" s="1">
        <v>45889</v>
      </c>
      <c r="G1616">
        <v>5</v>
      </c>
      <c r="H1616">
        <v>1686.76</v>
      </c>
      <c r="I1616">
        <v>0</v>
      </c>
      <c r="J1616" t="s">
        <v>20</v>
      </c>
      <c r="K1616">
        <v>0</v>
      </c>
      <c r="L1616">
        <v>8433.7999999999993</v>
      </c>
      <c r="M1616">
        <v>8433.7999999999993</v>
      </c>
      <c r="N1616" t="s">
        <v>21</v>
      </c>
      <c r="O1616">
        <v>2025</v>
      </c>
    </row>
    <row r="1617" spans="1:15" x14ac:dyDescent="0.3">
      <c r="A1617" t="s">
        <v>1702</v>
      </c>
      <c r="B1617" t="s">
        <v>16</v>
      </c>
      <c r="C1617" t="s">
        <v>62</v>
      </c>
      <c r="D1617" t="s">
        <v>119</v>
      </c>
      <c r="E1617" t="s">
        <v>81</v>
      </c>
      <c r="F1617" s="1">
        <v>45780</v>
      </c>
      <c r="G1617">
        <v>10</v>
      </c>
      <c r="H1617">
        <v>3937.5</v>
      </c>
      <c r="I1617">
        <v>10</v>
      </c>
      <c r="J1617" t="s">
        <v>31</v>
      </c>
      <c r="K1617">
        <v>3937.5</v>
      </c>
      <c r="L1617">
        <v>39375</v>
      </c>
      <c r="M1617">
        <v>35437.5</v>
      </c>
      <c r="N1617" t="s">
        <v>101</v>
      </c>
      <c r="O1617">
        <v>2025</v>
      </c>
    </row>
    <row r="1618" spans="1:15" x14ac:dyDescent="0.3">
      <c r="A1618" t="s">
        <v>1703</v>
      </c>
      <c r="B1618" t="s">
        <v>38</v>
      </c>
      <c r="C1618" t="s">
        <v>34</v>
      </c>
      <c r="D1618" t="s">
        <v>66</v>
      </c>
      <c r="E1618" t="s">
        <v>81</v>
      </c>
      <c r="F1618" s="1">
        <v>45827</v>
      </c>
      <c r="G1618">
        <v>6</v>
      </c>
      <c r="H1618">
        <v>39779.79</v>
      </c>
      <c r="I1618">
        <v>15</v>
      </c>
      <c r="J1618" t="s">
        <v>45</v>
      </c>
      <c r="K1618">
        <v>35801.81</v>
      </c>
      <c r="L1618">
        <v>238678.74</v>
      </c>
      <c r="M1618">
        <v>202876.93</v>
      </c>
      <c r="N1618" t="s">
        <v>72</v>
      </c>
      <c r="O1618">
        <v>2025</v>
      </c>
    </row>
    <row r="1619" spans="1:15" x14ac:dyDescent="0.3">
      <c r="A1619" t="s">
        <v>1704</v>
      </c>
      <c r="B1619" t="s">
        <v>89</v>
      </c>
      <c r="C1619" t="s">
        <v>34</v>
      </c>
      <c r="D1619" t="s">
        <v>66</v>
      </c>
      <c r="E1619" t="s">
        <v>50</v>
      </c>
      <c r="F1619" s="1">
        <v>45680</v>
      </c>
      <c r="G1619">
        <v>1</v>
      </c>
      <c r="H1619">
        <v>42687.45</v>
      </c>
      <c r="I1619">
        <v>0</v>
      </c>
      <c r="J1619" t="s">
        <v>71</v>
      </c>
      <c r="K1619">
        <v>0</v>
      </c>
      <c r="L1619">
        <v>42687.45</v>
      </c>
      <c r="M1619">
        <v>42687.45</v>
      </c>
      <c r="N1619" t="s">
        <v>116</v>
      </c>
      <c r="O1619">
        <v>2025</v>
      </c>
    </row>
    <row r="1620" spans="1:15" x14ac:dyDescent="0.3">
      <c r="A1620" t="s">
        <v>1705</v>
      </c>
      <c r="B1620" t="s">
        <v>43</v>
      </c>
      <c r="C1620" t="s">
        <v>62</v>
      </c>
      <c r="D1620" t="s">
        <v>63</v>
      </c>
      <c r="E1620" t="s">
        <v>50</v>
      </c>
      <c r="F1620" s="1">
        <v>45445</v>
      </c>
      <c r="G1620">
        <v>5</v>
      </c>
      <c r="H1620">
        <v>1893.89</v>
      </c>
      <c r="I1620">
        <v>0</v>
      </c>
      <c r="J1620" t="s">
        <v>20</v>
      </c>
      <c r="K1620">
        <v>0</v>
      </c>
      <c r="L1620">
        <v>9469.4500000000007</v>
      </c>
      <c r="M1620">
        <v>9469.4500000000007</v>
      </c>
      <c r="N1620" t="s">
        <v>72</v>
      </c>
      <c r="O1620">
        <v>2024</v>
      </c>
    </row>
    <row r="1621" spans="1:15" x14ac:dyDescent="0.3">
      <c r="A1621" t="s">
        <v>1706</v>
      </c>
      <c r="B1621" t="s">
        <v>89</v>
      </c>
      <c r="C1621" t="s">
        <v>34</v>
      </c>
      <c r="D1621" t="s">
        <v>48</v>
      </c>
      <c r="E1621" t="s">
        <v>56</v>
      </c>
      <c r="F1621" s="1">
        <v>45828</v>
      </c>
      <c r="G1621">
        <v>4</v>
      </c>
      <c r="H1621">
        <v>8682.76</v>
      </c>
      <c r="I1621">
        <v>10</v>
      </c>
      <c r="J1621" t="s">
        <v>26</v>
      </c>
      <c r="K1621">
        <v>3473.1</v>
      </c>
      <c r="L1621">
        <v>34731.040000000001</v>
      </c>
      <c r="M1621">
        <v>31257.94</v>
      </c>
      <c r="N1621" t="s">
        <v>72</v>
      </c>
      <c r="O1621">
        <v>2025</v>
      </c>
    </row>
    <row r="1622" spans="1:15" x14ac:dyDescent="0.3">
      <c r="A1622" t="s">
        <v>1707</v>
      </c>
      <c r="B1622" t="s">
        <v>61</v>
      </c>
      <c r="C1622" t="s">
        <v>17</v>
      </c>
      <c r="D1622" t="s">
        <v>157</v>
      </c>
      <c r="E1622" t="s">
        <v>25</v>
      </c>
      <c r="F1622" s="1">
        <v>45811</v>
      </c>
      <c r="G1622">
        <v>2</v>
      </c>
      <c r="H1622">
        <v>6775.08</v>
      </c>
      <c r="I1622">
        <v>20</v>
      </c>
      <c r="J1622" t="s">
        <v>45</v>
      </c>
      <c r="K1622">
        <v>2710.03</v>
      </c>
      <c r="L1622">
        <v>13550.16</v>
      </c>
      <c r="M1622">
        <v>10840.13</v>
      </c>
      <c r="N1622" t="s">
        <v>72</v>
      </c>
      <c r="O1622">
        <v>2025</v>
      </c>
    </row>
    <row r="1623" spans="1:15" x14ac:dyDescent="0.3">
      <c r="A1623" t="s">
        <v>1708</v>
      </c>
      <c r="B1623" t="s">
        <v>74</v>
      </c>
      <c r="C1623" t="s">
        <v>54</v>
      </c>
      <c r="D1623" t="s">
        <v>70</v>
      </c>
      <c r="E1623" t="s">
        <v>25</v>
      </c>
      <c r="F1623" s="1">
        <v>45872</v>
      </c>
      <c r="G1623">
        <v>9</v>
      </c>
      <c r="H1623">
        <v>2404.98</v>
      </c>
      <c r="I1623">
        <v>10</v>
      </c>
      <c r="J1623" t="s">
        <v>71</v>
      </c>
      <c r="K1623">
        <v>2164.48</v>
      </c>
      <c r="L1623">
        <v>21644.82</v>
      </c>
      <c r="M1623">
        <v>19480.34</v>
      </c>
      <c r="N1623" t="s">
        <v>21</v>
      </c>
      <c r="O1623">
        <v>2025</v>
      </c>
    </row>
    <row r="1624" spans="1:15" x14ac:dyDescent="0.3">
      <c r="A1624" t="s">
        <v>1709</v>
      </c>
      <c r="B1624" t="s">
        <v>29</v>
      </c>
      <c r="C1624" t="s">
        <v>34</v>
      </c>
      <c r="D1624" t="s">
        <v>85</v>
      </c>
      <c r="E1624" t="s">
        <v>30</v>
      </c>
      <c r="F1624" s="1">
        <v>45473</v>
      </c>
      <c r="G1624">
        <v>1</v>
      </c>
      <c r="H1624">
        <v>13738.13</v>
      </c>
      <c r="I1624">
        <v>10</v>
      </c>
      <c r="J1624" t="s">
        <v>71</v>
      </c>
      <c r="K1624">
        <v>1373.81</v>
      </c>
      <c r="L1624">
        <v>13738.13</v>
      </c>
      <c r="M1624">
        <v>12364.32</v>
      </c>
      <c r="N1624" t="s">
        <v>72</v>
      </c>
      <c r="O1624">
        <v>2024</v>
      </c>
    </row>
    <row r="1625" spans="1:15" x14ac:dyDescent="0.3">
      <c r="A1625" t="s">
        <v>1710</v>
      </c>
      <c r="B1625" t="s">
        <v>47</v>
      </c>
      <c r="C1625" t="s">
        <v>54</v>
      </c>
      <c r="D1625" t="s">
        <v>137</v>
      </c>
      <c r="E1625" t="s">
        <v>30</v>
      </c>
      <c r="F1625" s="1">
        <v>45357</v>
      </c>
      <c r="G1625">
        <v>3</v>
      </c>
      <c r="H1625">
        <v>927.58</v>
      </c>
      <c r="I1625">
        <v>0</v>
      </c>
      <c r="J1625" t="s">
        <v>20</v>
      </c>
      <c r="K1625">
        <v>0</v>
      </c>
      <c r="L1625">
        <v>2782.74</v>
      </c>
      <c r="M1625">
        <v>2782.74</v>
      </c>
      <c r="N1625" t="s">
        <v>83</v>
      </c>
      <c r="O1625">
        <v>2024</v>
      </c>
    </row>
    <row r="1626" spans="1:15" x14ac:dyDescent="0.3">
      <c r="A1626" t="s">
        <v>1711</v>
      </c>
      <c r="B1626" t="s">
        <v>29</v>
      </c>
      <c r="C1626" t="s">
        <v>34</v>
      </c>
      <c r="D1626" t="s">
        <v>85</v>
      </c>
      <c r="E1626" t="s">
        <v>81</v>
      </c>
      <c r="F1626" s="1">
        <v>45767</v>
      </c>
      <c r="G1626">
        <v>2</v>
      </c>
      <c r="H1626">
        <v>12410.8</v>
      </c>
      <c r="I1626">
        <v>0</v>
      </c>
      <c r="J1626" t="s">
        <v>71</v>
      </c>
      <c r="K1626">
        <v>0</v>
      </c>
      <c r="L1626">
        <v>24821.599999999999</v>
      </c>
      <c r="M1626">
        <v>24821.599999999999</v>
      </c>
      <c r="N1626" t="s">
        <v>27</v>
      </c>
      <c r="O1626">
        <v>2025</v>
      </c>
    </row>
    <row r="1627" spans="1:15" x14ac:dyDescent="0.3">
      <c r="A1627" t="s">
        <v>1712</v>
      </c>
      <c r="B1627" t="s">
        <v>29</v>
      </c>
      <c r="C1627" t="s">
        <v>62</v>
      </c>
      <c r="D1627" t="s">
        <v>95</v>
      </c>
      <c r="E1627" t="s">
        <v>56</v>
      </c>
      <c r="F1627" s="1">
        <v>45744</v>
      </c>
      <c r="G1627">
        <v>2</v>
      </c>
      <c r="H1627">
        <v>815.21</v>
      </c>
      <c r="I1627">
        <v>0</v>
      </c>
      <c r="J1627" t="s">
        <v>82</v>
      </c>
      <c r="K1627">
        <v>0</v>
      </c>
      <c r="L1627">
        <v>1630.42</v>
      </c>
      <c r="M1627">
        <v>1630.42</v>
      </c>
      <c r="N1627" t="s">
        <v>83</v>
      </c>
      <c r="O1627">
        <v>2025</v>
      </c>
    </row>
    <row r="1628" spans="1:15" x14ac:dyDescent="0.3">
      <c r="A1628" t="s">
        <v>1713</v>
      </c>
      <c r="B1628" t="s">
        <v>29</v>
      </c>
      <c r="C1628" t="s">
        <v>54</v>
      </c>
      <c r="D1628" t="s">
        <v>77</v>
      </c>
      <c r="E1628" t="s">
        <v>81</v>
      </c>
      <c r="F1628" s="1">
        <v>45599</v>
      </c>
      <c r="G1628">
        <v>10</v>
      </c>
      <c r="H1628">
        <v>4963.2</v>
      </c>
      <c r="I1628">
        <v>15</v>
      </c>
      <c r="J1628" t="s">
        <v>71</v>
      </c>
      <c r="K1628">
        <v>7444.8</v>
      </c>
      <c r="L1628">
        <v>49632</v>
      </c>
      <c r="M1628">
        <v>42187.199999999997</v>
      </c>
      <c r="N1628" t="s">
        <v>96</v>
      </c>
      <c r="O1628">
        <v>2024</v>
      </c>
    </row>
    <row r="1629" spans="1:15" x14ac:dyDescent="0.3">
      <c r="A1629" t="s">
        <v>1714</v>
      </c>
      <c r="B1629" t="s">
        <v>74</v>
      </c>
      <c r="C1629" t="s">
        <v>17</v>
      </c>
      <c r="D1629" t="s">
        <v>157</v>
      </c>
      <c r="E1629" t="s">
        <v>30</v>
      </c>
      <c r="F1629" s="1">
        <v>45895</v>
      </c>
      <c r="G1629">
        <v>10</v>
      </c>
      <c r="H1629">
        <v>7622.2</v>
      </c>
      <c r="I1629">
        <v>0</v>
      </c>
      <c r="J1629" t="s">
        <v>20</v>
      </c>
      <c r="K1629">
        <v>0</v>
      </c>
      <c r="L1629">
        <v>76222</v>
      </c>
      <c r="M1629">
        <v>76222</v>
      </c>
      <c r="N1629" t="s">
        <v>21</v>
      </c>
      <c r="O1629">
        <v>2025</v>
      </c>
    </row>
    <row r="1630" spans="1:15" x14ac:dyDescent="0.3">
      <c r="A1630" t="s">
        <v>1715</v>
      </c>
      <c r="B1630" t="s">
        <v>93</v>
      </c>
      <c r="C1630" t="s">
        <v>62</v>
      </c>
      <c r="D1630" t="s">
        <v>99</v>
      </c>
      <c r="E1630" t="s">
        <v>19</v>
      </c>
      <c r="F1630" s="1">
        <v>45938</v>
      </c>
      <c r="G1630">
        <v>3</v>
      </c>
      <c r="H1630">
        <v>1620.56</v>
      </c>
      <c r="I1630">
        <v>15</v>
      </c>
      <c r="J1630" t="s">
        <v>71</v>
      </c>
      <c r="K1630">
        <v>729.25</v>
      </c>
      <c r="L1630">
        <v>4861.68</v>
      </c>
      <c r="M1630">
        <v>4132.43</v>
      </c>
      <c r="N1630" t="s">
        <v>57</v>
      </c>
      <c r="O1630">
        <v>2025</v>
      </c>
    </row>
    <row r="1631" spans="1:15" x14ac:dyDescent="0.3">
      <c r="A1631" t="s">
        <v>1716</v>
      </c>
      <c r="B1631" t="s">
        <v>61</v>
      </c>
      <c r="C1631" t="s">
        <v>54</v>
      </c>
      <c r="D1631" t="s">
        <v>137</v>
      </c>
      <c r="E1631" t="s">
        <v>19</v>
      </c>
      <c r="F1631" s="1">
        <v>45836</v>
      </c>
      <c r="G1631">
        <v>4</v>
      </c>
      <c r="H1631">
        <v>886.76</v>
      </c>
      <c r="I1631">
        <v>20</v>
      </c>
      <c r="J1631" t="s">
        <v>40</v>
      </c>
      <c r="K1631">
        <v>709.41</v>
      </c>
      <c r="L1631">
        <v>3547.04</v>
      </c>
      <c r="M1631">
        <v>2837.63</v>
      </c>
      <c r="N1631" t="s">
        <v>72</v>
      </c>
      <c r="O1631">
        <v>2025</v>
      </c>
    </row>
    <row r="1632" spans="1:15" x14ac:dyDescent="0.3">
      <c r="A1632" t="s">
        <v>1717</v>
      </c>
      <c r="B1632" t="s">
        <v>61</v>
      </c>
      <c r="C1632" t="s">
        <v>54</v>
      </c>
      <c r="D1632" t="s">
        <v>137</v>
      </c>
      <c r="E1632" t="s">
        <v>56</v>
      </c>
      <c r="F1632" s="1">
        <v>45478</v>
      </c>
      <c r="G1632">
        <v>8</v>
      </c>
      <c r="H1632">
        <v>811.47</v>
      </c>
      <c r="I1632">
        <v>20</v>
      </c>
      <c r="J1632" t="s">
        <v>82</v>
      </c>
      <c r="K1632">
        <v>1298.3499999999999</v>
      </c>
      <c r="L1632">
        <v>6491.76</v>
      </c>
      <c r="M1632">
        <v>5193.41</v>
      </c>
      <c r="N1632" t="s">
        <v>122</v>
      </c>
      <c r="O1632">
        <v>2024</v>
      </c>
    </row>
    <row r="1633" spans="1:15" x14ac:dyDescent="0.3">
      <c r="A1633" t="s">
        <v>1718</v>
      </c>
      <c r="B1633" t="s">
        <v>53</v>
      </c>
      <c r="C1633" t="s">
        <v>90</v>
      </c>
      <c r="D1633" t="s">
        <v>152</v>
      </c>
      <c r="E1633" t="s">
        <v>50</v>
      </c>
      <c r="F1633" s="1">
        <v>45734</v>
      </c>
      <c r="G1633">
        <v>5</v>
      </c>
      <c r="H1633">
        <v>9236.42</v>
      </c>
      <c r="I1633">
        <v>15</v>
      </c>
      <c r="J1633" t="s">
        <v>82</v>
      </c>
      <c r="K1633">
        <v>6927.31</v>
      </c>
      <c r="L1633">
        <v>46182.1</v>
      </c>
      <c r="M1633">
        <v>39254.79</v>
      </c>
      <c r="N1633" t="s">
        <v>83</v>
      </c>
      <c r="O1633">
        <v>2025</v>
      </c>
    </row>
    <row r="1634" spans="1:15" x14ac:dyDescent="0.3">
      <c r="A1634" t="s">
        <v>1719</v>
      </c>
      <c r="B1634" t="s">
        <v>38</v>
      </c>
      <c r="C1634" t="s">
        <v>62</v>
      </c>
      <c r="D1634" t="s">
        <v>132</v>
      </c>
      <c r="E1634" t="s">
        <v>50</v>
      </c>
      <c r="F1634" s="1">
        <v>45403</v>
      </c>
      <c r="G1634">
        <v>4</v>
      </c>
      <c r="H1634">
        <v>2383.2600000000002</v>
      </c>
      <c r="I1634">
        <v>20</v>
      </c>
      <c r="J1634" t="s">
        <v>20</v>
      </c>
      <c r="K1634">
        <v>1906.61</v>
      </c>
      <c r="L1634">
        <v>9533.0400000000009</v>
      </c>
      <c r="M1634">
        <v>7626.43</v>
      </c>
      <c r="N1634" t="s">
        <v>27</v>
      </c>
      <c r="O1634">
        <v>2024</v>
      </c>
    </row>
    <row r="1635" spans="1:15" x14ac:dyDescent="0.3">
      <c r="A1635" t="s">
        <v>1720</v>
      </c>
      <c r="B1635" t="s">
        <v>74</v>
      </c>
      <c r="C1635" t="s">
        <v>62</v>
      </c>
      <c r="D1635" t="s">
        <v>119</v>
      </c>
      <c r="E1635" t="s">
        <v>81</v>
      </c>
      <c r="F1635" s="1">
        <v>45397</v>
      </c>
      <c r="G1635">
        <v>5</v>
      </c>
      <c r="H1635">
        <v>3961.61</v>
      </c>
      <c r="I1635">
        <v>5</v>
      </c>
      <c r="J1635" t="s">
        <v>71</v>
      </c>
      <c r="K1635">
        <v>990.4</v>
      </c>
      <c r="L1635">
        <v>19808.05</v>
      </c>
      <c r="M1635">
        <v>18817.650000000001</v>
      </c>
      <c r="N1635" t="s">
        <v>27</v>
      </c>
      <c r="O1635">
        <v>2024</v>
      </c>
    </row>
    <row r="1636" spans="1:15" x14ac:dyDescent="0.3">
      <c r="A1636" t="s">
        <v>1721</v>
      </c>
      <c r="B1636" t="s">
        <v>33</v>
      </c>
      <c r="C1636" t="s">
        <v>54</v>
      </c>
      <c r="D1636" t="s">
        <v>55</v>
      </c>
      <c r="E1636" t="s">
        <v>50</v>
      </c>
      <c r="F1636" s="1">
        <v>45697</v>
      </c>
      <c r="G1636">
        <v>3</v>
      </c>
      <c r="H1636">
        <v>1335.71</v>
      </c>
      <c r="I1636">
        <v>20</v>
      </c>
      <c r="J1636" t="s">
        <v>20</v>
      </c>
      <c r="K1636">
        <v>801.43</v>
      </c>
      <c r="L1636">
        <v>4007.13</v>
      </c>
      <c r="M1636">
        <v>3205.7</v>
      </c>
      <c r="N1636" t="s">
        <v>41</v>
      </c>
      <c r="O1636">
        <v>2025</v>
      </c>
    </row>
    <row r="1637" spans="1:15" x14ac:dyDescent="0.3">
      <c r="A1637" t="s">
        <v>1722</v>
      </c>
      <c r="B1637" t="s">
        <v>65</v>
      </c>
      <c r="C1637" t="s">
        <v>34</v>
      </c>
      <c r="D1637" t="s">
        <v>48</v>
      </c>
      <c r="E1637" t="s">
        <v>56</v>
      </c>
      <c r="F1637" s="1">
        <v>45567</v>
      </c>
      <c r="G1637">
        <v>4</v>
      </c>
      <c r="H1637">
        <v>9972.26</v>
      </c>
      <c r="I1637">
        <v>15</v>
      </c>
      <c r="J1637" t="s">
        <v>31</v>
      </c>
      <c r="K1637">
        <v>5983.36</v>
      </c>
      <c r="L1637">
        <v>39889.040000000001</v>
      </c>
      <c r="M1637">
        <v>33905.68</v>
      </c>
      <c r="N1637" t="s">
        <v>57</v>
      </c>
      <c r="O1637">
        <v>2024</v>
      </c>
    </row>
    <row r="1638" spans="1:15" x14ac:dyDescent="0.3">
      <c r="A1638" t="s">
        <v>1723</v>
      </c>
      <c r="B1638" t="s">
        <v>53</v>
      </c>
      <c r="C1638" t="s">
        <v>62</v>
      </c>
      <c r="D1638" t="s">
        <v>119</v>
      </c>
      <c r="E1638" t="s">
        <v>19</v>
      </c>
      <c r="F1638" s="1">
        <v>45654</v>
      </c>
      <c r="G1638">
        <v>6</v>
      </c>
      <c r="H1638">
        <v>3897.84</v>
      </c>
      <c r="I1638">
        <v>15</v>
      </c>
      <c r="J1638" t="s">
        <v>45</v>
      </c>
      <c r="K1638">
        <v>3508.06</v>
      </c>
      <c r="L1638">
        <v>23387.040000000001</v>
      </c>
      <c r="M1638">
        <v>19878.98</v>
      </c>
      <c r="N1638" t="s">
        <v>51</v>
      </c>
      <c r="O1638">
        <v>2024</v>
      </c>
    </row>
    <row r="1639" spans="1:15" x14ac:dyDescent="0.3">
      <c r="A1639" t="s">
        <v>1724</v>
      </c>
      <c r="B1639" t="s">
        <v>74</v>
      </c>
      <c r="C1639" t="s">
        <v>54</v>
      </c>
      <c r="D1639" t="s">
        <v>68</v>
      </c>
      <c r="E1639" t="s">
        <v>56</v>
      </c>
      <c r="F1639" s="1">
        <v>45705</v>
      </c>
      <c r="G1639">
        <v>1</v>
      </c>
      <c r="H1639">
        <v>5139.76</v>
      </c>
      <c r="I1639">
        <v>10</v>
      </c>
      <c r="J1639" t="s">
        <v>26</v>
      </c>
      <c r="K1639">
        <v>513.98</v>
      </c>
      <c r="L1639">
        <v>5139.76</v>
      </c>
      <c r="M1639">
        <v>4625.78</v>
      </c>
      <c r="N1639" t="s">
        <v>41</v>
      </c>
      <c r="O1639">
        <v>2025</v>
      </c>
    </row>
    <row r="1640" spans="1:15" x14ac:dyDescent="0.3">
      <c r="A1640" t="s">
        <v>1725</v>
      </c>
      <c r="B1640" t="s">
        <v>74</v>
      </c>
      <c r="C1640" t="s">
        <v>34</v>
      </c>
      <c r="D1640" t="s">
        <v>35</v>
      </c>
      <c r="E1640" t="s">
        <v>19</v>
      </c>
      <c r="F1640" s="1">
        <v>46013</v>
      </c>
      <c r="G1640">
        <v>4</v>
      </c>
      <c r="H1640">
        <v>26184.19</v>
      </c>
      <c r="I1640">
        <v>10</v>
      </c>
      <c r="J1640" t="s">
        <v>26</v>
      </c>
      <c r="K1640">
        <v>10473.68</v>
      </c>
      <c r="L1640">
        <v>104736.76</v>
      </c>
      <c r="M1640">
        <v>94263.08</v>
      </c>
      <c r="N1640" t="s">
        <v>51</v>
      </c>
      <c r="O1640">
        <v>2025</v>
      </c>
    </row>
    <row r="1641" spans="1:15" x14ac:dyDescent="0.3">
      <c r="A1641" t="s">
        <v>1726</v>
      </c>
      <c r="B1641" t="s">
        <v>109</v>
      </c>
      <c r="C1641" t="s">
        <v>62</v>
      </c>
      <c r="D1641" t="s">
        <v>119</v>
      </c>
      <c r="E1641" t="s">
        <v>19</v>
      </c>
      <c r="F1641" s="1">
        <v>45683</v>
      </c>
      <c r="G1641">
        <v>6</v>
      </c>
      <c r="H1641">
        <v>3638.31</v>
      </c>
      <c r="I1641">
        <v>5</v>
      </c>
      <c r="J1641" t="s">
        <v>31</v>
      </c>
      <c r="K1641">
        <v>1091.49</v>
      </c>
      <c r="L1641">
        <v>21829.86</v>
      </c>
      <c r="M1641">
        <v>20738.37</v>
      </c>
      <c r="N1641" t="s">
        <v>116</v>
      </c>
      <c r="O1641">
        <v>2025</v>
      </c>
    </row>
    <row r="1642" spans="1:15" x14ac:dyDescent="0.3">
      <c r="A1642" t="s">
        <v>1727</v>
      </c>
      <c r="B1642" t="s">
        <v>65</v>
      </c>
      <c r="C1642" t="s">
        <v>34</v>
      </c>
      <c r="D1642" t="s">
        <v>66</v>
      </c>
      <c r="E1642" t="s">
        <v>56</v>
      </c>
      <c r="F1642" s="1">
        <v>45401</v>
      </c>
      <c r="G1642">
        <v>2</v>
      </c>
      <c r="H1642">
        <v>38431.379999999997</v>
      </c>
      <c r="I1642">
        <v>10</v>
      </c>
      <c r="J1642" t="s">
        <v>40</v>
      </c>
      <c r="K1642">
        <v>7686.28</v>
      </c>
      <c r="L1642">
        <v>76862.759999999995</v>
      </c>
      <c r="M1642">
        <v>69176.479999999996</v>
      </c>
      <c r="N1642" t="s">
        <v>27</v>
      </c>
      <c r="O1642">
        <v>2024</v>
      </c>
    </row>
    <row r="1643" spans="1:15" x14ac:dyDescent="0.3">
      <c r="A1643" t="s">
        <v>1728</v>
      </c>
      <c r="B1643" t="s">
        <v>89</v>
      </c>
      <c r="C1643" t="s">
        <v>90</v>
      </c>
      <c r="D1643" t="s">
        <v>91</v>
      </c>
      <c r="E1643" t="s">
        <v>25</v>
      </c>
      <c r="F1643" s="1">
        <v>45996</v>
      </c>
      <c r="G1643">
        <v>8</v>
      </c>
      <c r="H1643">
        <v>1588.06</v>
      </c>
      <c r="I1643">
        <v>20</v>
      </c>
      <c r="J1643" t="s">
        <v>31</v>
      </c>
      <c r="K1643">
        <v>2540.9</v>
      </c>
      <c r="L1643">
        <v>12704.48</v>
      </c>
      <c r="M1643">
        <v>10163.58</v>
      </c>
      <c r="N1643" t="s">
        <v>51</v>
      </c>
      <c r="O1643">
        <v>2025</v>
      </c>
    </row>
    <row r="1644" spans="1:15" x14ac:dyDescent="0.3">
      <c r="A1644" t="s">
        <v>1729</v>
      </c>
      <c r="B1644" t="s">
        <v>109</v>
      </c>
      <c r="C1644" t="s">
        <v>54</v>
      </c>
      <c r="D1644" t="s">
        <v>68</v>
      </c>
      <c r="E1644" t="s">
        <v>25</v>
      </c>
      <c r="F1644" s="1">
        <v>45946</v>
      </c>
      <c r="G1644">
        <v>6</v>
      </c>
      <c r="H1644">
        <v>4796.6099999999997</v>
      </c>
      <c r="I1644">
        <v>10</v>
      </c>
      <c r="J1644" t="s">
        <v>26</v>
      </c>
      <c r="K1644">
        <v>2877.97</v>
      </c>
      <c r="L1644">
        <v>28779.66</v>
      </c>
      <c r="M1644">
        <v>25901.69</v>
      </c>
      <c r="N1644" t="s">
        <v>57</v>
      </c>
      <c r="O1644">
        <v>2025</v>
      </c>
    </row>
    <row r="1645" spans="1:15" x14ac:dyDescent="0.3">
      <c r="A1645" t="s">
        <v>1730</v>
      </c>
      <c r="B1645" t="s">
        <v>47</v>
      </c>
      <c r="C1645" t="s">
        <v>90</v>
      </c>
      <c r="D1645" t="s">
        <v>115</v>
      </c>
      <c r="E1645" t="s">
        <v>56</v>
      </c>
      <c r="F1645" s="1">
        <v>45367</v>
      </c>
      <c r="G1645">
        <v>6</v>
      </c>
      <c r="H1645">
        <v>9154.36</v>
      </c>
      <c r="I1645">
        <v>15</v>
      </c>
      <c r="J1645" t="s">
        <v>36</v>
      </c>
      <c r="K1645">
        <v>8238.92</v>
      </c>
      <c r="L1645">
        <v>54926.16</v>
      </c>
      <c r="M1645">
        <v>46687.24</v>
      </c>
      <c r="N1645" t="s">
        <v>83</v>
      </c>
      <c r="O1645">
        <v>2024</v>
      </c>
    </row>
    <row r="1646" spans="1:15" x14ac:dyDescent="0.3">
      <c r="A1646" t="s">
        <v>1731</v>
      </c>
      <c r="B1646" t="s">
        <v>93</v>
      </c>
      <c r="C1646" t="s">
        <v>34</v>
      </c>
      <c r="D1646" t="s">
        <v>85</v>
      </c>
      <c r="E1646" t="s">
        <v>19</v>
      </c>
      <c r="F1646" s="1">
        <v>45867</v>
      </c>
      <c r="G1646">
        <v>2</v>
      </c>
      <c r="H1646">
        <v>12114.78</v>
      </c>
      <c r="I1646">
        <v>10</v>
      </c>
      <c r="J1646" t="s">
        <v>20</v>
      </c>
      <c r="K1646">
        <v>2422.96</v>
      </c>
      <c r="L1646">
        <v>24229.56</v>
      </c>
      <c r="M1646">
        <v>21806.6</v>
      </c>
      <c r="N1646" t="s">
        <v>122</v>
      </c>
      <c r="O1646">
        <v>2025</v>
      </c>
    </row>
    <row r="1647" spans="1:15" x14ac:dyDescent="0.3">
      <c r="A1647" t="s">
        <v>1732</v>
      </c>
      <c r="B1647" t="s">
        <v>74</v>
      </c>
      <c r="C1647" t="s">
        <v>54</v>
      </c>
      <c r="D1647" t="s">
        <v>77</v>
      </c>
      <c r="E1647" t="s">
        <v>30</v>
      </c>
      <c r="F1647" s="1">
        <v>45862</v>
      </c>
      <c r="G1647">
        <v>9</v>
      </c>
      <c r="H1647">
        <v>5521.64</v>
      </c>
      <c r="I1647">
        <v>0</v>
      </c>
      <c r="J1647" t="s">
        <v>40</v>
      </c>
      <c r="K1647">
        <v>0</v>
      </c>
      <c r="L1647">
        <v>49694.76</v>
      </c>
      <c r="M1647">
        <v>49694.76</v>
      </c>
      <c r="N1647" t="s">
        <v>122</v>
      </c>
      <c r="O1647">
        <v>2025</v>
      </c>
    </row>
    <row r="1648" spans="1:15" x14ac:dyDescent="0.3">
      <c r="A1648" t="s">
        <v>1733</v>
      </c>
      <c r="B1648" t="s">
        <v>38</v>
      </c>
      <c r="C1648" t="s">
        <v>34</v>
      </c>
      <c r="D1648" t="s">
        <v>80</v>
      </c>
      <c r="E1648" t="s">
        <v>44</v>
      </c>
      <c r="F1648" s="1">
        <v>45661</v>
      </c>
      <c r="G1648">
        <v>8</v>
      </c>
      <c r="H1648">
        <v>6520.91</v>
      </c>
      <c r="I1648">
        <v>5</v>
      </c>
      <c r="J1648" t="s">
        <v>45</v>
      </c>
      <c r="K1648">
        <v>2608.36</v>
      </c>
      <c r="L1648">
        <v>52167.28</v>
      </c>
      <c r="M1648">
        <v>49558.92</v>
      </c>
      <c r="N1648" t="s">
        <v>116</v>
      </c>
      <c r="O1648">
        <v>2025</v>
      </c>
    </row>
    <row r="1649" spans="1:15" x14ac:dyDescent="0.3">
      <c r="A1649" t="s">
        <v>1734</v>
      </c>
      <c r="B1649" t="s">
        <v>89</v>
      </c>
      <c r="C1649" t="s">
        <v>34</v>
      </c>
      <c r="D1649" t="s">
        <v>48</v>
      </c>
      <c r="E1649" t="s">
        <v>50</v>
      </c>
      <c r="F1649" s="1">
        <v>45662</v>
      </c>
      <c r="G1649">
        <v>6</v>
      </c>
      <c r="H1649">
        <v>7597.97</v>
      </c>
      <c r="I1649">
        <v>10</v>
      </c>
      <c r="J1649" t="s">
        <v>71</v>
      </c>
      <c r="K1649">
        <v>4558.78</v>
      </c>
      <c r="L1649">
        <v>45587.82</v>
      </c>
      <c r="M1649">
        <v>41029.040000000001</v>
      </c>
      <c r="N1649" t="s">
        <v>116</v>
      </c>
      <c r="O1649">
        <v>2025</v>
      </c>
    </row>
    <row r="1650" spans="1:15" x14ac:dyDescent="0.3">
      <c r="A1650" t="s">
        <v>1735</v>
      </c>
      <c r="B1650" t="s">
        <v>16</v>
      </c>
      <c r="C1650" t="s">
        <v>62</v>
      </c>
      <c r="D1650" t="s">
        <v>132</v>
      </c>
      <c r="E1650" t="s">
        <v>25</v>
      </c>
      <c r="F1650" s="1">
        <v>45414</v>
      </c>
      <c r="G1650">
        <v>7</v>
      </c>
      <c r="H1650">
        <v>2517.08</v>
      </c>
      <c r="I1650">
        <v>15</v>
      </c>
      <c r="J1650" t="s">
        <v>36</v>
      </c>
      <c r="K1650">
        <v>2642.93</v>
      </c>
      <c r="L1650">
        <v>17619.560000000001</v>
      </c>
      <c r="M1650">
        <v>14976.63</v>
      </c>
      <c r="N1650" t="s">
        <v>101</v>
      </c>
      <c r="O1650">
        <v>2024</v>
      </c>
    </row>
    <row r="1651" spans="1:15" x14ac:dyDescent="0.3">
      <c r="A1651" t="s">
        <v>1736</v>
      </c>
      <c r="B1651" t="s">
        <v>109</v>
      </c>
      <c r="C1651" t="s">
        <v>17</v>
      </c>
      <c r="D1651" t="s">
        <v>24</v>
      </c>
      <c r="E1651" t="s">
        <v>81</v>
      </c>
      <c r="F1651" s="1">
        <v>45308</v>
      </c>
      <c r="G1651">
        <v>10</v>
      </c>
      <c r="H1651">
        <v>3027.91</v>
      </c>
      <c r="I1651">
        <v>0</v>
      </c>
      <c r="J1651" t="s">
        <v>45</v>
      </c>
      <c r="K1651">
        <v>0</v>
      </c>
      <c r="L1651">
        <v>30279.1</v>
      </c>
      <c r="M1651">
        <v>30279.1</v>
      </c>
      <c r="N1651" t="s">
        <v>116</v>
      </c>
      <c r="O1651">
        <v>2024</v>
      </c>
    </row>
    <row r="1652" spans="1:15" x14ac:dyDescent="0.3">
      <c r="A1652" t="s">
        <v>1737</v>
      </c>
      <c r="B1652" t="s">
        <v>74</v>
      </c>
      <c r="C1652" t="s">
        <v>54</v>
      </c>
      <c r="D1652" t="s">
        <v>137</v>
      </c>
      <c r="E1652" t="s">
        <v>81</v>
      </c>
      <c r="F1652" s="1">
        <v>45581</v>
      </c>
      <c r="G1652">
        <v>10</v>
      </c>
      <c r="H1652">
        <v>973.6</v>
      </c>
      <c r="I1652">
        <v>0</v>
      </c>
      <c r="J1652" t="s">
        <v>71</v>
      </c>
      <c r="K1652">
        <v>0</v>
      </c>
      <c r="L1652">
        <v>9736</v>
      </c>
      <c r="M1652">
        <v>9736</v>
      </c>
      <c r="N1652" t="s">
        <v>57</v>
      </c>
      <c r="O1652">
        <v>2024</v>
      </c>
    </row>
    <row r="1653" spans="1:15" x14ac:dyDescent="0.3">
      <c r="A1653" t="s">
        <v>1738</v>
      </c>
      <c r="B1653" t="s">
        <v>47</v>
      </c>
      <c r="C1653" t="s">
        <v>17</v>
      </c>
      <c r="D1653" t="s">
        <v>24</v>
      </c>
      <c r="E1653" t="s">
        <v>81</v>
      </c>
      <c r="F1653" s="1">
        <v>45836</v>
      </c>
      <c r="G1653">
        <v>3</v>
      </c>
      <c r="H1653">
        <v>3298.94</v>
      </c>
      <c r="I1653">
        <v>0</v>
      </c>
      <c r="J1653" t="s">
        <v>82</v>
      </c>
      <c r="K1653">
        <v>0</v>
      </c>
      <c r="L1653">
        <v>9896.82</v>
      </c>
      <c r="M1653">
        <v>9896.82</v>
      </c>
      <c r="N1653" t="s">
        <v>72</v>
      </c>
      <c r="O1653">
        <v>2025</v>
      </c>
    </row>
    <row r="1654" spans="1:15" x14ac:dyDescent="0.3">
      <c r="A1654" t="s">
        <v>1739</v>
      </c>
      <c r="B1654" t="s">
        <v>93</v>
      </c>
      <c r="C1654" t="s">
        <v>54</v>
      </c>
      <c r="D1654" t="s">
        <v>68</v>
      </c>
      <c r="E1654" t="s">
        <v>30</v>
      </c>
      <c r="F1654" s="1">
        <v>45366</v>
      </c>
      <c r="G1654">
        <v>7</v>
      </c>
      <c r="H1654">
        <v>4969.9799999999996</v>
      </c>
      <c r="I1654">
        <v>15</v>
      </c>
      <c r="J1654" t="s">
        <v>20</v>
      </c>
      <c r="K1654">
        <v>5218.4799999999996</v>
      </c>
      <c r="L1654">
        <v>34789.86</v>
      </c>
      <c r="M1654">
        <v>29571.38</v>
      </c>
      <c r="N1654" t="s">
        <v>83</v>
      </c>
      <c r="O1654">
        <v>2024</v>
      </c>
    </row>
    <row r="1655" spans="1:15" x14ac:dyDescent="0.3">
      <c r="A1655" t="s">
        <v>1740</v>
      </c>
      <c r="B1655" t="s">
        <v>61</v>
      </c>
      <c r="C1655" t="s">
        <v>90</v>
      </c>
      <c r="D1655" t="s">
        <v>107</v>
      </c>
      <c r="E1655" t="s">
        <v>19</v>
      </c>
      <c r="F1655" s="1">
        <v>45478</v>
      </c>
      <c r="G1655">
        <v>10</v>
      </c>
      <c r="H1655">
        <v>11819.43</v>
      </c>
      <c r="I1655">
        <v>20</v>
      </c>
      <c r="J1655" t="s">
        <v>82</v>
      </c>
      <c r="K1655">
        <v>23638.86</v>
      </c>
      <c r="L1655">
        <v>118194.3</v>
      </c>
      <c r="M1655">
        <v>94555.44</v>
      </c>
      <c r="N1655" t="s">
        <v>122</v>
      </c>
      <c r="O1655">
        <v>2024</v>
      </c>
    </row>
    <row r="1656" spans="1:15" x14ac:dyDescent="0.3">
      <c r="A1656" t="s">
        <v>1741</v>
      </c>
      <c r="B1656" t="s">
        <v>23</v>
      </c>
      <c r="C1656" t="s">
        <v>90</v>
      </c>
      <c r="D1656" t="s">
        <v>105</v>
      </c>
      <c r="E1656" t="s">
        <v>81</v>
      </c>
      <c r="F1656" s="1">
        <v>45298</v>
      </c>
      <c r="G1656">
        <v>10</v>
      </c>
      <c r="H1656">
        <v>3874.69</v>
      </c>
      <c r="I1656">
        <v>0</v>
      </c>
      <c r="J1656" t="s">
        <v>40</v>
      </c>
      <c r="K1656">
        <v>0</v>
      </c>
      <c r="L1656">
        <v>38746.9</v>
      </c>
      <c r="M1656">
        <v>38746.9</v>
      </c>
      <c r="N1656" t="s">
        <v>116</v>
      </c>
      <c r="O1656">
        <v>2024</v>
      </c>
    </row>
    <row r="1657" spans="1:15" x14ac:dyDescent="0.3">
      <c r="A1657" t="s">
        <v>1742</v>
      </c>
      <c r="B1657" t="s">
        <v>33</v>
      </c>
      <c r="C1657" t="s">
        <v>17</v>
      </c>
      <c r="D1657" t="s">
        <v>59</v>
      </c>
      <c r="E1657" t="s">
        <v>56</v>
      </c>
      <c r="F1657" s="1">
        <v>45557</v>
      </c>
      <c r="G1657">
        <v>4</v>
      </c>
      <c r="H1657">
        <v>26152.35</v>
      </c>
      <c r="I1657">
        <v>10</v>
      </c>
      <c r="J1657" t="s">
        <v>36</v>
      </c>
      <c r="K1657">
        <v>10460.94</v>
      </c>
      <c r="L1657">
        <v>104609.4</v>
      </c>
      <c r="M1657">
        <v>94148.46</v>
      </c>
      <c r="N1657" t="s">
        <v>86</v>
      </c>
      <c r="O1657">
        <v>2024</v>
      </c>
    </row>
    <row r="1658" spans="1:15" x14ac:dyDescent="0.3">
      <c r="A1658" t="s">
        <v>1743</v>
      </c>
      <c r="B1658" t="s">
        <v>61</v>
      </c>
      <c r="C1658" t="s">
        <v>54</v>
      </c>
      <c r="D1658" t="s">
        <v>68</v>
      </c>
      <c r="E1658" t="s">
        <v>30</v>
      </c>
      <c r="F1658" s="1">
        <v>45880</v>
      </c>
      <c r="G1658">
        <v>6</v>
      </c>
      <c r="H1658">
        <v>5054.8999999999996</v>
      </c>
      <c r="I1658">
        <v>20</v>
      </c>
      <c r="J1658" t="s">
        <v>20</v>
      </c>
      <c r="K1658">
        <v>6065.88</v>
      </c>
      <c r="L1658">
        <v>30329.4</v>
      </c>
      <c r="M1658">
        <v>24263.52</v>
      </c>
      <c r="N1658" t="s">
        <v>21</v>
      </c>
      <c r="O1658">
        <v>2025</v>
      </c>
    </row>
    <row r="1659" spans="1:15" x14ac:dyDescent="0.3">
      <c r="A1659" t="s">
        <v>1744</v>
      </c>
      <c r="B1659" t="s">
        <v>74</v>
      </c>
      <c r="C1659" t="s">
        <v>34</v>
      </c>
      <c r="D1659" t="s">
        <v>85</v>
      </c>
      <c r="E1659" t="s">
        <v>50</v>
      </c>
      <c r="F1659" s="1">
        <v>45607</v>
      </c>
      <c r="G1659">
        <v>3</v>
      </c>
      <c r="H1659">
        <v>12212.96</v>
      </c>
      <c r="I1659">
        <v>20</v>
      </c>
      <c r="J1659" t="s">
        <v>20</v>
      </c>
      <c r="K1659">
        <v>7327.78</v>
      </c>
      <c r="L1659">
        <v>36638.879999999997</v>
      </c>
      <c r="M1659">
        <v>29311.1</v>
      </c>
      <c r="N1659" t="s">
        <v>96</v>
      </c>
      <c r="O1659">
        <v>2024</v>
      </c>
    </row>
    <row r="1660" spans="1:15" x14ac:dyDescent="0.3">
      <c r="A1660" t="s">
        <v>1745</v>
      </c>
      <c r="B1660" t="s">
        <v>74</v>
      </c>
      <c r="C1660" t="s">
        <v>54</v>
      </c>
      <c r="D1660" t="s">
        <v>70</v>
      </c>
      <c r="E1660" t="s">
        <v>50</v>
      </c>
      <c r="F1660" s="1">
        <v>45362</v>
      </c>
      <c r="G1660">
        <v>6</v>
      </c>
      <c r="H1660">
        <v>2794.1</v>
      </c>
      <c r="I1660">
        <v>5</v>
      </c>
      <c r="J1660" t="s">
        <v>45</v>
      </c>
      <c r="K1660">
        <v>838.23</v>
      </c>
      <c r="L1660">
        <v>16764.599999999999</v>
      </c>
      <c r="M1660">
        <v>15926.37</v>
      </c>
      <c r="N1660" t="s">
        <v>83</v>
      </c>
      <c r="O1660">
        <v>2024</v>
      </c>
    </row>
    <row r="1661" spans="1:15" x14ac:dyDescent="0.3">
      <c r="A1661" t="s">
        <v>1746</v>
      </c>
      <c r="B1661" t="s">
        <v>43</v>
      </c>
      <c r="C1661" t="s">
        <v>34</v>
      </c>
      <c r="D1661" t="s">
        <v>85</v>
      </c>
      <c r="E1661" t="s">
        <v>50</v>
      </c>
      <c r="F1661" s="1">
        <v>45569</v>
      </c>
      <c r="G1661">
        <v>4</v>
      </c>
      <c r="H1661">
        <v>14969.8</v>
      </c>
      <c r="I1661">
        <v>5</v>
      </c>
      <c r="J1661" t="s">
        <v>31</v>
      </c>
      <c r="K1661">
        <v>2993.96</v>
      </c>
      <c r="L1661">
        <v>59879.199999999997</v>
      </c>
      <c r="M1661">
        <v>56885.24</v>
      </c>
      <c r="N1661" t="s">
        <v>57</v>
      </c>
      <c r="O1661">
        <v>2024</v>
      </c>
    </row>
    <row r="1662" spans="1:15" x14ac:dyDescent="0.3">
      <c r="A1662" t="s">
        <v>1747</v>
      </c>
      <c r="B1662" t="s">
        <v>53</v>
      </c>
      <c r="C1662" t="s">
        <v>62</v>
      </c>
      <c r="D1662" t="s">
        <v>95</v>
      </c>
      <c r="E1662" t="s">
        <v>56</v>
      </c>
      <c r="F1662" s="1">
        <v>45676</v>
      </c>
      <c r="G1662">
        <v>1</v>
      </c>
      <c r="H1662">
        <v>808.79</v>
      </c>
      <c r="I1662">
        <v>5</v>
      </c>
      <c r="J1662" t="s">
        <v>82</v>
      </c>
      <c r="K1662">
        <v>40.44</v>
      </c>
      <c r="L1662">
        <v>808.79</v>
      </c>
      <c r="M1662">
        <v>768.35</v>
      </c>
      <c r="N1662" t="s">
        <v>116</v>
      </c>
      <c r="O1662">
        <v>2025</v>
      </c>
    </row>
    <row r="1663" spans="1:15" x14ac:dyDescent="0.3">
      <c r="A1663" t="s">
        <v>1748</v>
      </c>
      <c r="B1663" t="s">
        <v>89</v>
      </c>
      <c r="C1663" t="s">
        <v>90</v>
      </c>
      <c r="D1663" t="s">
        <v>105</v>
      </c>
      <c r="E1663" t="s">
        <v>56</v>
      </c>
      <c r="F1663" s="1">
        <v>45495</v>
      </c>
      <c r="G1663">
        <v>4</v>
      </c>
      <c r="H1663">
        <v>3824.61</v>
      </c>
      <c r="I1663">
        <v>20</v>
      </c>
      <c r="J1663" t="s">
        <v>31</v>
      </c>
      <c r="K1663">
        <v>3059.69</v>
      </c>
      <c r="L1663">
        <v>15298.44</v>
      </c>
      <c r="M1663">
        <v>12238.75</v>
      </c>
      <c r="N1663" t="s">
        <v>122</v>
      </c>
      <c r="O1663">
        <v>2024</v>
      </c>
    </row>
    <row r="1664" spans="1:15" x14ac:dyDescent="0.3">
      <c r="A1664" t="s">
        <v>1749</v>
      </c>
      <c r="B1664" t="s">
        <v>53</v>
      </c>
      <c r="C1664" t="s">
        <v>17</v>
      </c>
      <c r="D1664" t="s">
        <v>18</v>
      </c>
      <c r="E1664" t="s">
        <v>81</v>
      </c>
      <c r="F1664" s="1">
        <v>45458</v>
      </c>
      <c r="G1664">
        <v>4</v>
      </c>
      <c r="H1664">
        <v>60455.82</v>
      </c>
      <c r="I1664">
        <v>15</v>
      </c>
      <c r="J1664" t="s">
        <v>82</v>
      </c>
      <c r="K1664">
        <v>36273.49</v>
      </c>
      <c r="L1664">
        <v>241823.28</v>
      </c>
      <c r="M1664">
        <v>205549.79</v>
      </c>
      <c r="N1664" t="s">
        <v>72</v>
      </c>
      <c r="O1664">
        <v>2024</v>
      </c>
    </row>
    <row r="1665" spans="1:15" x14ac:dyDescent="0.3">
      <c r="A1665" t="s">
        <v>1750</v>
      </c>
      <c r="B1665" t="s">
        <v>16</v>
      </c>
      <c r="C1665" t="s">
        <v>54</v>
      </c>
      <c r="D1665" t="s">
        <v>137</v>
      </c>
      <c r="E1665" t="s">
        <v>19</v>
      </c>
      <c r="F1665" s="1">
        <v>45487</v>
      </c>
      <c r="G1665">
        <v>4</v>
      </c>
      <c r="H1665">
        <v>1031.6600000000001</v>
      </c>
      <c r="I1665">
        <v>20</v>
      </c>
      <c r="J1665" t="s">
        <v>31</v>
      </c>
      <c r="K1665">
        <v>825.33</v>
      </c>
      <c r="L1665">
        <v>4126.6400000000003</v>
      </c>
      <c r="M1665">
        <v>3301.31</v>
      </c>
      <c r="N1665" t="s">
        <v>122</v>
      </c>
      <c r="O1665">
        <v>2024</v>
      </c>
    </row>
    <row r="1666" spans="1:15" x14ac:dyDescent="0.3">
      <c r="A1666" t="s">
        <v>1751</v>
      </c>
      <c r="B1666" t="s">
        <v>43</v>
      </c>
      <c r="C1666" t="s">
        <v>62</v>
      </c>
      <c r="D1666" t="s">
        <v>99</v>
      </c>
      <c r="E1666" t="s">
        <v>81</v>
      </c>
      <c r="F1666" s="1">
        <v>45759</v>
      </c>
      <c r="G1666">
        <v>1</v>
      </c>
      <c r="H1666">
        <v>1352.72</v>
      </c>
      <c r="I1666">
        <v>15</v>
      </c>
      <c r="J1666" t="s">
        <v>82</v>
      </c>
      <c r="K1666">
        <v>202.91</v>
      </c>
      <c r="L1666">
        <v>1352.72</v>
      </c>
      <c r="M1666">
        <v>1149.81</v>
      </c>
      <c r="N1666" t="s">
        <v>27</v>
      </c>
      <c r="O1666">
        <v>2025</v>
      </c>
    </row>
    <row r="1667" spans="1:15" x14ac:dyDescent="0.3">
      <c r="A1667" t="s">
        <v>1752</v>
      </c>
      <c r="B1667" t="s">
        <v>33</v>
      </c>
      <c r="C1667" t="s">
        <v>90</v>
      </c>
      <c r="D1667" t="s">
        <v>105</v>
      </c>
      <c r="E1667" t="s">
        <v>19</v>
      </c>
      <c r="F1667" s="1">
        <v>45358</v>
      </c>
      <c r="G1667">
        <v>7</v>
      </c>
      <c r="H1667">
        <v>3977.7</v>
      </c>
      <c r="I1667">
        <v>10</v>
      </c>
      <c r="J1667" t="s">
        <v>40</v>
      </c>
      <c r="K1667">
        <v>2784.39</v>
      </c>
      <c r="L1667">
        <v>27843.9</v>
      </c>
      <c r="M1667">
        <v>25059.51</v>
      </c>
      <c r="N1667" t="s">
        <v>83</v>
      </c>
      <c r="O1667">
        <v>2024</v>
      </c>
    </row>
    <row r="1668" spans="1:15" x14ac:dyDescent="0.3">
      <c r="A1668" t="s">
        <v>1753</v>
      </c>
      <c r="B1668" t="s">
        <v>61</v>
      </c>
      <c r="C1668" t="s">
        <v>34</v>
      </c>
      <c r="D1668" t="s">
        <v>80</v>
      </c>
      <c r="E1668" t="s">
        <v>30</v>
      </c>
      <c r="F1668" s="1">
        <v>45774</v>
      </c>
      <c r="G1668">
        <v>1</v>
      </c>
      <c r="H1668">
        <v>6826.96</v>
      </c>
      <c r="I1668">
        <v>10</v>
      </c>
      <c r="J1668" t="s">
        <v>31</v>
      </c>
      <c r="K1668">
        <v>682.7</v>
      </c>
      <c r="L1668">
        <v>6826.96</v>
      </c>
      <c r="M1668">
        <v>6144.26</v>
      </c>
      <c r="N1668" t="s">
        <v>27</v>
      </c>
      <c r="O1668">
        <v>2025</v>
      </c>
    </row>
    <row r="1669" spans="1:15" x14ac:dyDescent="0.3">
      <c r="A1669" t="s">
        <v>1754</v>
      </c>
      <c r="B1669" t="s">
        <v>53</v>
      </c>
      <c r="C1669" t="s">
        <v>62</v>
      </c>
      <c r="D1669" t="s">
        <v>95</v>
      </c>
      <c r="E1669" t="s">
        <v>44</v>
      </c>
      <c r="F1669" s="1">
        <v>45473</v>
      </c>
      <c r="G1669">
        <v>10</v>
      </c>
      <c r="H1669">
        <v>721.85</v>
      </c>
      <c r="I1669">
        <v>20</v>
      </c>
      <c r="J1669" t="s">
        <v>20</v>
      </c>
      <c r="K1669">
        <v>1443.7</v>
      </c>
      <c r="L1669">
        <v>7218.5</v>
      </c>
      <c r="M1669">
        <v>5774.8</v>
      </c>
      <c r="N1669" t="s">
        <v>72</v>
      </c>
      <c r="O1669">
        <v>2024</v>
      </c>
    </row>
    <row r="1670" spans="1:15" x14ac:dyDescent="0.3">
      <c r="A1670" t="s">
        <v>1755</v>
      </c>
      <c r="B1670" t="s">
        <v>16</v>
      </c>
      <c r="C1670" t="s">
        <v>34</v>
      </c>
      <c r="D1670" t="s">
        <v>85</v>
      </c>
      <c r="E1670" t="s">
        <v>56</v>
      </c>
      <c r="F1670" s="1">
        <v>45354</v>
      </c>
      <c r="G1670">
        <v>10</v>
      </c>
      <c r="H1670">
        <v>13207.14</v>
      </c>
      <c r="I1670">
        <v>10</v>
      </c>
      <c r="J1670" t="s">
        <v>26</v>
      </c>
      <c r="K1670">
        <v>13207.14</v>
      </c>
      <c r="L1670">
        <v>132071.4</v>
      </c>
      <c r="M1670">
        <v>118864.26</v>
      </c>
      <c r="N1670" t="s">
        <v>83</v>
      </c>
      <c r="O1670">
        <v>2024</v>
      </c>
    </row>
    <row r="1671" spans="1:15" x14ac:dyDescent="0.3">
      <c r="A1671" t="s">
        <v>1756</v>
      </c>
      <c r="B1671" t="s">
        <v>23</v>
      </c>
      <c r="C1671" t="s">
        <v>62</v>
      </c>
      <c r="D1671" t="s">
        <v>132</v>
      </c>
      <c r="E1671" t="s">
        <v>44</v>
      </c>
      <c r="F1671" s="1">
        <v>45721</v>
      </c>
      <c r="G1671">
        <v>3</v>
      </c>
      <c r="H1671">
        <v>2359.15</v>
      </c>
      <c r="I1671">
        <v>20</v>
      </c>
      <c r="J1671" t="s">
        <v>36</v>
      </c>
      <c r="K1671">
        <v>1415.49</v>
      </c>
      <c r="L1671">
        <v>7077.45</v>
      </c>
      <c r="M1671">
        <v>5661.96</v>
      </c>
      <c r="N1671" t="s">
        <v>83</v>
      </c>
      <c r="O1671">
        <v>2025</v>
      </c>
    </row>
    <row r="1672" spans="1:15" x14ac:dyDescent="0.3">
      <c r="A1672" t="s">
        <v>1757</v>
      </c>
      <c r="B1672" t="s">
        <v>33</v>
      </c>
      <c r="C1672" t="s">
        <v>34</v>
      </c>
      <c r="D1672" t="s">
        <v>85</v>
      </c>
      <c r="E1672" t="s">
        <v>25</v>
      </c>
      <c r="F1672" s="1">
        <v>45322</v>
      </c>
      <c r="G1672">
        <v>8</v>
      </c>
      <c r="H1672">
        <v>11412.23</v>
      </c>
      <c r="I1672">
        <v>15</v>
      </c>
      <c r="J1672" t="s">
        <v>36</v>
      </c>
      <c r="K1672">
        <v>13694.68</v>
      </c>
      <c r="L1672">
        <v>91297.84</v>
      </c>
      <c r="M1672">
        <v>77603.16</v>
      </c>
      <c r="N1672" t="s">
        <v>116</v>
      </c>
      <c r="O1672">
        <v>2024</v>
      </c>
    </row>
    <row r="1673" spans="1:15" x14ac:dyDescent="0.3">
      <c r="A1673" t="s">
        <v>1758</v>
      </c>
      <c r="B1673" t="s">
        <v>93</v>
      </c>
      <c r="C1673" t="s">
        <v>62</v>
      </c>
      <c r="D1673" t="s">
        <v>119</v>
      </c>
      <c r="E1673" t="s">
        <v>19</v>
      </c>
      <c r="F1673" s="1">
        <v>45318</v>
      </c>
      <c r="G1673">
        <v>6</v>
      </c>
      <c r="H1673">
        <v>3174.93</v>
      </c>
      <c r="I1673">
        <v>15</v>
      </c>
      <c r="J1673" t="s">
        <v>26</v>
      </c>
      <c r="K1673">
        <v>2857.44</v>
      </c>
      <c r="L1673">
        <v>19049.580000000002</v>
      </c>
      <c r="M1673">
        <v>16192.14</v>
      </c>
      <c r="N1673" t="s">
        <v>116</v>
      </c>
      <c r="O1673">
        <v>2024</v>
      </c>
    </row>
    <row r="1674" spans="1:15" x14ac:dyDescent="0.3">
      <c r="A1674" t="s">
        <v>1759</v>
      </c>
      <c r="B1674" t="s">
        <v>114</v>
      </c>
      <c r="C1674" t="s">
        <v>17</v>
      </c>
      <c r="D1674" t="s">
        <v>59</v>
      </c>
      <c r="E1674" t="s">
        <v>56</v>
      </c>
      <c r="F1674" s="1">
        <v>45844</v>
      </c>
      <c r="G1674">
        <v>7</v>
      </c>
      <c r="H1674">
        <v>27265.64</v>
      </c>
      <c r="I1674">
        <v>20</v>
      </c>
      <c r="J1674" t="s">
        <v>26</v>
      </c>
      <c r="K1674">
        <v>38171.9</v>
      </c>
      <c r="L1674">
        <v>190859.48</v>
      </c>
      <c r="M1674">
        <v>152687.57999999999</v>
      </c>
      <c r="N1674" t="s">
        <v>122</v>
      </c>
      <c r="O1674">
        <v>2025</v>
      </c>
    </row>
    <row r="1675" spans="1:15" x14ac:dyDescent="0.3">
      <c r="A1675" t="s">
        <v>1760</v>
      </c>
      <c r="B1675" t="s">
        <v>47</v>
      </c>
      <c r="C1675" t="s">
        <v>34</v>
      </c>
      <c r="D1675" t="s">
        <v>85</v>
      </c>
      <c r="E1675" t="s">
        <v>25</v>
      </c>
      <c r="F1675" s="1">
        <v>45520</v>
      </c>
      <c r="G1675">
        <v>2</v>
      </c>
      <c r="H1675">
        <v>12059.65</v>
      </c>
      <c r="I1675">
        <v>0</v>
      </c>
      <c r="J1675" t="s">
        <v>45</v>
      </c>
      <c r="K1675">
        <v>0</v>
      </c>
      <c r="L1675">
        <v>24119.3</v>
      </c>
      <c r="M1675">
        <v>24119.3</v>
      </c>
      <c r="N1675" t="s">
        <v>21</v>
      </c>
      <c r="O1675">
        <v>2024</v>
      </c>
    </row>
    <row r="1676" spans="1:15" x14ac:dyDescent="0.3">
      <c r="A1676" t="s">
        <v>1761</v>
      </c>
      <c r="B1676" t="s">
        <v>89</v>
      </c>
      <c r="C1676" t="s">
        <v>17</v>
      </c>
      <c r="D1676" t="s">
        <v>157</v>
      </c>
      <c r="E1676" t="s">
        <v>56</v>
      </c>
      <c r="F1676" s="1">
        <v>45429</v>
      </c>
      <c r="G1676">
        <v>10</v>
      </c>
      <c r="H1676">
        <v>7716.49</v>
      </c>
      <c r="I1676">
        <v>0</v>
      </c>
      <c r="J1676" t="s">
        <v>71</v>
      </c>
      <c r="K1676">
        <v>0</v>
      </c>
      <c r="L1676">
        <v>77164.899999999994</v>
      </c>
      <c r="M1676">
        <v>77164.899999999994</v>
      </c>
      <c r="N1676" t="s">
        <v>101</v>
      </c>
      <c r="O1676">
        <v>2024</v>
      </c>
    </row>
    <row r="1677" spans="1:15" x14ac:dyDescent="0.3">
      <c r="A1677" t="s">
        <v>1762</v>
      </c>
      <c r="B1677" t="s">
        <v>89</v>
      </c>
      <c r="C1677" t="s">
        <v>62</v>
      </c>
      <c r="D1677" t="s">
        <v>99</v>
      </c>
      <c r="E1677" t="s">
        <v>19</v>
      </c>
      <c r="F1677" s="1">
        <v>45622</v>
      </c>
      <c r="G1677">
        <v>9</v>
      </c>
      <c r="H1677">
        <v>1635.8</v>
      </c>
      <c r="I1677">
        <v>20</v>
      </c>
      <c r="J1677" t="s">
        <v>36</v>
      </c>
      <c r="K1677">
        <v>2944.44</v>
      </c>
      <c r="L1677">
        <v>14722.2</v>
      </c>
      <c r="M1677">
        <v>11777.76</v>
      </c>
      <c r="N1677" t="s">
        <v>96</v>
      </c>
      <c r="O1677">
        <v>2024</v>
      </c>
    </row>
    <row r="1678" spans="1:15" x14ac:dyDescent="0.3">
      <c r="A1678" t="s">
        <v>1763</v>
      </c>
      <c r="B1678" t="s">
        <v>89</v>
      </c>
      <c r="C1678" t="s">
        <v>17</v>
      </c>
      <c r="D1678" t="s">
        <v>157</v>
      </c>
      <c r="E1678" t="s">
        <v>30</v>
      </c>
      <c r="F1678" s="1">
        <v>45420</v>
      </c>
      <c r="G1678">
        <v>4</v>
      </c>
      <c r="H1678">
        <v>7200.78</v>
      </c>
      <c r="I1678">
        <v>5</v>
      </c>
      <c r="J1678" t="s">
        <v>20</v>
      </c>
      <c r="K1678">
        <v>1440.16</v>
      </c>
      <c r="L1678">
        <v>28803.119999999999</v>
      </c>
      <c r="M1678">
        <v>27362.959999999999</v>
      </c>
      <c r="N1678" t="s">
        <v>101</v>
      </c>
      <c r="O1678">
        <v>2024</v>
      </c>
    </row>
    <row r="1679" spans="1:15" x14ac:dyDescent="0.3">
      <c r="A1679" t="s">
        <v>1764</v>
      </c>
      <c r="B1679" t="s">
        <v>16</v>
      </c>
      <c r="C1679" t="s">
        <v>34</v>
      </c>
      <c r="D1679" t="s">
        <v>80</v>
      </c>
      <c r="E1679" t="s">
        <v>25</v>
      </c>
      <c r="F1679" s="1">
        <v>45581</v>
      </c>
      <c r="G1679">
        <v>10</v>
      </c>
      <c r="H1679">
        <v>6113.63</v>
      </c>
      <c r="I1679">
        <v>5</v>
      </c>
      <c r="J1679" t="s">
        <v>31</v>
      </c>
      <c r="K1679">
        <v>3056.82</v>
      </c>
      <c r="L1679">
        <v>61136.3</v>
      </c>
      <c r="M1679">
        <v>58079.48</v>
      </c>
      <c r="N1679" t="s">
        <v>57</v>
      </c>
      <c r="O1679">
        <v>2024</v>
      </c>
    </row>
    <row r="1680" spans="1:15" x14ac:dyDescent="0.3">
      <c r="A1680" t="s">
        <v>1765</v>
      </c>
      <c r="B1680" t="s">
        <v>16</v>
      </c>
      <c r="C1680" t="s">
        <v>62</v>
      </c>
      <c r="D1680" t="s">
        <v>63</v>
      </c>
      <c r="E1680" t="s">
        <v>30</v>
      </c>
      <c r="F1680" s="1">
        <v>45628</v>
      </c>
      <c r="G1680">
        <v>8</v>
      </c>
      <c r="H1680">
        <v>2112.84</v>
      </c>
      <c r="I1680">
        <v>20</v>
      </c>
      <c r="J1680" t="s">
        <v>40</v>
      </c>
      <c r="K1680">
        <v>3380.54</v>
      </c>
      <c r="L1680">
        <v>16902.72</v>
      </c>
      <c r="M1680">
        <v>13522.18</v>
      </c>
      <c r="N1680" t="s">
        <v>51</v>
      </c>
      <c r="O1680">
        <v>2024</v>
      </c>
    </row>
    <row r="1681" spans="1:15" x14ac:dyDescent="0.3">
      <c r="A1681" t="s">
        <v>1766</v>
      </c>
      <c r="B1681" t="s">
        <v>114</v>
      </c>
      <c r="C1681" t="s">
        <v>54</v>
      </c>
      <c r="D1681" t="s">
        <v>77</v>
      </c>
      <c r="E1681" t="s">
        <v>19</v>
      </c>
      <c r="F1681" s="1">
        <v>45627</v>
      </c>
      <c r="G1681">
        <v>7</v>
      </c>
      <c r="H1681">
        <v>5465.31</v>
      </c>
      <c r="I1681">
        <v>5</v>
      </c>
      <c r="J1681" t="s">
        <v>36</v>
      </c>
      <c r="K1681">
        <v>1912.86</v>
      </c>
      <c r="L1681">
        <v>38257.17</v>
      </c>
      <c r="M1681">
        <v>36344.31</v>
      </c>
      <c r="N1681" t="s">
        <v>51</v>
      </c>
      <c r="O1681">
        <v>2024</v>
      </c>
    </row>
    <row r="1682" spans="1:15" x14ac:dyDescent="0.3">
      <c r="A1682" t="s">
        <v>1767</v>
      </c>
      <c r="B1682" t="s">
        <v>16</v>
      </c>
      <c r="C1682" t="s">
        <v>54</v>
      </c>
      <c r="D1682" t="s">
        <v>70</v>
      </c>
      <c r="E1682" t="s">
        <v>44</v>
      </c>
      <c r="F1682" s="1">
        <v>45939</v>
      </c>
      <c r="G1682">
        <v>1</v>
      </c>
      <c r="H1682">
        <v>3021.01</v>
      </c>
      <c r="I1682">
        <v>5</v>
      </c>
      <c r="J1682" t="s">
        <v>31</v>
      </c>
      <c r="K1682">
        <v>151.05000000000001</v>
      </c>
      <c r="L1682">
        <v>3021.01</v>
      </c>
      <c r="M1682">
        <v>2869.96</v>
      </c>
      <c r="N1682" t="s">
        <v>57</v>
      </c>
      <c r="O1682">
        <v>2025</v>
      </c>
    </row>
    <row r="1683" spans="1:15" x14ac:dyDescent="0.3">
      <c r="A1683" t="s">
        <v>1768</v>
      </c>
      <c r="B1683" t="s">
        <v>61</v>
      </c>
      <c r="C1683" t="s">
        <v>17</v>
      </c>
      <c r="D1683" t="s">
        <v>59</v>
      </c>
      <c r="E1683" t="s">
        <v>25</v>
      </c>
      <c r="F1683" s="1">
        <v>45457</v>
      </c>
      <c r="G1683">
        <v>7</v>
      </c>
      <c r="H1683">
        <v>24515.83</v>
      </c>
      <c r="I1683">
        <v>20</v>
      </c>
      <c r="J1683" t="s">
        <v>20</v>
      </c>
      <c r="K1683">
        <v>34322.160000000003</v>
      </c>
      <c r="L1683">
        <v>171610.81</v>
      </c>
      <c r="M1683">
        <v>137288.65</v>
      </c>
      <c r="N1683" t="s">
        <v>72</v>
      </c>
      <c r="O1683">
        <v>2024</v>
      </c>
    </row>
    <row r="1684" spans="1:15" x14ac:dyDescent="0.3">
      <c r="A1684" t="s">
        <v>1769</v>
      </c>
      <c r="B1684" t="s">
        <v>38</v>
      </c>
      <c r="C1684" t="s">
        <v>90</v>
      </c>
      <c r="D1684" t="s">
        <v>152</v>
      </c>
      <c r="E1684" t="s">
        <v>19</v>
      </c>
      <c r="F1684" s="1">
        <v>45935</v>
      </c>
      <c r="G1684">
        <v>10</v>
      </c>
      <c r="H1684">
        <v>11015.56</v>
      </c>
      <c r="I1684">
        <v>5</v>
      </c>
      <c r="J1684" t="s">
        <v>20</v>
      </c>
      <c r="K1684">
        <v>5507.78</v>
      </c>
      <c r="L1684">
        <v>110155.6</v>
      </c>
      <c r="M1684">
        <v>104647.82</v>
      </c>
      <c r="N1684" t="s">
        <v>57</v>
      </c>
      <c r="O1684">
        <v>2025</v>
      </c>
    </row>
    <row r="1685" spans="1:15" x14ac:dyDescent="0.3">
      <c r="A1685" t="s">
        <v>1770</v>
      </c>
      <c r="B1685" t="s">
        <v>43</v>
      </c>
      <c r="C1685" t="s">
        <v>90</v>
      </c>
      <c r="D1685" t="s">
        <v>91</v>
      </c>
      <c r="E1685" t="s">
        <v>81</v>
      </c>
      <c r="F1685" s="1">
        <v>45412</v>
      </c>
      <c r="G1685">
        <v>5</v>
      </c>
      <c r="H1685">
        <v>1595.8</v>
      </c>
      <c r="I1685">
        <v>20</v>
      </c>
      <c r="J1685" t="s">
        <v>71</v>
      </c>
      <c r="K1685">
        <v>1595.8</v>
      </c>
      <c r="L1685">
        <v>7979</v>
      </c>
      <c r="M1685">
        <v>6383.2</v>
      </c>
      <c r="N1685" t="s">
        <v>27</v>
      </c>
      <c r="O1685">
        <v>2024</v>
      </c>
    </row>
    <row r="1686" spans="1:15" x14ac:dyDescent="0.3">
      <c r="A1686" t="s">
        <v>1771</v>
      </c>
      <c r="B1686" t="s">
        <v>114</v>
      </c>
      <c r="C1686" t="s">
        <v>62</v>
      </c>
      <c r="D1686" t="s">
        <v>119</v>
      </c>
      <c r="E1686" t="s">
        <v>50</v>
      </c>
      <c r="F1686" s="1">
        <v>45641</v>
      </c>
      <c r="G1686">
        <v>8</v>
      </c>
      <c r="H1686">
        <v>4208.0600000000004</v>
      </c>
      <c r="I1686">
        <v>15</v>
      </c>
      <c r="J1686" t="s">
        <v>40</v>
      </c>
      <c r="K1686">
        <v>5049.67</v>
      </c>
      <c r="L1686">
        <v>33664.480000000003</v>
      </c>
      <c r="M1686">
        <v>28614.81</v>
      </c>
      <c r="N1686" t="s">
        <v>51</v>
      </c>
      <c r="O1686">
        <v>2024</v>
      </c>
    </row>
    <row r="1687" spans="1:15" x14ac:dyDescent="0.3">
      <c r="A1687" t="s">
        <v>1772</v>
      </c>
      <c r="B1687" t="s">
        <v>74</v>
      </c>
      <c r="C1687" t="s">
        <v>17</v>
      </c>
      <c r="D1687" t="s">
        <v>39</v>
      </c>
      <c r="E1687" t="s">
        <v>81</v>
      </c>
      <c r="F1687" s="1">
        <v>45356</v>
      </c>
      <c r="G1687">
        <v>6</v>
      </c>
      <c r="H1687">
        <v>18119.32</v>
      </c>
      <c r="I1687">
        <v>0</v>
      </c>
      <c r="J1687" t="s">
        <v>40</v>
      </c>
      <c r="K1687">
        <v>0</v>
      </c>
      <c r="L1687">
        <v>108715.92</v>
      </c>
      <c r="M1687">
        <v>108715.92</v>
      </c>
      <c r="N1687" t="s">
        <v>83</v>
      </c>
      <c r="O1687">
        <v>2024</v>
      </c>
    </row>
    <row r="1688" spans="1:15" x14ac:dyDescent="0.3">
      <c r="A1688" t="s">
        <v>1773</v>
      </c>
      <c r="B1688" t="s">
        <v>47</v>
      </c>
      <c r="C1688" t="s">
        <v>54</v>
      </c>
      <c r="D1688" t="s">
        <v>55</v>
      </c>
      <c r="E1688" t="s">
        <v>50</v>
      </c>
      <c r="F1688" s="1">
        <v>45405</v>
      </c>
      <c r="G1688">
        <v>2</v>
      </c>
      <c r="H1688">
        <v>1245.1400000000001</v>
      </c>
      <c r="I1688">
        <v>10</v>
      </c>
      <c r="J1688" t="s">
        <v>71</v>
      </c>
      <c r="K1688">
        <v>249.03</v>
      </c>
      <c r="L1688">
        <v>2490.2800000000002</v>
      </c>
      <c r="M1688">
        <v>2241.25</v>
      </c>
      <c r="N1688" t="s">
        <v>27</v>
      </c>
      <c r="O1688">
        <v>2024</v>
      </c>
    </row>
    <row r="1689" spans="1:15" x14ac:dyDescent="0.3">
      <c r="A1689" t="s">
        <v>1774</v>
      </c>
      <c r="B1689" t="s">
        <v>43</v>
      </c>
      <c r="C1689" t="s">
        <v>34</v>
      </c>
      <c r="D1689" t="s">
        <v>48</v>
      </c>
      <c r="E1689" t="s">
        <v>56</v>
      </c>
      <c r="F1689" s="1">
        <v>45858</v>
      </c>
      <c r="G1689">
        <v>2</v>
      </c>
      <c r="H1689">
        <v>9132.59</v>
      </c>
      <c r="I1689">
        <v>20</v>
      </c>
      <c r="J1689" t="s">
        <v>31</v>
      </c>
      <c r="K1689">
        <v>3653.04</v>
      </c>
      <c r="L1689">
        <v>18265.18</v>
      </c>
      <c r="M1689">
        <v>14612.14</v>
      </c>
      <c r="N1689" t="s">
        <v>122</v>
      </c>
      <c r="O1689">
        <v>2025</v>
      </c>
    </row>
    <row r="1690" spans="1:15" x14ac:dyDescent="0.3">
      <c r="A1690" t="s">
        <v>1775</v>
      </c>
      <c r="B1690" t="s">
        <v>38</v>
      </c>
      <c r="C1690" t="s">
        <v>34</v>
      </c>
      <c r="D1690" t="s">
        <v>35</v>
      </c>
      <c r="E1690" t="s">
        <v>81</v>
      </c>
      <c r="F1690" s="1">
        <v>45437</v>
      </c>
      <c r="G1690">
        <v>4</v>
      </c>
      <c r="H1690">
        <v>27349.45</v>
      </c>
      <c r="I1690">
        <v>5</v>
      </c>
      <c r="J1690" t="s">
        <v>20</v>
      </c>
      <c r="K1690">
        <v>5469.89</v>
      </c>
      <c r="L1690">
        <v>109397.8</v>
      </c>
      <c r="M1690">
        <v>103927.91</v>
      </c>
      <c r="N1690" t="s">
        <v>101</v>
      </c>
      <c r="O1690">
        <v>2024</v>
      </c>
    </row>
    <row r="1691" spans="1:15" x14ac:dyDescent="0.3">
      <c r="A1691" t="s">
        <v>1776</v>
      </c>
      <c r="B1691" t="s">
        <v>93</v>
      </c>
      <c r="C1691" t="s">
        <v>62</v>
      </c>
      <c r="D1691" t="s">
        <v>132</v>
      </c>
      <c r="E1691" t="s">
        <v>44</v>
      </c>
      <c r="F1691" s="1">
        <v>45868</v>
      </c>
      <c r="G1691">
        <v>9</v>
      </c>
      <c r="H1691">
        <v>2578.15</v>
      </c>
      <c r="I1691">
        <v>20</v>
      </c>
      <c r="J1691" t="s">
        <v>36</v>
      </c>
      <c r="K1691">
        <v>4640.67</v>
      </c>
      <c r="L1691">
        <v>23203.35</v>
      </c>
      <c r="M1691">
        <v>18562.68</v>
      </c>
      <c r="N1691" t="s">
        <v>122</v>
      </c>
      <c r="O1691">
        <v>2025</v>
      </c>
    </row>
    <row r="1692" spans="1:15" x14ac:dyDescent="0.3">
      <c r="A1692" t="s">
        <v>1777</v>
      </c>
      <c r="B1692" t="s">
        <v>29</v>
      </c>
      <c r="C1692" t="s">
        <v>62</v>
      </c>
      <c r="D1692" t="s">
        <v>132</v>
      </c>
      <c r="E1692" t="s">
        <v>30</v>
      </c>
      <c r="F1692" s="1">
        <v>45675</v>
      </c>
      <c r="G1692">
        <v>3</v>
      </c>
      <c r="H1692">
        <v>2312.59</v>
      </c>
      <c r="I1692">
        <v>5</v>
      </c>
      <c r="J1692" t="s">
        <v>36</v>
      </c>
      <c r="K1692">
        <v>346.89</v>
      </c>
      <c r="L1692">
        <v>6937.77</v>
      </c>
      <c r="M1692">
        <v>6590.88</v>
      </c>
      <c r="N1692" t="s">
        <v>116</v>
      </c>
      <c r="O1692">
        <v>2025</v>
      </c>
    </row>
    <row r="1693" spans="1:15" x14ac:dyDescent="0.3">
      <c r="A1693" t="s">
        <v>1778</v>
      </c>
      <c r="B1693" t="s">
        <v>38</v>
      </c>
      <c r="C1693" t="s">
        <v>54</v>
      </c>
      <c r="D1693" t="s">
        <v>55</v>
      </c>
      <c r="E1693" t="s">
        <v>44</v>
      </c>
      <c r="F1693" s="1">
        <v>45845</v>
      </c>
      <c r="G1693">
        <v>10</v>
      </c>
      <c r="H1693">
        <v>1207.2</v>
      </c>
      <c r="I1693">
        <v>5</v>
      </c>
      <c r="J1693" t="s">
        <v>36</v>
      </c>
      <c r="K1693">
        <v>603.6</v>
      </c>
      <c r="L1693">
        <v>12072</v>
      </c>
      <c r="M1693">
        <v>11468.4</v>
      </c>
      <c r="N1693" t="s">
        <v>122</v>
      </c>
      <c r="O1693">
        <v>2025</v>
      </c>
    </row>
    <row r="1694" spans="1:15" x14ac:dyDescent="0.3">
      <c r="A1694" t="s">
        <v>1779</v>
      </c>
      <c r="B1694" t="s">
        <v>23</v>
      </c>
      <c r="C1694" t="s">
        <v>62</v>
      </c>
      <c r="D1694" t="s">
        <v>95</v>
      </c>
      <c r="E1694" t="s">
        <v>19</v>
      </c>
      <c r="F1694" s="1">
        <v>45826</v>
      </c>
      <c r="G1694">
        <v>7</v>
      </c>
      <c r="H1694">
        <v>898.75</v>
      </c>
      <c r="I1694">
        <v>15</v>
      </c>
      <c r="J1694" t="s">
        <v>31</v>
      </c>
      <c r="K1694">
        <v>943.69</v>
      </c>
      <c r="L1694">
        <v>6291.25</v>
      </c>
      <c r="M1694">
        <v>5347.56</v>
      </c>
      <c r="N1694" t="s">
        <v>72</v>
      </c>
      <c r="O1694">
        <v>2025</v>
      </c>
    </row>
    <row r="1695" spans="1:15" x14ac:dyDescent="0.3">
      <c r="A1695" t="s">
        <v>1780</v>
      </c>
      <c r="B1695" t="s">
        <v>16</v>
      </c>
      <c r="C1695" t="s">
        <v>62</v>
      </c>
      <c r="D1695" t="s">
        <v>63</v>
      </c>
      <c r="E1695" t="s">
        <v>19</v>
      </c>
      <c r="F1695" s="1">
        <v>45368</v>
      </c>
      <c r="G1695">
        <v>5</v>
      </c>
      <c r="H1695">
        <v>1938.75</v>
      </c>
      <c r="I1695">
        <v>10</v>
      </c>
      <c r="J1695" t="s">
        <v>26</v>
      </c>
      <c r="K1695">
        <v>969.38</v>
      </c>
      <c r="L1695">
        <v>9693.75</v>
      </c>
      <c r="M1695">
        <v>8724.3700000000008</v>
      </c>
      <c r="N1695" t="s">
        <v>83</v>
      </c>
      <c r="O1695">
        <v>2024</v>
      </c>
    </row>
    <row r="1696" spans="1:15" x14ac:dyDescent="0.3">
      <c r="A1696" t="s">
        <v>1781</v>
      </c>
      <c r="B1696" t="s">
        <v>93</v>
      </c>
      <c r="C1696" t="s">
        <v>34</v>
      </c>
      <c r="D1696" t="s">
        <v>66</v>
      </c>
      <c r="E1696" t="s">
        <v>25</v>
      </c>
      <c r="F1696" s="1">
        <v>45712</v>
      </c>
      <c r="G1696">
        <v>3</v>
      </c>
      <c r="H1696">
        <v>37437.919999999998</v>
      </c>
      <c r="I1696">
        <v>5</v>
      </c>
      <c r="J1696" t="s">
        <v>26</v>
      </c>
      <c r="K1696">
        <v>5615.69</v>
      </c>
      <c r="L1696">
        <v>112313.76</v>
      </c>
      <c r="M1696">
        <v>106698.07</v>
      </c>
      <c r="N1696" t="s">
        <v>41</v>
      </c>
      <c r="O1696">
        <v>2025</v>
      </c>
    </row>
    <row r="1697" spans="1:15" x14ac:dyDescent="0.3">
      <c r="A1697" t="s">
        <v>1782</v>
      </c>
      <c r="B1697" t="s">
        <v>74</v>
      </c>
      <c r="C1697" t="s">
        <v>34</v>
      </c>
      <c r="D1697" t="s">
        <v>35</v>
      </c>
      <c r="E1697" t="s">
        <v>50</v>
      </c>
      <c r="F1697" s="1">
        <v>45692</v>
      </c>
      <c r="G1697">
        <v>10</v>
      </c>
      <c r="H1697">
        <v>23708.57</v>
      </c>
      <c r="I1697">
        <v>10</v>
      </c>
      <c r="J1697" t="s">
        <v>31</v>
      </c>
      <c r="K1697">
        <v>23708.57</v>
      </c>
      <c r="L1697">
        <v>237085.7</v>
      </c>
      <c r="M1697">
        <v>213377.13</v>
      </c>
      <c r="N1697" t="s">
        <v>41</v>
      </c>
      <c r="O1697">
        <v>2025</v>
      </c>
    </row>
    <row r="1698" spans="1:15" x14ac:dyDescent="0.3">
      <c r="A1698" t="s">
        <v>1783</v>
      </c>
      <c r="B1698" t="s">
        <v>43</v>
      </c>
      <c r="C1698" t="s">
        <v>17</v>
      </c>
      <c r="D1698" t="s">
        <v>59</v>
      </c>
      <c r="E1698" t="s">
        <v>50</v>
      </c>
      <c r="F1698" s="1">
        <v>45418</v>
      </c>
      <c r="G1698">
        <v>10</v>
      </c>
      <c r="H1698">
        <v>28402.13</v>
      </c>
      <c r="I1698">
        <v>5</v>
      </c>
      <c r="J1698" t="s">
        <v>31</v>
      </c>
      <c r="K1698">
        <v>14201.07</v>
      </c>
      <c r="L1698">
        <v>284021.3</v>
      </c>
      <c r="M1698">
        <v>269820.23</v>
      </c>
      <c r="N1698" t="s">
        <v>101</v>
      </c>
      <c r="O1698">
        <v>2024</v>
      </c>
    </row>
    <row r="1699" spans="1:15" x14ac:dyDescent="0.3">
      <c r="A1699" t="s">
        <v>1784</v>
      </c>
      <c r="B1699" t="s">
        <v>53</v>
      </c>
      <c r="C1699" t="s">
        <v>34</v>
      </c>
      <c r="D1699" t="s">
        <v>35</v>
      </c>
      <c r="E1699" t="s">
        <v>30</v>
      </c>
      <c r="F1699" s="1">
        <v>45627</v>
      </c>
      <c r="G1699">
        <v>1</v>
      </c>
      <c r="H1699">
        <v>29127.7</v>
      </c>
      <c r="I1699">
        <v>20</v>
      </c>
      <c r="J1699" t="s">
        <v>40</v>
      </c>
      <c r="K1699">
        <v>5825.54</v>
      </c>
      <c r="L1699">
        <v>29127.7</v>
      </c>
      <c r="M1699">
        <v>23302.16</v>
      </c>
      <c r="N1699" t="s">
        <v>51</v>
      </c>
      <c r="O1699">
        <v>2024</v>
      </c>
    </row>
    <row r="1700" spans="1:15" x14ac:dyDescent="0.3">
      <c r="A1700" t="s">
        <v>1785</v>
      </c>
      <c r="B1700" t="s">
        <v>47</v>
      </c>
      <c r="C1700" t="s">
        <v>62</v>
      </c>
      <c r="D1700" t="s">
        <v>132</v>
      </c>
      <c r="E1700" t="s">
        <v>44</v>
      </c>
      <c r="F1700" s="1">
        <v>45529</v>
      </c>
      <c r="G1700">
        <v>8</v>
      </c>
      <c r="H1700">
        <v>2436.7600000000002</v>
      </c>
      <c r="I1700">
        <v>0</v>
      </c>
      <c r="J1700" t="s">
        <v>71</v>
      </c>
      <c r="K1700">
        <v>0</v>
      </c>
      <c r="L1700">
        <v>19494.080000000002</v>
      </c>
      <c r="M1700">
        <v>19494.080000000002</v>
      </c>
      <c r="N1700" t="s">
        <v>21</v>
      </c>
      <c r="O1700">
        <v>2024</v>
      </c>
    </row>
    <row r="1701" spans="1:15" x14ac:dyDescent="0.3">
      <c r="A1701" t="s">
        <v>1786</v>
      </c>
      <c r="B1701" t="s">
        <v>89</v>
      </c>
      <c r="C1701" t="s">
        <v>54</v>
      </c>
      <c r="D1701" t="s">
        <v>77</v>
      </c>
      <c r="E1701" t="s">
        <v>50</v>
      </c>
      <c r="F1701" s="1">
        <v>45641</v>
      </c>
      <c r="G1701">
        <v>5</v>
      </c>
      <c r="H1701">
        <v>6255.55</v>
      </c>
      <c r="I1701">
        <v>0</v>
      </c>
      <c r="J1701" t="s">
        <v>82</v>
      </c>
      <c r="K1701">
        <v>0</v>
      </c>
      <c r="L1701">
        <v>31277.75</v>
      </c>
      <c r="M1701">
        <v>31277.75</v>
      </c>
      <c r="N1701" t="s">
        <v>51</v>
      </c>
      <c r="O1701">
        <v>2024</v>
      </c>
    </row>
    <row r="1702" spans="1:15" x14ac:dyDescent="0.3">
      <c r="A1702" t="s">
        <v>1787</v>
      </c>
      <c r="B1702" t="s">
        <v>47</v>
      </c>
      <c r="C1702" t="s">
        <v>90</v>
      </c>
      <c r="D1702" t="s">
        <v>115</v>
      </c>
      <c r="E1702" t="s">
        <v>30</v>
      </c>
      <c r="F1702" s="1">
        <v>45728</v>
      </c>
      <c r="G1702">
        <v>10</v>
      </c>
      <c r="H1702">
        <v>7536.91</v>
      </c>
      <c r="I1702">
        <v>15</v>
      </c>
      <c r="J1702" t="s">
        <v>71</v>
      </c>
      <c r="K1702">
        <v>11305.36</v>
      </c>
      <c r="L1702">
        <v>75369.100000000006</v>
      </c>
      <c r="M1702">
        <v>64063.74</v>
      </c>
      <c r="N1702" t="s">
        <v>83</v>
      </c>
      <c r="O1702">
        <v>2025</v>
      </c>
    </row>
    <row r="1703" spans="1:15" x14ac:dyDescent="0.3">
      <c r="A1703" t="s">
        <v>1788</v>
      </c>
      <c r="B1703" t="s">
        <v>65</v>
      </c>
      <c r="C1703" t="s">
        <v>62</v>
      </c>
      <c r="D1703" t="s">
        <v>63</v>
      </c>
      <c r="E1703" t="s">
        <v>25</v>
      </c>
      <c r="F1703" s="1">
        <v>45909</v>
      </c>
      <c r="G1703">
        <v>10</v>
      </c>
      <c r="H1703">
        <v>2009.29</v>
      </c>
      <c r="I1703">
        <v>5</v>
      </c>
      <c r="J1703" t="s">
        <v>82</v>
      </c>
      <c r="K1703">
        <v>1004.65</v>
      </c>
      <c r="L1703">
        <v>20092.900000000001</v>
      </c>
      <c r="M1703">
        <v>19088.25</v>
      </c>
      <c r="N1703" t="s">
        <v>86</v>
      </c>
      <c r="O1703">
        <v>2025</v>
      </c>
    </row>
    <row r="1704" spans="1:15" x14ac:dyDescent="0.3">
      <c r="A1704" t="s">
        <v>1789</v>
      </c>
      <c r="B1704" t="s">
        <v>23</v>
      </c>
      <c r="C1704" t="s">
        <v>90</v>
      </c>
      <c r="D1704" t="s">
        <v>152</v>
      </c>
      <c r="E1704" t="s">
        <v>25</v>
      </c>
      <c r="F1704" s="1">
        <v>45578</v>
      </c>
      <c r="G1704">
        <v>5</v>
      </c>
      <c r="H1704">
        <v>12388.01</v>
      </c>
      <c r="I1704">
        <v>20</v>
      </c>
      <c r="J1704" t="s">
        <v>82</v>
      </c>
      <c r="K1704">
        <v>12388.01</v>
      </c>
      <c r="L1704">
        <v>61940.05</v>
      </c>
      <c r="M1704">
        <v>49552.04</v>
      </c>
      <c r="N1704" t="s">
        <v>57</v>
      </c>
      <c r="O1704">
        <v>2024</v>
      </c>
    </row>
    <row r="1705" spans="1:15" x14ac:dyDescent="0.3">
      <c r="A1705" t="s">
        <v>1790</v>
      </c>
      <c r="B1705" t="s">
        <v>61</v>
      </c>
      <c r="C1705" t="s">
        <v>62</v>
      </c>
      <c r="D1705" t="s">
        <v>99</v>
      </c>
      <c r="E1705" t="s">
        <v>44</v>
      </c>
      <c r="F1705" s="1">
        <v>45657</v>
      </c>
      <c r="G1705">
        <v>2</v>
      </c>
      <c r="H1705">
        <v>1490.33</v>
      </c>
      <c r="I1705">
        <v>15</v>
      </c>
      <c r="J1705" t="s">
        <v>40</v>
      </c>
      <c r="K1705">
        <v>447.1</v>
      </c>
      <c r="L1705">
        <v>2980.66</v>
      </c>
      <c r="M1705">
        <v>2533.56</v>
      </c>
      <c r="N1705" t="s">
        <v>51</v>
      </c>
      <c r="O1705">
        <v>2024</v>
      </c>
    </row>
    <row r="1706" spans="1:15" x14ac:dyDescent="0.3">
      <c r="A1706" t="s">
        <v>1791</v>
      </c>
      <c r="B1706" t="s">
        <v>89</v>
      </c>
      <c r="C1706" t="s">
        <v>34</v>
      </c>
      <c r="D1706" t="s">
        <v>66</v>
      </c>
      <c r="E1706" t="s">
        <v>50</v>
      </c>
      <c r="F1706" s="1">
        <v>45973</v>
      </c>
      <c r="G1706">
        <v>5</v>
      </c>
      <c r="H1706">
        <v>40743.620000000003</v>
      </c>
      <c r="I1706">
        <v>15</v>
      </c>
      <c r="J1706" t="s">
        <v>31</v>
      </c>
      <c r="K1706">
        <v>30557.72</v>
      </c>
      <c r="L1706">
        <v>203718.1</v>
      </c>
      <c r="M1706">
        <v>173160.38</v>
      </c>
      <c r="N1706" t="s">
        <v>96</v>
      </c>
      <c r="O1706">
        <v>2025</v>
      </c>
    </row>
    <row r="1707" spans="1:15" x14ac:dyDescent="0.3">
      <c r="A1707" t="s">
        <v>1792</v>
      </c>
      <c r="B1707" t="s">
        <v>38</v>
      </c>
      <c r="C1707" t="s">
        <v>54</v>
      </c>
      <c r="D1707" t="s">
        <v>77</v>
      </c>
      <c r="E1707" t="s">
        <v>81</v>
      </c>
      <c r="F1707" s="1">
        <v>45913</v>
      </c>
      <c r="G1707">
        <v>9</v>
      </c>
      <c r="H1707">
        <v>5587.99</v>
      </c>
      <c r="I1707">
        <v>15</v>
      </c>
      <c r="J1707" t="s">
        <v>31</v>
      </c>
      <c r="K1707">
        <v>7543.79</v>
      </c>
      <c r="L1707">
        <v>50291.91</v>
      </c>
      <c r="M1707">
        <v>42748.12</v>
      </c>
      <c r="N1707" t="s">
        <v>86</v>
      </c>
      <c r="O1707">
        <v>2025</v>
      </c>
    </row>
    <row r="1708" spans="1:15" x14ac:dyDescent="0.3">
      <c r="A1708" t="s">
        <v>1793</v>
      </c>
      <c r="B1708" t="s">
        <v>47</v>
      </c>
      <c r="C1708" t="s">
        <v>17</v>
      </c>
      <c r="D1708" t="s">
        <v>24</v>
      </c>
      <c r="E1708" t="s">
        <v>81</v>
      </c>
      <c r="F1708" s="1">
        <v>45881</v>
      </c>
      <c r="G1708">
        <v>2</v>
      </c>
      <c r="H1708">
        <v>2788.11</v>
      </c>
      <c r="I1708">
        <v>5</v>
      </c>
      <c r="J1708" t="s">
        <v>82</v>
      </c>
      <c r="K1708">
        <v>278.81</v>
      </c>
      <c r="L1708">
        <v>5576.22</v>
      </c>
      <c r="M1708">
        <v>5297.41</v>
      </c>
      <c r="N1708" t="s">
        <v>21</v>
      </c>
      <c r="O1708">
        <v>2025</v>
      </c>
    </row>
    <row r="1709" spans="1:15" x14ac:dyDescent="0.3">
      <c r="A1709" t="s">
        <v>1794</v>
      </c>
      <c r="B1709" t="s">
        <v>61</v>
      </c>
      <c r="C1709" t="s">
        <v>62</v>
      </c>
      <c r="D1709" t="s">
        <v>132</v>
      </c>
      <c r="E1709" t="s">
        <v>30</v>
      </c>
      <c r="F1709" s="1">
        <v>45695</v>
      </c>
      <c r="G1709">
        <v>1</v>
      </c>
      <c r="H1709">
        <v>2467.0700000000002</v>
      </c>
      <c r="I1709">
        <v>15</v>
      </c>
      <c r="J1709" t="s">
        <v>31</v>
      </c>
      <c r="K1709">
        <v>370.06</v>
      </c>
      <c r="L1709">
        <v>2467.0700000000002</v>
      </c>
      <c r="M1709">
        <v>2097.0100000000002</v>
      </c>
      <c r="N1709" t="s">
        <v>41</v>
      </c>
      <c r="O1709">
        <v>2025</v>
      </c>
    </row>
    <row r="1710" spans="1:15" x14ac:dyDescent="0.3">
      <c r="A1710" t="s">
        <v>1795</v>
      </c>
      <c r="B1710" t="s">
        <v>38</v>
      </c>
      <c r="C1710" t="s">
        <v>90</v>
      </c>
      <c r="D1710" t="s">
        <v>91</v>
      </c>
      <c r="E1710" t="s">
        <v>81</v>
      </c>
      <c r="F1710" s="1">
        <v>45700</v>
      </c>
      <c r="G1710">
        <v>7</v>
      </c>
      <c r="H1710">
        <v>1600.9</v>
      </c>
      <c r="I1710">
        <v>0</v>
      </c>
      <c r="J1710" t="s">
        <v>26</v>
      </c>
      <c r="K1710">
        <v>0</v>
      </c>
      <c r="L1710">
        <v>11206.3</v>
      </c>
      <c r="M1710">
        <v>11206.3</v>
      </c>
      <c r="N1710" t="s">
        <v>41</v>
      </c>
      <c r="O1710">
        <v>2025</v>
      </c>
    </row>
    <row r="1711" spans="1:15" x14ac:dyDescent="0.3">
      <c r="A1711" t="s">
        <v>1796</v>
      </c>
      <c r="B1711" t="s">
        <v>53</v>
      </c>
      <c r="C1711" t="s">
        <v>34</v>
      </c>
      <c r="D1711" t="s">
        <v>66</v>
      </c>
      <c r="E1711" t="s">
        <v>25</v>
      </c>
      <c r="F1711" s="1">
        <v>45393</v>
      </c>
      <c r="G1711">
        <v>5</v>
      </c>
      <c r="H1711">
        <v>45206.7</v>
      </c>
      <c r="I1711">
        <v>0</v>
      </c>
      <c r="J1711" t="s">
        <v>45</v>
      </c>
      <c r="K1711">
        <v>0</v>
      </c>
      <c r="L1711">
        <v>226033.5</v>
      </c>
      <c r="M1711">
        <v>226033.5</v>
      </c>
      <c r="N1711" t="s">
        <v>27</v>
      </c>
      <c r="O1711">
        <v>2024</v>
      </c>
    </row>
    <row r="1712" spans="1:15" x14ac:dyDescent="0.3">
      <c r="A1712" t="s">
        <v>1797</v>
      </c>
      <c r="B1712" t="s">
        <v>33</v>
      </c>
      <c r="C1712" t="s">
        <v>90</v>
      </c>
      <c r="D1712" t="s">
        <v>115</v>
      </c>
      <c r="E1712" t="s">
        <v>44</v>
      </c>
      <c r="F1712" s="1">
        <v>45652</v>
      </c>
      <c r="G1712">
        <v>4</v>
      </c>
      <c r="H1712">
        <v>8528.59</v>
      </c>
      <c r="I1712">
        <v>0</v>
      </c>
      <c r="J1712" t="s">
        <v>45</v>
      </c>
      <c r="K1712">
        <v>0</v>
      </c>
      <c r="L1712">
        <v>34114.36</v>
      </c>
      <c r="M1712">
        <v>34114.36</v>
      </c>
      <c r="N1712" t="s">
        <v>51</v>
      </c>
      <c r="O1712">
        <v>2024</v>
      </c>
    </row>
    <row r="1713" spans="1:15" x14ac:dyDescent="0.3">
      <c r="A1713" t="s">
        <v>1798</v>
      </c>
      <c r="B1713" t="s">
        <v>16</v>
      </c>
      <c r="C1713" t="s">
        <v>62</v>
      </c>
      <c r="D1713" t="s">
        <v>99</v>
      </c>
      <c r="E1713" t="s">
        <v>30</v>
      </c>
      <c r="F1713" s="1">
        <v>45456</v>
      </c>
      <c r="G1713">
        <v>4</v>
      </c>
      <c r="H1713">
        <v>1559.43</v>
      </c>
      <c r="I1713">
        <v>20</v>
      </c>
      <c r="J1713" t="s">
        <v>40</v>
      </c>
      <c r="K1713">
        <v>1247.54</v>
      </c>
      <c r="L1713">
        <v>6237.72</v>
      </c>
      <c r="M1713">
        <v>4990.18</v>
      </c>
      <c r="N1713" t="s">
        <v>72</v>
      </c>
      <c r="O1713">
        <v>2024</v>
      </c>
    </row>
    <row r="1714" spans="1:15" x14ac:dyDescent="0.3">
      <c r="A1714" t="s">
        <v>1799</v>
      </c>
      <c r="B1714" t="s">
        <v>74</v>
      </c>
      <c r="C1714" t="s">
        <v>62</v>
      </c>
      <c r="D1714" t="s">
        <v>99</v>
      </c>
      <c r="E1714" t="s">
        <v>19</v>
      </c>
      <c r="F1714" s="1">
        <v>45803</v>
      </c>
      <c r="G1714">
        <v>2</v>
      </c>
      <c r="H1714">
        <v>1475.16</v>
      </c>
      <c r="I1714">
        <v>20</v>
      </c>
      <c r="J1714" t="s">
        <v>36</v>
      </c>
      <c r="K1714">
        <v>590.05999999999995</v>
      </c>
      <c r="L1714">
        <v>2950.32</v>
      </c>
      <c r="M1714">
        <v>2360.2600000000002</v>
      </c>
      <c r="N1714" t="s">
        <v>101</v>
      </c>
      <c r="O1714">
        <v>2025</v>
      </c>
    </row>
    <row r="1715" spans="1:15" x14ac:dyDescent="0.3">
      <c r="A1715" t="s">
        <v>1800</v>
      </c>
      <c r="B1715" t="s">
        <v>33</v>
      </c>
      <c r="C1715" t="s">
        <v>54</v>
      </c>
      <c r="D1715" t="s">
        <v>55</v>
      </c>
      <c r="E1715" t="s">
        <v>44</v>
      </c>
      <c r="F1715" s="1">
        <v>45395</v>
      </c>
      <c r="G1715">
        <v>2</v>
      </c>
      <c r="H1715">
        <v>1271.8399999999999</v>
      </c>
      <c r="I1715">
        <v>10</v>
      </c>
      <c r="J1715" t="s">
        <v>40</v>
      </c>
      <c r="K1715">
        <v>254.37</v>
      </c>
      <c r="L1715">
        <v>2543.6799999999998</v>
      </c>
      <c r="M1715">
        <v>2289.31</v>
      </c>
      <c r="N1715" t="s">
        <v>27</v>
      </c>
      <c r="O1715">
        <v>2024</v>
      </c>
    </row>
    <row r="1716" spans="1:15" x14ac:dyDescent="0.3">
      <c r="A1716" t="s">
        <v>1801</v>
      </c>
      <c r="B1716" t="s">
        <v>61</v>
      </c>
      <c r="C1716" t="s">
        <v>54</v>
      </c>
      <c r="D1716" t="s">
        <v>68</v>
      </c>
      <c r="E1716" t="s">
        <v>50</v>
      </c>
      <c r="F1716" s="1">
        <v>45499</v>
      </c>
      <c r="G1716">
        <v>5</v>
      </c>
      <c r="H1716">
        <v>5012.97</v>
      </c>
      <c r="I1716">
        <v>15</v>
      </c>
      <c r="J1716" t="s">
        <v>31</v>
      </c>
      <c r="K1716">
        <v>3759.73</v>
      </c>
      <c r="L1716">
        <v>25064.85</v>
      </c>
      <c r="M1716">
        <v>21305.119999999999</v>
      </c>
      <c r="N1716" t="s">
        <v>122</v>
      </c>
      <c r="O1716">
        <v>2024</v>
      </c>
    </row>
    <row r="1717" spans="1:15" x14ac:dyDescent="0.3">
      <c r="A1717" t="s">
        <v>1802</v>
      </c>
      <c r="B1717" t="s">
        <v>74</v>
      </c>
      <c r="C1717" t="s">
        <v>62</v>
      </c>
      <c r="D1717" t="s">
        <v>119</v>
      </c>
      <c r="E1717" t="s">
        <v>56</v>
      </c>
      <c r="F1717" s="1">
        <v>45455</v>
      </c>
      <c r="G1717">
        <v>3</v>
      </c>
      <c r="H1717">
        <v>3432.41</v>
      </c>
      <c r="I1717">
        <v>0</v>
      </c>
      <c r="J1717" t="s">
        <v>45</v>
      </c>
      <c r="K1717">
        <v>0</v>
      </c>
      <c r="L1717">
        <v>10297.23</v>
      </c>
      <c r="M1717">
        <v>10297.23</v>
      </c>
      <c r="N1717" t="s">
        <v>72</v>
      </c>
      <c r="O1717">
        <v>2024</v>
      </c>
    </row>
    <row r="1718" spans="1:15" x14ac:dyDescent="0.3">
      <c r="A1718" t="s">
        <v>1803</v>
      </c>
      <c r="B1718" t="s">
        <v>43</v>
      </c>
      <c r="C1718" t="s">
        <v>34</v>
      </c>
      <c r="D1718" t="s">
        <v>66</v>
      </c>
      <c r="E1718" t="s">
        <v>81</v>
      </c>
      <c r="F1718" s="1">
        <v>45865</v>
      </c>
      <c r="G1718">
        <v>9</v>
      </c>
      <c r="H1718">
        <v>37779.08</v>
      </c>
      <c r="I1718">
        <v>20</v>
      </c>
      <c r="J1718" t="s">
        <v>40</v>
      </c>
      <c r="K1718">
        <v>68002.34</v>
      </c>
      <c r="L1718">
        <v>340011.72</v>
      </c>
      <c r="M1718">
        <v>272009.38</v>
      </c>
      <c r="N1718" t="s">
        <v>122</v>
      </c>
      <c r="O1718">
        <v>2025</v>
      </c>
    </row>
    <row r="1719" spans="1:15" x14ac:dyDescent="0.3">
      <c r="A1719" t="s">
        <v>1804</v>
      </c>
      <c r="B1719" t="s">
        <v>47</v>
      </c>
      <c r="C1719" t="s">
        <v>17</v>
      </c>
      <c r="D1719" t="s">
        <v>59</v>
      </c>
      <c r="E1719" t="s">
        <v>25</v>
      </c>
      <c r="F1719" s="1">
        <v>45561</v>
      </c>
      <c r="G1719">
        <v>3</v>
      </c>
      <c r="H1719">
        <v>26974.3</v>
      </c>
      <c r="I1719">
        <v>20</v>
      </c>
      <c r="J1719" t="s">
        <v>31</v>
      </c>
      <c r="K1719">
        <v>16184.58</v>
      </c>
      <c r="L1719">
        <v>80922.899999999994</v>
      </c>
      <c r="M1719">
        <v>64738.32</v>
      </c>
      <c r="N1719" t="s">
        <v>86</v>
      </c>
      <c r="O1719">
        <v>2024</v>
      </c>
    </row>
    <row r="1720" spans="1:15" x14ac:dyDescent="0.3">
      <c r="A1720" t="s">
        <v>1805</v>
      </c>
      <c r="B1720" t="s">
        <v>53</v>
      </c>
      <c r="C1720" t="s">
        <v>62</v>
      </c>
      <c r="D1720" t="s">
        <v>99</v>
      </c>
      <c r="E1720" t="s">
        <v>56</v>
      </c>
      <c r="F1720" s="1">
        <v>45592</v>
      </c>
      <c r="G1720">
        <v>10</v>
      </c>
      <c r="H1720">
        <v>1720.17</v>
      </c>
      <c r="I1720">
        <v>0</v>
      </c>
      <c r="J1720" t="s">
        <v>82</v>
      </c>
      <c r="K1720">
        <v>0</v>
      </c>
      <c r="L1720">
        <v>17201.7</v>
      </c>
      <c r="M1720">
        <v>17201.7</v>
      </c>
      <c r="N1720" t="s">
        <v>57</v>
      </c>
      <c r="O1720">
        <v>2024</v>
      </c>
    </row>
    <row r="1721" spans="1:15" x14ac:dyDescent="0.3">
      <c r="A1721" t="s">
        <v>1806</v>
      </c>
      <c r="B1721" t="s">
        <v>89</v>
      </c>
      <c r="C1721" t="s">
        <v>62</v>
      </c>
      <c r="D1721" t="s">
        <v>63</v>
      </c>
      <c r="E1721" t="s">
        <v>44</v>
      </c>
      <c r="F1721" s="1">
        <v>45543</v>
      </c>
      <c r="G1721">
        <v>9</v>
      </c>
      <c r="H1721">
        <v>1689.76</v>
      </c>
      <c r="I1721">
        <v>10</v>
      </c>
      <c r="J1721" t="s">
        <v>26</v>
      </c>
      <c r="K1721">
        <v>1520.78</v>
      </c>
      <c r="L1721">
        <v>15207.84</v>
      </c>
      <c r="M1721">
        <v>13687.06</v>
      </c>
      <c r="N1721" t="s">
        <v>86</v>
      </c>
      <c r="O1721">
        <v>2024</v>
      </c>
    </row>
    <row r="1722" spans="1:15" x14ac:dyDescent="0.3">
      <c r="A1722" t="s">
        <v>1807</v>
      </c>
      <c r="B1722" t="s">
        <v>29</v>
      </c>
      <c r="C1722" t="s">
        <v>17</v>
      </c>
      <c r="D1722" t="s">
        <v>157</v>
      </c>
      <c r="E1722" t="s">
        <v>44</v>
      </c>
      <c r="F1722" s="1">
        <v>45543</v>
      </c>
      <c r="G1722">
        <v>4</v>
      </c>
      <c r="H1722">
        <v>7070.62</v>
      </c>
      <c r="I1722">
        <v>5</v>
      </c>
      <c r="J1722" t="s">
        <v>20</v>
      </c>
      <c r="K1722">
        <v>1414.12</v>
      </c>
      <c r="L1722">
        <v>28282.48</v>
      </c>
      <c r="M1722">
        <v>26868.36</v>
      </c>
      <c r="N1722" t="s">
        <v>86</v>
      </c>
      <c r="O1722">
        <v>2024</v>
      </c>
    </row>
    <row r="1723" spans="1:15" x14ac:dyDescent="0.3">
      <c r="A1723" t="s">
        <v>1808</v>
      </c>
      <c r="B1723" t="s">
        <v>43</v>
      </c>
      <c r="C1723" t="s">
        <v>34</v>
      </c>
      <c r="D1723" t="s">
        <v>80</v>
      </c>
      <c r="E1723" t="s">
        <v>50</v>
      </c>
      <c r="F1723" s="1">
        <v>45918</v>
      </c>
      <c r="G1723">
        <v>8</v>
      </c>
      <c r="H1723">
        <v>6656.9</v>
      </c>
      <c r="I1723">
        <v>15</v>
      </c>
      <c r="J1723" t="s">
        <v>26</v>
      </c>
      <c r="K1723">
        <v>7988.28</v>
      </c>
      <c r="L1723">
        <v>53255.199999999997</v>
      </c>
      <c r="M1723">
        <v>45266.92</v>
      </c>
      <c r="N1723" t="s">
        <v>86</v>
      </c>
      <c r="O1723">
        <v>2025</v>
      </c>
    </row>
    <row r="1724" spans="1:15" x14ac:dyDescent="0.3">
      <c r="A1724" t="s">
        <v>1809</v>
      </c>
      <c r="B1724" t="s">
        <v>93</v>
      </c>
      <c r="C1724" t="s">
        <v>54</v>
      </c>
      <c r="D1724" t="s">
        <v>77</v>
      </c>
      <c r="E1724" t="s">
        <v>50</v>
      </c>
      <c r="F1724" s="1">
        <v>45482</v>
      </c>
      <c r="G1724">
        <v>9</v>
      </c>
      <c r="H1724">
        <v>5226.12</v>
      </c>
      <c r="I1724">
        <v>20</v>
      </c>
      <c r="J1724" t="s">
        <v>31</v>
      </c>
      <c r="K1724">
        <v>9407.02</v>
      </c>
      <c r="L1724">
        <v>47035.08</v>
      </c>
      <c r="M1724">
        <v>37628.06</v>
      </c>
      <c r="N1724" t="s">
        <v>122</v>
      </c>
      <c r="O1724">
        <v>2024</v>
      </c>
    </row>
    <row r="1725" spans="1:15" x14ac:dyDescent="0.3">
      <c r="A1725" t="s">
        <v>1810</v>
      </c>
      <c r="B1725" t="s">
        <v>16</v>
      </c>
      <c r="C1725" t="s">
        <v>90</v>
      </c>
      <c r="D1725" t="s">
        <v>115</v>
      </c>
      <c r="E1725" t="s">
        <v>44</v>
      </c>
      <c r="F1725" s="1">
        <v>45561</v>
      </c>
      <c r="G1725">
        <v>7</v>
      </c>
      <c r="H1725">
        <v>7940.46</v>
      </c>
      <c r="I1725">
        <v>5</v>
      </c>
      <c r="J1725" t="s">
        <v>45</v>
      </c>
      <c r="K1725">
        <v>2779.16</v>
      </c>
      <c r="L1725">
        <v>55583.22</v>
      </c>
      <c r="M1725">
        <v>52804.06</v>
      </c>
      <c r="N1725" t="s">
        <v>86</v>
      </c>
      <c r="O1725">
        <v>2024</v>
      </c>
    </row>
    <row r="1726" spans="1:15" x14ac:dyDescent="0.3">
      <c r="A1726" t="s">
        <v>1811</v>
      </c>
      <c r="B1726" t="s">
        <v>33</v>
      </c>
      <c r="C1726" t="s">
        <v>62</v>
      </c>
      <c r="D1726" t="s">
        <v>132</v>
      </c>
      <c r="E1726" t="s">
        <v>25</v>
      </c>
      <c r="F1726" s="1">
        <v>45621</v>
      </c>
      <c r="G1726">
        <v>4</v>
      </c>
      <c r="H1726">
        <v>3021.95</v>
      </c>
      <c r="I1726">
        <v>20</v>
      </c>
      <c r="J1726" t="s">
        <v>36</v>
      </c>
      <c r="K1726">
        <v>2417.56</v>
      </c>
      <c r="L1726">
        <v>12087.8</v>
      </c>
      <c r="M1726">
        <v>9670.24</v>
      </c>
      <c r="N1726" t="s">
        <v>96</v>
      </c>
      <c r="O1726">
        <v>2024</v>
      </c>
    </row>
    <row r="1727" spans="1:15" x14ac:dyDescent="0.3">
      <c r="A1727" t="s">
        <v>1812</v>
      </c>
      <c r="B1727" t="s">
        <v>114</v>
      </c>
      <c r="C1727" t="s">
        <v>34</v>
      </c>
      <c r="D1727" t="s">
        <v>80</v>
      </c>
      <c r="E1727" t="s">
        <v>44</v>
      </c>
      <c r="F1727" s="1">
        <v>45840</v>
      </c>
      <c r="G1727">
        <v>6</v>
      </c>
      <c r="H1727">
        <v>5557.21</v>
      </c>
      <c r="I1727">
        <v>20</v>
      </c>
      <c r="J1727" t="s">
        <v>71</v>
      </c>
      <c r="K1727">
        <v>6668.65</v>
      </c>
      <c r="L1727">
        <v>33343.26</v>
      </c>
      <c r="M1727">
        <v>26674.61</v>
      </c>
      <c r="N1727" t="s">
        <v>122</v>
      </c>
      <c r="O1727">
        <v>2025</v>
      </c>
    </row>
    <row r="1728" spans="1:15" x14ac:dyDescent="0.3">
      <c r="A1728" t="s">
        <v>1813</v>
      </c>
      <c r="B1728" t="s">
        <v>16</v>
      </c>
      <c r="C1728" t="s">
        <v>34</v>
      </c>
      <c r="D1728" t="s">
        <v>48</v>
      </c>
      <c r="E1728" t="s">
        <v>30</v>
      </c>
      <c r="F1728" s="1">
        <v>45768</v>
      </c>
      <c r="G1728">
        <v>5</v>
      </c>
      <c r="H1728">
        <v>8348.52</v>
      </c>
      <c r="I1728">
        <v>0</v>
      </c>
      <c r="J1728" t="s">
        <v>20</v>
      </c>
      <c r="K1728">
        <v>0</v>
      </c>
      <c r="L1728">
        <v>41742.6</v>
      </c>
      <c r="M1728">
        <v>41742.6</v>
      </c>
      <c r="N1728" t="s">
        <v>27</v>
      </c>
      <c r="O1728">
        <v>2025</v>
      </c>
    </row>
    <row r="1729" spans="1:15" x14ac:dyDescent="0.3">
      <c r="A1729" t="s">
        <v>1814</v>
      </c>
      <c r="B1729" t="s">
        <v>89</v>
      </c>
      <c r="C1729" t="s">
        <v>90</v>
      </c>
      <c r="D1729" t="s">
        <v>91</v>
      </c>
      <c r="E1729" t="s">
        <v>56</v>
      </c>
      <c r="F1729" s="1">
        <v>45358</v>
      </c>
      <c r="G1729">
        <v>3</v>
      </c>
      <c r="H1729">
        <v>1358.29</v>
      </c>
      <c r="I1729">
        <v>15</v>
      </c>
      <c r="J1729" t="s">
        <v>31</v>
      </c>
      <c r="K1729">
        <v>611.23</v>
      </c>
      <c r="L1729">
        <v>4074.87</v>
      </c>
      <c r="M1729">
        <v>3463.64</v>
      </c>
      <c r="N1729" t="s">
        <v>83</v>
      </c>
      <c r="O1729">
        <v>2024</v>
      </c>
    </row>
    <row r="1730" spans="1:15" x14ac:dyDescent="0.3">
      <c r="A1730" t="s">
        <v>1815</v>
      </c>
      <c r="B1730" t="s">
        <v>114</v>
      </c>
      <c r="C1730" t="s">
        <v>54</v>
      </c>
      <c r="D1730" t="s">
        <v>70</v>
      </c>
      <c r="E1730" t="s">
        <v>19</v>
      </c>
      <c r="F1730" s="1">
        <v>46015</v>
      </c>
      <c r="G1730">
        <v>3</v>
      </c>
      <c r="H1730">
        <v>2518.85</v>
      </c>
      <c r="I1730">
        <v>10</v>
      </c>
      <c r="J1730" t="s">
        <v>71</v>
      </c>
      <c r="K1730">
        <v>755.66</v>
      </c>
      <c r="L1730">
        <v>7556.55</v>
      </c>
      <c r="M1730">
        <v>6800.89</v>
      </c>
      <c r="N1730" t="s">
        <v>51</v>
      </c>
      <c r="O1730">
        <v>2025</v>
      </c>
    </row>
    <row r="1731" spans="1:15" x14ac:dyDescent="0.3">
      <c r="A1731" t="s">
        <v>1816</v>
      </c>
      <c r="B1731" t="s">
        <v>93</v>
      </c>
      <c r="C1731" t="s">
        <v>17</v>
      </c>
      <c r="D1731" t="s">
        <v>39</v>
      </c>
      <c r="E1731" t="s">
        <v>19</v>
      </c>
      <c r="F1731" s="1">
        <v>46022</v>
      </c>
      <c r="G1731">
        <v>10</v>
      </c>
      <c r="H1731">
        <v>20249.509999999998</v>
      </c>
      <c r="I1731">
        <v>5</v>
      </c>
      <c r="J1731" t="s">
        <v>26</v>
      </c>
      <c r="K1731">
        <v>10124.76</v>
      </c>
      <c r="L1731">
        <v>202495.1</v>
      </c>
      <c r="M1731">
        <v>192370.34</v>
      </c>
      <c r="N1731" t="s">
        <v>51</v>
      </c>
      <c r="O1731">
        <v>2025</v>
      </c>
    </row>
    <row r="1732" spans="1:15" x14ac:dyDescent="0.3">
      <c r="A1732" t="s">
        <v>1817</v>
      </c>
      <c r="B1732" t="s">
        <v>61</v>
      </c>
      <c r="C1732" t="s">
        <v>90</v>
      </c>
      <c r="D1732" t="s">
        <v>107</v>
      </c>
      <c r="E1732" t="s">
        <v>56</v>
      </c>
      <c r="F1732" s="1">
        <v>45843</v>
      </c>
      <c r="G1732">
        <v>5</v>
      </c>
      <c r="H1732">
        <v>11791.6</v>
      </c>
      <c r="I1732">
        <v>20</v>
      </c>
      <c r="J1732" t="s">
        <v>40</v>
      </c>
      <c r="K1732">
        <v>11791.6</v>
      </c>
      <c r="L1732">
        <v>58958</v>
      </c>
      <c r="M1732">
        <v>47166.400000000001</v>
      </c>
      <c r="N1732" t="s">
        <v>122</v>
      </c>
      <c r="O1732">
        <v>2025</v>
      </c>
    </row>
    <row r="1733" spans="1:15" x14ac:dyDescent="0.3">
      <c r="A1733" t="s">
        <v>1818</v>
      </c>
      <c r="B1733" t="s">
        <v>53</v>
      </c>
      <c r="C1733" t="s">
        <v>54</v>
      </c>
      <c r="D1733" t="s">
        <v>68</v>
      </c>
      <c r="E1733" t="s">
        <v>44</v>
      </c>
      <c r="F1733" s="1">
        <v>45298</v>
      </c>
      <c r="G1733">
        <v>10</v>
      </c>
      <c r="H1733">
        <v>4109.59</v>
      </c>
      <c r="I1733">
        <v>10</v>
      </c>
      <c r="J1733" t="s">
        <v>45</v>
      </c>
      <c r="K1733">
        <v>4109.59</v>
      </c>
      <c r="L1733">
        <v>41095.9</v>
      </c>
      <c r="M1733">
        <v>36986.31</v>
      </c>
      <c r="N1733" t="s">
        <v>116</v>
      </c>
      <c r="O1733">
        <v>2024</v>
      </c>
    </row>
    <row r="1734" spans="1:15" x14ac:dyDescent="0.3">
      <c r="A1734" t="s">
        <v>1819</v>
      </c>
      <c r="B1734" t="s">
        <v>74</v>
      </c>
      <c r="C1734" t="s">
        <v>54</v>
      </c>
      <c r="D1734" t="s">
        <v>70</v>
      </c>
      <c r="E1734" t="s">
        <v>25</v>
      </c>
      <c r="F1734" s="1">
        <v>45834</v>
      </c>
      <c r="G1734">
        <v>7</v>
      </c>
      <c r="H1734">
        <v>2706.49</v>
      </c>
      <c r="I1734">
        <v>5</v>
      </c>
      <c r="J1734" t="s">
        <v>82</v>
      </c>
      <c r="K1734">
        <v>947.27</v>
      </c>
      <c r="L1734">
        <v>18945.43</v>
      </c>
      <c r="M1734">
        <v>17998.16</v>
      </c>
      <c r="N1734" t="s">
        <v>72</v>
      </c>
      <c r="O1734">
        <v>2025</v>
      </c>
    </row>
    <row r="1735" spans="1:15" x14ac:dyDescent="0.3">
      <c r="A1735" t="s">
        <v>1820</v>
      </c>
      <c r="B1735" t="s">
        <v>74</v>
      </c>
      <c r="C1735" t="s">
        <v>34</v>
      </c>
      <c r="D1735" t="s">
        <v>66</v>
      </c>
      <c r="E1735" t="s">
        <v>44</v>
      </c>
      <c r="F1735" s="1">
        <v>45477</v>
      </c>
      <c r="G1735">
        <v>1</v>
      </c>
      <c r="H1735">
        <v>42494.07</v>
      </c>
      <c r="I1735">
        <v>15</v>
      </c>
      <c r="J1735" t="s">
        <v>36</v>
      </c>
      <c r="K1735">
        <v>6374.11</v>
      </c>
      <c r="L1735">
        <v>42494.07</v>
      </c>
      <c r="M1735">
        <v>36119.96</v>
      </c>
      <c r="N1735" t="s">
        <v>122</v>
      </c>
      <c r="O1735">
        <v>2024</v>
      </c>
    </row>
    <row r="1736" spans="1:15" x14ac:dyDescent="0.3">
      <c r="A1736" t="s">
        <v>1821</v>
      </c>
      <c r="B1736" t="s">
        <v>47</v>
      </c>
      <c r="C1736" t="s">
        <v>17</v>
      </c>
      <c r="D1736" t="s">
        <v>39</v>
      </c>
      <c r="E1736" t="s">
        <v>25</v>
      </c>
      <c r="F1736" s="1">
        <v>45879</v>
      </c>
      <c r="G1736">
        <v>7</v>
      </c>
      <c r="H1736">
        <v>19822.11</v>
      </c>
      <c r="I1736">
        <v>15</v>
      </c>
      <c r="J1736" t="s">
        <v>31</v>
      </c>
      <c r="K1736">
        <v>20813.22</v>
      </c>
      <c r="L1736">
        <v>138754.76999999999</v>
      </c>
      <c r="M1736">
        <v>117941.55</v>
      </c>
      <c r="N1736" t="s">
        <v>21</v>
      </c>
      <c r="O1736">
        <v>2025</v>
      </c>
    </row>
    <row r="1737" spans="1:15" x14ac:dyDescent="0.3">
      <c r="A1737" t="s">
        <v>1822</v>
      </c>
      <c r="B1737" t="s">
        <v>38</v>
      </c>
      <c r="C1737" t="s">
        <v>90</v>
      </c>
      <c r="D1737" t="s">
        <v>107</v>
      </c>
      <c r="E1737" t="s">
        <v>19</v>
      </c>
      <c r="F1737" s="1">
        <v>45390</v>
      </c>
      <c r="G1737">
        <v>5</v>
      </c>
      <c r="H1737">
        <v>11865.47</v>
      </c>
      <c r="I1737">
        <v>15</v>
      </c>
      <c r="J1737" t="s">
        <v>36</v>
      </c>
      <c r="K1737">
        <v>8899.1</v>
      </c>
      <c r="L1737">
        <v>59327.35</v>
      </c>
      <c r="M1737">
        <v>50428.25</v>
      </c>
      <c r="N1737" t="s">
        <v>27</v>
      </c>
      <c r="O1737">
        <v>2024</v>
      </c>
    </row>
    <row r="1738" spans="1:15" x14ac:dyDescent="0.3">
      <c r="A1738" t="s">
        <v>1823</v>
      </c>
      <c r="B1738" t="s">
        <v>47</v>
      </c>
      <c r="C1738" t="s">
        <v>62</v>
      </c>
      <c r="D1738" t="s">
        <v>99</v>
      </c>
      <c r="E1738" t="s">
        <v>50</v>
      </c>
      <c r="F1738" s="1">
        <v>45703</v>
      </c>
      <c r="G1738">
        <v>4</v>
      </c>
      <c r="H1738">
        <v>1434.99</v>
      </c>
      <c r="I1738">
        <v>0</v>
      </c>
      <c r="J1738" t="s">
        <v>40</v>
      </c>
      <c r="K1738">
        <v>0</v>
      </c>
      <c r="L1738">
        <v>5739.96</v>
      </c>
      <c r="M1738">
        <v>5739.96</v>
      </c>
      <c r="N1738" t="s">
        <v>41</v>
      </c>
      <c r="O1738">
        <v>2025</v>
      </c>
    </row>
    <row r="1739" spans="1:15" x14ac:dyDescent="0.3">
      <c r="A1739" t="s">
        <v>1824</v>
      </c>
      <c r="B1739" t="s">
        <v>74</v>
      </c>
      <c r="C1739" t="s">
        <v>62</v>
      </c>
      <c r="D1739" t="s">
        <v>99</v>
      </c>
      <c r="E1739" t="s">
        <v>25</v>
      </c>
      <c r="F1739" s="1">
        <v>45312</v>
      </c>
      <c r="G1739">
        <v>10</v>
      </c>
      <c r="H1739">
        <v>1372.84</v>
      </c>
      <c r="I1739">
        <v>20</v>
      </c>
      <c r="J1739" t="s">
        <v>40</v>
      </c>
      <c r="K1739">
        <v>2745.68</v>
      </c>
      <c r="L1739">
        <v>13728.4</v>
      </c>
      <c r="M1739">
        <v>10982.72</v>
      </c>
      <c r="N1739" t="s">
        <v>116</v>
      </c>
      <c r="O1739">
        <v>2024</v>
      </c>
    </row>
    <row r="1740" spans="1:15" x14ac:dyDescent="0.3">
      <c r="A1740" t="s">
        <v>1825</v>
      </c>
      <c r="B1740" t="s">
        <v>47</v>
      </c>
      <c r="C1740" t="s">
        <v>17</v>
      </c>
      <c r="D1740" t="s">
        <v>39</v>
      </c>
      <c r="E1740" t="s">
        <v>50</v>
      </c>
      <c r="F1740" s="1">
        <v>45833</v>
      </c>
      <c r="G1740">
        <v>1</v>
      </c>
      <c r="H1740">
        <v>16220.97</v>
      </c>
      <c r="I1740">
        <v>15</v>
      </c>
      <c r="J1740" t="s">
        <v>26</v>
      </c>
      <c r="K1740">
        <v>2433.15</v>
      </c>
      <c r="L1740">
        <v>16220.97</v>
      </c>
      <c r="M1740">
        <v>13787.82</v>
      </c>
      <c r="N1740" t="s">
        <v>72</v>
      </c>
      <c r="O1740">
        <v>2025</v>
      </c>
    </row>
    <row r="1741" spans="1:15" x14ac:dyDescent="0.3">
      <c r="A1741" t="s">
        <v>1826</v>
      </c>
      <c r="B1741" t="s">
        <v>74</v>
      </c>
      <c r="C1741" t="s">
        <v>62</v>
      </c>
      <c r="D1741" t="s">
        <v>95</v>
      </c>
      <c r="E1741" t="s">
        <v>81</v>
      </c>
      <c r="F1741" s="1">
        <v>45363</v>
      </c>
      <c r="G1741">
        <v>3</v>
      </c>
      <c r="H1741">
        <v>757.7</v>
      </c>
      <c r="I1741">
        <v>20</v>
      </c>
      <c r="J1741" t="s">
        <v>45</v>
      </c>
      <c r="K1741">
        <v>454.62</v>
      </c>
      <c r="L1741">
        <v>2273.1</v>
      </c>
      <c r="M1741">
        <v>1818.48</v>
      </c>
      <c r="N1741" t="s">
        <v>83</v>
      </c>
      <c r="O1741">
        <v>2024</v>
      </c>
    </row>
    <row r="1742" spans="1:15" x14ac:dyDescent="0.3">
      <c r="A1742" t="s">
        <v>1827</v>
      </c>
      <c r="B1742" t="s">
        <v>65</v>
      </c>
      <c r="C1742" t="s">
        <v>90</v>
      </c>
      <c r="D1742" t="s">
        <v>107</v>
      </c>
      <c r="E1742" t="s">
        <v>50</v>
      </c>
      <c r="F1742" s="1">
        <v>45391</v>
      </c>
      <c r="G1742">
        <v>3</v>
      </c>
      <c r="H1742">
        <v>12599.15</v>
      </c>
      <c r="I1742">
        <v>20</v>
      </c>
      <c r="J1742" t="s">
        <v>45</v>
      </c>
      <c r="K1742">
        <v>7559.49</v>
      </c>
      <c r="L1742">
        <v>37797.449999999997</v>
      </c>
      <c r="M1742">
        <v>30237.96</v>
      </c>
      <c r="N1742" t="s">
        <v>27</v>
      </c>
      <c r="O1742">
        <v>2024</v>
      </c>
    </row>
    <row r="1743" spans="1:15" x14ac:dyDescent="0.3">
      <c r="A1743" t="s">
        <v>1828</v>
      </c>
      <c r="B1743" t="s">
        <v>16</v>
      </c>
      <c r="C1743" t="s">
        <v>34</v>
      </c>
      <c r="D1743" t="s">
        <v>35</v>
      </c>
      <c r="E1743" t="s">
        <v>44</v>
      </c>
      <c r="F1743" s="1">
        <v>45811</v>
      </c>
      <c r="G1743">
        <v>3</v>
      </c>
      <c r="H1743">
        <v>27589.759999999998</v>
      </c>
      <c r="I1743">
        <v>15</v>
      </c>
      <c r="J1743" t="s">
        <v>36</v>
      </c>
      <c r="K1743">
        <v>12415.39</v>
      </c>
      <c r="L1743">
        <v>82769.279999999999</v>
      </c>
      <c r="M1743">
        <v>70353.89</v>
      </c>
      <c r="N1743" t="s">
        <v>72</v>
      </c>
      <c r="O1743">
        <v>2025</v>
      </c>
    </row>
    <row r="1744" spans="1:15" x14ac:dyDescent="0.3">
      <c r="A1744" t="s">
        <v>1829</v>
      </c>
      <c r="B1744" t="s">
        <v>109</v>
      </c>
      <c r="C1744" t="s">
        <v>17</v>
      </c>
      <c r="D1744" t="s">
        <v>24</v>
      </c>
      <c r="E1744" t="s">
        <v>81</v>
      </c>
      <c r="F1744" s="1">
        <v>45611</v>
      </c>
      <c r="G1744">
        <v>5</v>
      </c>
      <c r="H1744">
        <v>3058.91</v>
      </c>
      <c r="I1744">
        <v>5</v>
      </c>
      <c r="J1744" t="s">
        <v>82</v>
      </c>
      <c r="K1744">
        <v>764.73</v>
      </c>
      <c r="L1744">
        <v>15294.55</v>
      </c>
      <c r="M1744">
        <v>14529.82</v>
      </c>
      <c r="N1744" t="s">
        <v>96</v>
      </c>
      <c r="O1744">
        <v>2024</v>
      </c>
    </row>
    <row r="1745" spans="1:15" x14ac:dyDescent="0.3">
      <c r="A1745" t="s">
        <v>1830</v>
      </c>
      <c r="B1745" t="s">
        <v>53</v>
      </c>
      <c r="C1745" t="s">
        <v>54</v>
      </c>
      <c r="D1745" t="s">
        <v>77</v>
      </c>
      <c r="E1745" t="s">
        <v>25</v>
      </c>
      <c r="F1745" s="1">
        <v>45489</v>
      </c>
      <c r="G1745">
        <v>10</v>
      </c>
      <c r="H1745">
        <v>4694.07</v>
      </c>
      <c r="I1745">
        <v>20</v>
      </c>
      <c r="J1745" t="s">
        <v>71</v>
      </c>
      <c r="K1745">
        <v>9388.14</v>
      </c>
      <c r="L1745">
        <v>46940.7</v>
      </c>
      <c r="M1745">
        <v>37552.559999999998</v>
      </c>
      <c r="N1745" t="s">
        <v>122</v>
      </c>
      <c r="O1745">
        <v>2024</v>
      </c>
    </row>
    <row r="1746" spans="1:15" x14ac:dyDescent="0.3">
      <c r="A1746" t="s">
        <v>1831</v>
      </c>
      <c r="B1746" t="s">
        <v>114</v>
      </c>
      <c r="C1746" t="s">
        <v>62</v>
      </c>
      <c r="D1746" t="s">
        <v>99</v>
      </c>
      <c r="E1746" t="s">
        <v>30</v>
      </c>
      <c r="F1746" s="1">
        <v>45750</v>
      </c>
      <c r="G1746">
        <v>2</v>
      </c>
      <c r="H1746">
        <v>1600.76</v>
      </c>
      <c r="I1746">
        <v>0</v>
      </c>
      <c r="J1746" t="s">
        <v>31</v>
      </c>
      <c r="K1746">
        <v>0</v>
      </c>
      <c r="L1746">
        <v>3201.52</v>
      </c>
      <c r="M1746">
        <v>3201.52</v>
      </c>
      <c r="N1746" t="s">
        <v>27</v>
      </c>
      <c r="O1746">
        <v>2025</v>
      </c>
    </row>
    <row r="1747" spans="1:15" x14ac:dyDescent="0.3">
      <c r="A1747" t="s">
        <v>1832</v>
      </c>
      <c r="B1747" t="s">
        <v>33</v>
      </c>
      <c r="C1747" t="s">
        <v>62</v>
      </c>
      <c r="D1747" t="s">
        <v>63</v>
      </c>
      <c r="E1747" t="s">
        <v>50</v>
      </c>
      <c r="F1747" s="1">
        <v>45794</v>
      </c>
      <c r="G1747">
        <v>4</v>
      </c>
      <c r="H1747">
        <v>1977.32</v>
      </c>
      <c r="I1747">
        <v>0</v>
      </c>
      <c r="J1747" t="s">
        <v>20</v>
      </c>
      <c r="K1747">
        <v>0</v>
      </c>
      <c r="L1747">
        <v>7909.28</v>
      </c>
      <c r="M1747">
        <v>7909.28</v>
      </c>
      <c r="N1747" t="s">
        <v>101</v>
      </c>
      <c r="O1747">
        <v>2025</v>
      </c>
    </row>
    <row r="1748" spans="1:15" x14ac:dyDescent="0.3">
      <c r="A1748" t="s">
        <v>1833</v>
      </c>
      <c r="B1748" t="s">
        <v>114</v>
      </c>
      <c r="C1748" t="s">
        <v>62</v>
      </c>
      <c r="D1748" t="s">
        <v>95</v>
      </c>
      <c r="E1748" t="s">
        <v>56</v>
      </c>
      <c r="F1748" s="1">
        <v>45824</v>
      </c>
      <c r="G1748">
        <v>2</v>
      </c>
      <c r="H1748">
        <v>852.7</v>
      </c>
      <c r="I1748">
        <v>10</v>
      </c>
      <c r="J1748" t="s">
        <v>82</v>
      </c>
      <c r="K1748">
        <v>170.54</v>
      </c>
      <c r="L1748">
        <v>1705.4</v>
      </c>
      <c r="M1748">
        <v>1534.86</v>
      </c>
      <c r="N1748" t="s">
        <v>72</v>
      </c>
      <c r="O1748">
        <v>2025</v>
      </c>
    </row>
    <row r="1749" spans="1:15" x14ac:dyDescent="0.3">
      <c r="A1749" t="s">
        <v>1834</v>
      </c>
      <c r="B1749" t="s">
        <v>93</v>
      </c>
      <c r="C1749" t="s">
        <v>54</v>
      </c>
      <c r="D1749" t="s">
        <v>77</v>
      </c>
      <c r="E1749" t="s">
        <v>30</v>
      </c>
      <c r="F1749" s="1">
        <v>45851</v>
      </c>
      <c r="G1749">
        <v>4</v>
      </c>
      <c r="H1749">
        <v>4853.2</v>
      </c>
      <c r="I1749">
        <v>5</v>
      </c>
      <c r="J1749" t="s">
        <v>31</v>
      </c>
      <c r="K1749">
        <v>970.64</v>
      </c>
      <c r="L1749">
        <v>19412.8</v>
      </c>
      <c r="M1749">
        <v>18442.16</v>
      </c>
      <c r="N1749" t="s">
        <v>122</v>
      </c>
      <c r="O1749">
        <v>2025</v>
      </c>
    </row>
    <row r="1750" spans="1:15" x14ac:dyDescent="0.3">
      <c r="A1750" t="s">
        <v>1835</v>
      </c>
      <c r="B1750" t="s">
        <v>43</v>
      </c>
      <c r="C1750" t="s">
        <v>90</v>
      </c>
      <c r="D1750" t="s">
        <v>107</v>
      </c>
      <c r="E1750" t="s">
        <v>30</v>
      </c>
      <c r="F1750" s="1">
        <v>45705</v>
      </c>
      <c r="G1750">
        <v>7</v>
      </c>
      <c r="H1750">
        <v>11931.2</v>
      </c>
      <c r="I1750">
        <v>15</v>
      </c>
      <c r="J1750" t="s">
        <v>31</v>
      </c>
      <c r="K1750">
        <v>12527.76</v>
      </c>
      <c r="L1750">
        <v>83518.399999999994</v>
      </c>
      <c r="M1750">
        <v>70990.64</v>
      </c>
      <c r="N1750" t="s">
        <v>41</v>
      </c>
      <c r="O1750">
        <v>2025</v>
      </c>
    </row>
    <row r="1751" spans="1:15" x14ac:dyDescent="0.3">
      <c r="A1751" t="s">
        <v>1836</v>
      </c>
      <c r="B1751" t="s">
        <v>47</v>
      </c>
      <c r="C1751" t="s">
        <v>17</v>
      </c>
      <c r="D1751" t="s">
        <v>157</v>
      </c>
      <c r="E1751" t="s">
        <v>19</v>
      </c>
      <c r="F1751" s="1">
        <v>45916</v>
      </c>
      <c r="G1751">
        <v>7</v>
      </c>
      <c r="H1751">
        <v>6835.32</v>
      </c>
      <c r="I1751">
        <v>10</v>
      </c>
      <c r="J1751" t="s">
        <v>71</v>
      </c>
      <c r="K1751">
        <v>4784.72</v>
      </c>
      <c r="L1751">
        <v>47847.24</v>
      </c>
      <c r="M1751">
        <v>43062.52</v>
      </c>
      <c r="N1751" t="s">
        <v>86</v>
      </c>
      <c r="O1751">
        <v>2025</v>
      </c>
    </row>
    <row r="1752" spans="1:15" x14ac:dyDescent="0.3">
      <c r="A1752" t="s">
        <v>1837</v>
      </c>
      <c r="B1752" t="s">
        <v>38</v>
      </c>
      <c r="C1752" t="s">
        <v>17</v>
      </c>
      <c r="D1752" t="s">
        <v>24</v>
      </c>
      <c r="E1752" t="s">
        <v>25</v>
      </c>
      <c r="F1752" s="1">
        <v>45383</v>
      </c>
      <c r="G1752">
        <v>5</v>
      </c>
      <c r="H1752">
        <v>3369.07</v>
      </c>
      <c r="I1752">
        <v>20</v>
      </c>
      <c r="J1752" t="s">
        <v>20</v>
      </c>
      <c r="K1752">
        <v>3369.07</v>
      </c>
      <c r="L1752">
        <v>16845.349999999999</v>
      </c>
      <c r="M1752">
        <v>13476.28</v>
      </c>
      <c r="N1752" t="s">
        <v>27</v>
      </c>
      <c r="O1752">
        <v>2024</v>
      </c>
    </row>
    <row r="1753" spans="1:15" x14ac:dyDescent="0.3">
      <c r="A1753" t="s">
        <v>1838</v>
      </c>
      <c r="B1753" t="s">
        <v>61</v>
      </c>
      <c r="C1753" t="s">
        <v>54</v>
      </c>
      <c r="D1753" t="s">
        <v>55</v>
      </c>
      <c r="E1753" t="s">
        <v>19</v>
      </c>
      <c r="F1753" s="1">
        <v>45839</v>
      </c>
      <c r="G1753">
        <v>1</v>
      </c>
      <c r="H1753">
        <v>1094.1600000000001</v>
      </c>
      <c r="I1753">
        <v>10</v>
      </c>
      <c r="J1753" t="s">
        <v>26</v>
      </c>
      <c r="K1753">
        <v>109.42</v>
      </c>
      <c r="L1753">
        <v>1094.1600000000001</v>
      </c>
      <c r="M1753">
        <v>984.74</v>
      </c>
      <c r="N1753" t="s">
        <v>122</v>
      </c>
      <c r="O1753">
        <v>2025</v>
      </c>
    </row>
    <row r="1754" spans="1:15" x14ac:dyDescent="0.3">
      <c r="A1754" t="s">
        <v>1839</v>
      </c>
      <c r="B1754" t="s">
        <v>33</v>
      </c>
      <c r="C1754" t="s">
        <v>90</v>
      </c>
      <c r="D1754" t="s">
        <v>107</v>
      </c>
      <c r="E1754" t="s">
        <v>81</v>
      </c>
      <c r="F1754" s="1">
        <v>45992</v>
      </c>
      <c r="G1754">
        <v>7</v>
      </c>
      <c r="H1754">
        <v>14317.18</v>
      </c>
      <c r="I1754">
        <v>20</v>
      </c>
      <c r="J1754" t="s">
        <v>26</v>
      </c>
      <c r="K1754">
        <v>20044.05</v>
      </c>
      <c r="L1754">
        <v>100220.26</v>
      </c>
      <c r="M1754">
        <v>80176.210000000006</v>
      </c>
      <c r="N1754" t="s">
        <v>51</v>
      </c>
      <c r="O1754">
        <v>2025</v>
      </c>
    </row>
    <row r="1755" spans="1:15" x14ac:dyDescent="0.3">
      <c r="A1755" t="s">
        <v>1840</v>
      </c>
      <c r="B1755" t="s">
        <v>33</v>
      </c>
      <c r="C1755" t="s">
        <v>34</v>
      </c>
      <c r="D1755" t="s">
        <v>66</v>
      </c>
      <c r="E1755" t="s">
        <v>30</v>
      </c>
      <c r="F1755" s="1">
        <v>45511</v>
      </c>
      <c r="G1755">
        <v>2</v>
      </c>
      <c r="H1755">
        <v>40572.339999999997</v>
      </c>
      <c r="I1755">
        <v>5</v>
      </c>
      <c r="J1755" t="s">
        <v>26</v>
      </c>
      <c r="K1755">
        <v>4057.23</v>
      </c>
      <c r="L1755">
        <v>81144.679999999993</v>
      </c>
      <c r="M1755">
        <v>77087.45</v>
      </c>
      <c r="N1755" t="s">
        <v>21</v>
      </c>
      <c r="O1755">
        <v>2024</v>
      </c>
    </row>
    <row r="1756" spans="1:15" x14ac:dyDescent="0.3">
      <c r="A1756" t="s">
        <v>1841</v>
      </c>
      <c r="B1756" t="s">
        <v>47</v>
      </c>
      <c r="C1756" t="s">
        <v>34</v>
      </c>
      <c r="D1756" t="s">
        <v>48</v>
      </c>
      <c r="E1756" t="s">
        <v>30</v>
      </c>
      <c r="F1756" s="1">
        <v>45799</v>
      </c>
      <c r="G1756">
        <v>4</v>
      </c>
      <c r="H1756">
        <v>8342.2900000000009</v>
      </c>
      <c r="I1756">
        <v>20</v>
      </c>
      <c r="J1756" t="s">
        <v>20</v>
      </c>
      <c r="K1756">
        <v>6673.83</v>
      </c>
      <c r="L1756">
        <v>33369.160000000003</v>
      </c>
      <c r="M1756">
        <v>26695.33</v>
      </c>
      <c r="N1756" t="s">
        <v>101</v>
      </c>
      <c r="O1756">
        <v>2025</v>
      </c>
    </row>
    <row r="1757" spans="1:15" x14ac:dyDescent="0.3">
      <c r="A1757" t="s">
        <v>1842</v>
      </c>
      <c r="B1757" t="s">
        <v>114</v>
      </c>
      <c r="C1757" t="s">
        <v>17</v>
      </c>
      <c r="D1757" t="s">
        <v>18</v>
      </c>
      <c r="E1757" t="s">
        <v>56</v>
      </c>
      <c r="F1757" s="1">
        <v>45997</v>
      </c>
      <c r="G1757">
        <v>2</v>
      </c>
      <c r="H1757">
        <v>80872.08</v>
      </c>
      <c r="I1757">
        <v>0</v>
      </c>
      <c r="J1757" t="s">
        <v>20</v>
      </c>
      <c r="K1757">
        <v>0</v>
      </c>
      <c r="L1757">
        <v>161744.16</v>
      </c>
      <c r="M1757">
        <v>161744.16</v>
      </c>
      <c r="N1757" t="s">
        <v>51</v>
      </c>
      <c r="O1757">
        <v>2025</v>
      </c>
    </row>
    <row r="1758" spans="1:15" x14ac:dyDescent="0.3">
      <c r="A1758" t="s">
        <v>1843</v>
      </c>
      <c r="B1758" t="s">
        <v>53</v>
      </c>
      <c r="C1758" t="s">
        <v>34</v>
      </c>
      <c r="D1758" t="s">
        <v>48</v>
      </c>
      <c r="E1758" t="s">
        <v>56</v>
      </c>
      <c r="F1758" s="1">
        <v>45672</v>
      </c>
      <c r="G1758">
        <v>7</v>
      </c>
      <c r="H1758">
        <v>7289.51</v>
      </c>
      <c r="I1758">
        <v>5</v>
      </c>
      <c r="J1758" t="s">
        <v>20</v>
      </c>
      <c r="K1758">
        <v>2551.33</v>
      </c>
      <c r="L1758">
        <v>51026.57</v>
      </c>
      <c r="M1758">
        <v>48475.24</v>
      </c>
      <c r="N1758" t="s">
        <v>116</v>
      </c>
      <c r="O1758">
        <v>2025</v>
      </c>
    </row>
    <row r="1759" spans="1:15" x14ac:dyDescent="0.3">
      <c r="A1759" t="s">
        <v>1844</v>
      </c>
      <c r="B1759" t="s">
        <v>93</v>
      </c>
      <c r="C1759" t="s">
        <v>54</v>
      </c>
      <c r="D1759" t="s">
        <v>55</v>
      </c>
      <c r="E1759" t="s">
        <v>30</v>
      </c>
      <c r="F1759" s="1">
        <v>45724</v>
      </c>
      <c r="G1759">
        <v>10</v>
      </c>
      <c r="H1759">
        <v>1293.05</v>
      </c>
      <c r="I1759">
        <v>10</v>
      </c>
      <c r="J1759" t="s">
        <v>40</v>
      </c>
      <c r="K1759">
        <v>1293.05</v>
      </c>
      <c r="L1759">
        <v>12930.5</v>
      </c>
      <c r="M1759">
        <v>11637.45</v>
      </c>
      <c r="N1759" t="s">
        <v>83</v>
      </c>
      <c r="O1759">
        <v>2025</v>
      </c>
    </row>
    <row r="1760" spans="1:15" x14ac:dyDescent="0.3">
      <c r="A1760" t="s">
        <v>1845</v>
      </c>
      <c r="B1760" t="s">
        <v>23</v>
      </c>
      <c r="C1760" t="s">
        <v>34</v>
      </c>
      <c r="D1760" t="s">
        <v>48</v>
      </c>
      <c r="E1760" t="s">
        <v>30</v>
      </c>
      <c r="F1760" s="1">
        <v>45717</v>
      </c>
      <c r="G1760">
        <v>7</v>
      </c>
      <c r="H1760">
        <v>7954.26</v>
      </c>
      <c r="I1760">
        <v>5</v>
      </c>
      <c r="J1760" t="s">
        <v>26</v>
      </c>
      <c r="K1760">
        <v>2783.99</v>
      </c>
      <c r="L1760">
        <v>55679.82</v>
      </c>
      <c r="M1760">
        <v>52895.83</v>
      </c>
      <c r="N1760" t="s">
        <v>83</v>
      </c>
      <c r="O1760">
        <v>2025</v>
      </c>
    </row>
    <row r="1761" spans="1:15" x14ac:dyDescent="0.3">
      <c r="A1761" t="s">
        <v>1846</v>
      </c>
      <c r="B1761" t="s">
        <v>93</v>
      </c>
      <c r="C1761" t="s">
        <v>90</v>
      </c>
      <c r="D1761" t="s">
        <v>115</v>
      </c>
      <c r="E1761" t="s">
        <v>25</v>
      </c>
      <c r="F1761" s="1">
        <v>45334</v>
      </c>
      <c r="G1761">
        <v>8</v>
      </c>
      <c r="H1761">
        <v>7457.78</v>
      </c>
      <c r="I1761">
        <v>5</v>
      </c>
      <c r="J1761" t="s">
        <v>31</v>
      </c>
      <c r="K1761">
        <v>2983.11</v>
      </c>
      <c r="L1761">
        <v>59662.239999999998</v>
      </c>
      <c r="M1761">
        <v>56679.13</v>
      </c>
      <c r="N1761" t="s">
        <v>41</v>
      </c>
      <c r="O1761">
        <v>2024</v>
      </c>
    </row>
    <row r="1762" spans="1:15" x14ac:dyDescent="0.3">
      <c r="A1762" t="s">
        <v>1847</v>
      </c>
      <c r="B1762" t="s">
        <v>47</v>
      </c>
      <c r="C1762" t="s">
        <v>17</v>
      </c>
      <c r="D1762" t="s">
        <v>18</v>
      </c>
      <c r="E1762" t="s">
        <v>50</v>
      </c>
      <c r="F1762" s="1">
        <v>45360</v>
      </c>
      <c r="G1762">
        <v>3</v>
      </c>
      <c r="H1762">
        <v>67225.27</v>
      </c>
      <c r="I1762">
        <v>5</v>
      </c>
      <c r="J1762" t="s">
        <v>71</v>
      </c>
      <c r="K1762">
        <v>10083.790000000001</v>
      </c>
      <c r="L1762">
        <v>201675.81</v>
      </c>
      <c r="M1762">
        <v>191592.02</v>
      </c>
      <c r="N1762" t="s">
        <v>83</v>
      </c>
      <c r="O1762">
        <v>2024</v>
      </c>
    </row>
    <row r="1763" spans="1:15" x14ac:dyDescent="0.3">
      <c r="A1763" t="s">
        <v>1848</v>
      </c>
      <c r="B1763" t="s">
        <v>43</v>
      </c>
      <c r="C1763" t="s">
        <v>62</v>
      </c>
      <c r="D1763" t="s">
        <v>99</v>
      </c>
      <c r="E1763" t="s">
        <v>81</v>
      </c>
      <c r="F1763" s="1">
        <v>45583</v>
      </c>
      <c r="G1763">
        <v>10</v>
      </c>
      <c r="H1763">
        <v>1592.87</v>
      </c>
      <c r="I1763">
        <v>0</v>
      </c>
      <c r="J1763" t="s">
        <v>40</v>
      </c>
      <c r="K1763">
        <v>0</v>
      </c>
      <c r="L1763">
        <v>15928.7</v>
      </c>
      <c r="M1763">
        <v>15928.7</v>
      </c>
      <c r="N1763" t="s">
        <v>57</v>
      </c>
      <c r="O1763">
        <v>2024</v>
      </c>
    </row>
    <row r="1764" spans="1:15" x14ac:dyDescent="0.3">
      <c r="A1764" t="s">
        <v>1849</v>
      </c>
      <c r="B1764" t="s">
        <v>47</v>
      </c>
      <c r="C1764" t="s">
        <v>90</v>
      </c>
      <c r="D1764" t="s">
        <v>107</v>
      </c>
      <c r="E1764" t="s">
        <v>81</v>
      </c>
      <c r="F1764" s="1">
        <v>45497</v>
      </c>
      <c r="G1764">
        <v>3</v>
      </c>
      <c r="H1764">
        <v>12354.68</v>
      </c>
      <c r="I1764">
        <v>0</v>
      </c>
      <c r="J1764" t="s">
        <v>71</v>
      </c>
      <c r="K1764">
        <v>0</v>
      </c>
      <c r="L1764">
        <v>37064.04</v>
      </c>
      <c r="M1764">
        <v>37064.04</v>
      </c>
      <c r="N1764" t="s">
        <v>122</v>
      </c>
      <c r="O1764">
        <v>2024</v>
      </c>
    </row>
    <row r="1765" spans="1:15" x14ac:dyDescent="0.3">
      <c r="A1765" t="s">
        <v>1850</v>
      </c>
      <c r="B1765" t="s">
        <v>47</v>
      </c>
      <c r="C1765" t="s">
        <v>90</v>
      </c>
      <c r="D1765" t="s">
        <v>152</v>
      </c>
      <c r="E1765" t="s">
        <v>25</v>
      </c>
      <c r="F1765" s="1">
        <v>45330</v>
      </c>
      <c r="G1765">
        <v>7</v>
      </c>
      <c r="H1765">
        <v>9461.2000000000007</v>
      </c>
      <c r="I1765">
        <v>0</v>
      </c>
      <c r="J1765" t="s">
        <v>20</v>
      </c>
      <c r="K1765">
        <v>0</v>
      </c>
      <c r="L1765">
        <v>66228.399999999994</v>
      </c>
      <c r="M1765">
        <v>66228.399999999994</v>
      </c>
      <c r="N1765" t="s">
        <v>41</v>
      </c>
      <c r="O1765">
        <v>2024</v>
      </c>
    </row>
    <row r="1766" spans="1:15" x14ac:dyDescent="0.3">
      <c r="A1766" t="s">
        <v>1851</v>
      </c>
      <c r="B1766" t="s">
        <v>93</v>
      </c>
      <c r="C1766" t="s">
        <v>34</v>
      </c>
      <c r="D1766" t="s">
        <v>35</v>
      </c>
      <c r="E1766" t="s">
        <v>19</v>
      </c>
      <c r="F1766" s="1">
        <v>45438</v>
      </c>
      <c r="G1766">
        <v>8</v>
      </c>
      <c r="H1766">
        <v>26231.26</v>
      </c>
      <c r="I1766">
        <v>0</v>
      </c>
      <c r="J1766" t="s">
        <v>71</v>
      </c>
      <c r="K1766">
        <v>0</v>
      </c>
      <c r="L1766">
        <v>209850.08</v>
      </c>
      <c r="M1766">
        <v>209850.08</v>
      </c>
      <c r="N1766" t="s">
        <v>101</v>
      </c>
      <c r="O1766">
        <v>2024</v>
      </c>
    </row>
    <row r="1767" spans="1:15" x14ac:dyDescent="0.3">
      <c r="A1767" t="s">
        <v>1852</v>
      </c>
      <c r="B1767" t="s">
        <v>74</v>
      </c>
      <c r="C1767" t="s">
        <v>54</v>
      </c>
      <c r="D1767" t="s">
        <v>55</v>
      </c>
      <c r="E1767" t="s">
        <v>50</v>
      </c>
      <c r="F1767" s="1">
        <v>45336</v>
      </c>
      <c r="G1767">
        <v>10</v>
      </c>
      <c r="H1767">
        <v>1084.26</v>
      </c>
      <c r="I1767">
        <v>5</v>
      </c>
      <c r="J1767" t="s">
        <v>45</v>
      </c>
      <c r="K1767">
        <v>542.13</v>
      </c>
      <c r="L1767">
        <v>10842.6</v>
      </c>
      <c r="M1767">
        <v>10300.469999999999</v>
      </c>
      <c r="N1767" t="s">
        <v>41</v>
      </c>
      <c r="O1767">
        <v>2024</v>
      </c>
    </row>
    <row r="1768" spans="1:15" x14ac:dyDescent="0.3">
      <c r="A1768" t="s">
        <v>1853</v>
      </c>
      <c r="B1768" t="s">
        <v>114</v>
      </c>
      <c r="C1768" t="s">
        <v>62</v>
      </c>
      <c r="D1768" t="s">
        <v>119</v>
      </c>
      <c r="E1768" t="s">
        <v>50</v>
      </c>
      <c r="F1768" s="1">
        <v>45765</v>
      </c>
      <c r="G1768">
        <v>4</v>
      </c>
      <c r="H1768">
        <v>3938.87</v>
      </c>
      <c r="I1768">
        <v>0</v>
      </c>
      <c r="J1768" t="s">
        <v>45</v>
      </c>
      <c r="K1768">
        <v>0</v>
      </c>
      <c r="L1768">
        <v>15755.48</v>
      </c>
      <c r="M1768">
        <v>15755.48</v>
      </c>
      <c r="N1768" t="s">
        <v>27</v>
      </c>
      <c r="O1768">
        <v>2025</v>
      </c>
    </row>
    <row r="1769" spans="1:15" x14ac:dyDescent="0.3">
      <c r="A1769" t="s">
        <v>1854</v>
      </c>
      <c r="B1769" t="s">
        <v>53</v>
      </c>
      <c r="C1769" t="s">
        <v>90</v>
      </c>
      <c r="D1769" t="s">
        <v>152</v>
      </c>
      <c r="E1769" t="s">
        <v>19</v>
      </c>
      <c r="F1769" s="1">
        <v>45522</v>
      </c>
      <c r="G1769">
        <v>3</v>
      </c>
      <c r="H1769">
        <v>10568.03</v>
      </c>
      <c r="I1769">
        <v>10</v>
      </c>
      <c r="J1769" t="s">
        <v>82</v>
      </c>
      <c r="K1769">
        <v>3170.41</v>
      </c>
      <c r="L1769">
        <v>31704.09</v>
      </c>
      <c r="M1769">
        <v>28533.68</v>
      </c>
      <c r="N1769" t="s">
        <v>21</v>
      </c>
      <c r="O1769">
        <v>2024</v>
      </c>
    </row>
    <row r="1770" spans="1:15" x14ac:dyDescent="0.3">
      <c r="A1770" t="s">
        <v>1855</v>
      </c>
      <c r="B1770" t="s">
        <v>38</v>
      </c>
      <c r="C1770" t="s">
        <v>90</v>
      </c>
      <c r="D1770" t="s">
        <v>105</v>
      </c>
      <c r="E1770" t="s">
        <v>56</v>
      </c>
      <c r="F1770" s="1">
        <v>45543</v>
      </c>
      <c r="G1770">
        <v>10</v>
      </c>
      <c r="H1770">
        <v>3612.49</v>
      </c>
      <c r="I1770">
        <v>20</v>
      </c>
      <c r="J1770" t="s">
        <v>82</v>
      </c>
      <c r="K1770">
        <v>7224.98</v>
      </c>
      <c r="L1770">
        <v>36124.9</v>
      </c>
      <c r="M1770">
        <v>28899.919999999998</v>
      </c>
      <c r="N1770" t="s">
        <v>86</v>
      </c>
      <c r="O1770">
        <v>2024</v>
      </c>
    </row>
    <row r="1771" spans="1:15" x14ac:dyDescent="0.3">
      <c r="A1771" t="s">
        <v>1856</v>
      </c>
      <c r="B1771" t="s">
        <v>65</v>
      </c>
      <c r="C1771" t="s">
        <v>34</v>
      </c>
      <c r="D1771" t="s">
        <v>85</v>
      </c>
      <c r="E1771" t="s">
        <v>19</v>
      </c>
      <c r="F1771" s="1">
        <v>45406</v>
      </c>
      <c r="G1771">
        <v>2</v>
      </c>
      <c r="H1771">
        <v>12029.77</v>
      </c>
      <c r="I1771">
        <v>20</v>
      </c>
      <c r="J1771" t="s">
        <v>26</v>
      </c>
      <c r="K1771">
        <v>4811.91</v>
      </c>
      <c r="L1771">
        <v>24059.54</v>
      </c>
      <c r="M1771">
        <v>19247.63</v>
      </c>
      <c r="N1771" t="s">
        <v>27</v>
      </c>
      <c r="O1771">
        <v>2024</v>
      </c>
    </row>
    <row r="1772" spans="1:15" x14ac:dyDescent="0.3">
      <c r="A1772" t="s">
        <v>1857</v>
      </c>
      <c r="B1772" t="s">
        <v>16</v>
      </c>
      <c r="C1772" t="s">
        <v>17</v>
      </c>
      <c r="D1772" t="s">
        <v>24</v>
      </c>
      <c r="E1772" t="s">
        <v>50</v>
      </c>
      <c r="F1772" s="1">
        <v>45671</v>
      </c>
      <c r="G1772">
        <v>1</v>
      </c>
      <c r="H1772">
        <v>2807.61</v>
      </c>
      <c r="I1772">
        <v>0</v>
      </c>
      <c r="J1772" t="s">
        <v>45</v>
      </c>
      <c r="K1772">
        <v>0</v>
      </c>
      <c r="L1772">
        <v>2807.61</v>
      </c>
      <c r="M1772">
        <v>2807.61</v>
      </c>
      <c r="N1772" t="s">
        <v>116</v>
      </c>
      <c r="O1772">
        <v>2025</v>
      </c>
    </row>
    <row r="1773" spans="1:15" x14ac:dyDescent="0.3">
      <c r="A1773" t="s">
        <v>1858</v>
      </c>
      <c r="B1773" t="s">
        <v>23</v>
      </c>
      <c r="C1773" t="s">
        <v>34</v>
      </c>
      <c r="D1773" t="s">
        <v>80</v>
      </c>
      <c r="E1773" t="s">
        <v>25</v>
      </c>
      <c r="F1773" s="1">
        <v>45688</v>
      </c>
      <c r="G1773">
        <v>10</v>
      </c>
      <c r="H1773">
        <v>5579.46</v>
      </c>
      <c r="I1773">
        <v>5</v>
      </c>
      <c r="J1773" t="s">
        <v>26</v>
      </c>
      <c r="K1773">
        <v>2789.73</v>
      </c>
      <c r="L1773">
        <v>55794.6</v>
      </c>
      <c r="M1773">
        <v>53004.87</v>
      </c>
      <c r="N1773" t="s">
        <v>116</v>
      </c>
      <c r="O1773">
        <v>2025</v>
      </c>
    </row>
    <row r="1774" spans="1:15" x14ac:dyDescent="0.3">
      <c r="A1774" t="s">
        <v>1859</v>
      </c>
      <c r="B1774" t="s">
        <v>65</v>
      </c>
      <c r="C1774" t="s">
        <v>17</v>
      </c>
      <c r="D1774" t="s">
        <v>24</v>
      </c>
      <c r="E1774" t="s">
        <v>25</v>
      </c>
      <c r="F1774" s="1">
        <v>45956</v>
      </c>
      <c r="G1774">
        <v>8</v>
      </c>
      <c r="H1774">
        <v>3743.2</v>
      </c>
      <c r="I1774">
        <v>15</v>
      </c>
      <c r="J1774" t="s">
        <v>26</v>
      </c>
      <c r="K1774">
        <v>4491.84</v>
      </c>
      <c r="L1774">
        <v>29945.599999999999</v>
      </c>
      <c r="M1774">
        <v>25453.759999999998</v>
      </c>
      <c r="N1774" t="s">
        <v>57</v>
      </c>
      <c r="O1774">
        <v>2025</v>
      </c>
    </row>
    <row r="1775" spans="1:15" x14ac:dyDescent="0.3">
      <c r="A1775" t="s">
        <v>1860</v>
      </c>
      <c r="B1775" t="s">
        <v>23</v>
      </c>
      <c r="C1775" t="s">
        <v>62</v>
      </c>
      <c r="D1775" t="s">
        <v>132</v>
      </c>
      <c r="E1775" t="s">
        <v>56</v>
      </c>
      <c r="F1775" s="1">
        <v>45991</v>
      </c>
      <c r="G1775">
        <v>8</v>
      </c>
      <c r="H1775">
        <v>2896.17</v>
      </c>
      <c r="I1775">
        <v>10</v>
      </c>
      <c r="J1775" t="s">
        <v>20</v>
      </c>
      <c r="K1775">
        <v>2316.94</v>
      </c>
      <c r="L1775">
        <v>23169.360000000001</v>
      </c>
      <c r="M1775">
        <v>20852.419999999998</v>
      </c>
      <c r="N1775" t="s">
        <v>96</v>
      </c>
      <c r="O1775">
        <v>2025</v>
      </c>
    </row>
    <row r="1776" spans="1:15" x14ac:dyDescent="0.3">
      <c r="A1776" t="s">
        <v>1861</v>
      </c>
      <c r="B1776" t="s">
        <v>114</v>
      </c>
      <c r="C1776" t="s">
        <v>90</v>
      </c>
      <c r="D1776" t="s">
        <v>152</v>
      </c>
      <c r="E1776" t="s">
        <v>50</v>
      </c>
      <c r="F1776" s="1">
        <v>45841</v>
      </c>
      <c r="G1776">
        <v>6</v>
      </c>
      <c r="H1776">
        <v>9559.6</v>
      </c>
      <c r="I1776">
        <v>10</v>
      </c>
      <c r="J1776" t="s">
        <v>71</v>
      </c>
      <c r="K1776">
        <v>5735.76</v>
      </c>
      <c r="L1776">
        <v>57357.599999999999</v>
      </c>
      <c r="M1776">
        <v>51621.84</v>
      </c>
      <c r="N1776" t="s">
        <v>122</v>
      </c>
      <c r="O1776">
        <v>2025</v>
      </c>
    </row>
    <row r="1777" spans="1:15" x14ac:dyDescent="0.3">
      <c r="A1777" t="s">
        <v>1862</v>
      </c>
      <c r="B1777" t="s">
        <v>43</v>
      </c>
      <c r="C1777" t="s">
        <v>34</v>
      </c>
      <c r="D1777" t="s">
        <v>35</v>
      </c>
      <c r="E1777" t="s">
        <v>50</v>
      </c>
      <c r="F1777" s="1">
        <v>45313</v>
      </c>
      <c r="G1777">
        <v>7</v>
      </c>
      <c r="H1777">
        <v>27534.07</v>
      </c>
      <c r="I1777">
        <v>5</v>
      </c>
      <c r="J1777" t="s">
        <v>45</v>
      </c>
      <c r="K1777">
        <v>9636.92</v>
      </c>
      <c r="L1777">
        <v>192738.49</v>
      </c>
      <c r="M1777">
        <v>183101.57</v>
      </c>
      <c r="N1777" t="s">
        <v>116</v>
      </c>
      <c r="O1777">
        <v>2024</v>
      </c>
    </row>
    <row r="1778" spans="1:15" x14ac:dyDescent="0.3">
      <c r="A1778" t="s">
        <v>1863</v>
      </c>
      <c r="B1778" t="s">
        <v>23</v>
      </c>
      <c r="C1778" t="s">
        <v>17</v>
      </c>
      <c r="D1778" t="s">
        <v>157</v>
      </c>
      <c r="E1778" t="s">
        <v>30</v>
      </c>
      <c r="F1778" s="1">
        <v>45703</v>
      </c>
      <c r="G1778">
        <v>3</v>
      </c>
      <c r="H1778">
        <v>7770.24</v>
      </c>
      <c r="I1778">
        <v>10</v>
      </c>
      <c r="J1778" t="s">
        <v>20</v>
      </c>
      <c r="K1778">
        <v>2331.0700000000002</v>
      </c>
      <c r="L1778">
        <v>23310.720000000001</v>
      </c>
      <c r="M1778">
        <v>20979.65</v>
      </c>
      <c r="N1778" t="s">
        <v>41</v>
      </c>
      <c r="O1778">
        <v>2025</v>
      </c>
    </row>
    <row r="1779" spans="1:15" x14ac:dyDescent="0.3">
      <c r="A1779" t="s">
        <v>1864</v>
      </c>
      <c r="B1779" t="s">
        <v>23</v>
      </c>
      <c r="C1779" t="s">
        <v>34</v>
      </c>
      <c r="D1779" t="s">
        <v>35</v>
      </c>
      <c r="E1779" t="s">
        <v>56</v>
      </c>
      <c r="F1779" s="1">
        <v>45755</v>
      </c>
      <c r="G1779">
        <v>8</v>
      </c>
      <c r="H1779">
        <v>28452.34</v>
      </c>
      <c r="I1779">
        <v>15</v>
      </c>
      <c r="J1779" t="s">
        <v>71</v>
      </c>
      <c r="K1779">
        <v>34142.81</v>
      </c>
      <c r="L1779">
        <v>227618.72</v>
      </c>
      <c r="M1779">
        <v>193475.91</v>
      </c>
      <c r="N1779" t="s">
        <v>27</v>
      </c>
      <c r="O1779">
        <v>2025</v>
      </c>
    </row>
    <row r="1780" spans="1:15" x14ac:dyDescent="0.3">
      <c r="A1780" t="s">
        <v>1865</v>
      </c>
      <c r="B1780" t="s">
        <v>33</v>
      </c>
      <c r="C1780" t="s">
        <v>62</v>
      </c>
      <c r="D1780" t="s">
        <v>119</v>
      </c>
      <c r="E1780" t="s">
        <v>30</v>
      </c>
      <c r="F1780" s="1">
        <v>45428</v>
      </c>
      <c r="G1780">
        <v>9</v>
      </c>
      <c r="H1780">
        <v>3330.18</v>
      </c>
      <c r="I1780">
        <v>5</v>
      </c>
      <c r="J1780" t="s">
        <v>31</v>
      </c>
      <c r="K1780">
        <v>1498.58</v>
      </c>
      <c r="L1780">
        <v>29971.62</v>
      </c>
      <c r="M1780">
        <v>28473.040000000001</v>
      </c>
      <c r="N1780" t="s">
        <v>101</v>
      </c>
      <c r="O1780">
        <v>2024</v>
      </c>
    </row>
    <row r="1781" spans="1:15" x14ac:dyDescent="0.3">
      <c r="A1781" t="s">
        <v>1866</v>
      </c>
      <c r="B1781" t="s">
        <v>29</v>
      </c>
      <c r="C1781" t="s">
        <v>34</v>
      </c>
      <c r="D1781" t="s">
        <v>66</v>
      </c>
      <c r="E1781" t="s">
        <v>44</v>
      </c>
      <c r="F1781" s="1">
        <v>45766</v>
      </c>
      <c r="G1781">
        <v>9</v>
      </c>
      <c r="H1781">
        <v>44624.39</v>
      </c>
      <c r="I1781">
        <v>15</v>
      </c>
      <c r="J1781" t="s">
        <v>45</v>
      </c>
      <c r="K1781">
        <v>60242.93</v>
      </c>
      <c r="L1781">
        <v>401619.51</v>
      </c>
      <c r="M1781">
        <v>341376.58</v>
      </c>
      <c r="N1781" t="s">
        <v>27</v>
      </c>
      <c r="O1781">
        <v>2025</v>
      </c>
    </row>
    <row r="1782" spans="1:15" x14ac:dyDescent="0.3">
      <c r="A1782" t="s">
        <v>1867</v>
      </c>
      <c r="B1782" t="s">
        <v>29</v>
      </c>
      <c r="C1782" t="s">
        <v>62</v>
      </c>
      <c r="D1782" t="s">
        <v>119</v>
      </c>
      <c r="E1782" t="s">
        <v>56</v>
      </c>
      <c r="F1782" s="1">
        <v>45773</v>
      </c>
      <c r="G1782">
        <v>2</v>
      </c>
      <c r="H1782">
        <v>3624.98</v>
      </c>
      <c r="I1782">
        <v>15</v>
      </c>
      <c r="J1782" t="s">
        <v>36</v>
      </c>
      <c r="K1782">
        <v>1087.49</v>
      </c>
      <c r="L1782">
        <v>7249.96</v>
      </c>
      <c r="M1782">
        <v>6162.47</v>
      </c>
      <c r="N1782" t="s">
        <v>27</v>
      </c>
      <c r="O1782">
        <v>2025</v>
      </c>
    </row>
    <row r="1783" spans="1:15" x14ac:dyDescent="0.3">
      <c r="A1783" t="s">
        <v>1868</v>
      </c>
      <c r="B1783" t="s">
        <v>23</v>
      </c>
      <c r="C1783" t="s">
        <v>62</v>
      </c>
      <c r="D1783" t="s">
        <v>132</v>
      </c>
      <c r="E1783" t="s">
        <v>25</v>
      </c>
      <c r="F1783" s="1">
        <v>45514</v>
      </c>
      <c r="G1783">
        <v>6</v>
      </c>
      <c r="H1783">
        <v>2594.81</v>
      </c>
      <c r="I1783">
        <v>5</v>
      </c>
      <c r="J1783" t="s">
        <v>20</v>
      </c>
      <c r="K1783">
        <v>778.44</v>
      </c>
      <c r="L1783">
        <v>15568.86</v>
      </c>
      <c r="M1783">
        <v>14790.42</v>
      </c>
      <c r="N1783" t="s">
        <v>21</v>
      </c>
      <c r="O1783">
        <v>2024</v>
      </c>
    </row>
    <row r="1784" spans="1:15" x14ac:dyDescent="0.3">
      <c r="A1784" t="s">
        <v>1869</v>
      </c>
      <c r="B1784" t="s">
        <v>23</v>
      </c>
      <c r="C1784" t="s">
        <v>90</v>
      </c>
      <c r="D1784" t="s">
        <v>91</v>
      </c>
      <c r="E1784" t="s">
        <v>50</v>
      </c>
      <c r="F1784" s="1">
        <v>45316</v>
      </c>
      <c r="G1784">
        <v>4</v>
      </c>
      <c r="H1784">
        <v>1494.74</v>
      </c>
      <c r="I1784">
        <v>5</v>
      </c>
      <c r="J1784" t="s">
        <v>71</v>
      </c>
      <c r="K1784">
        <v>298.95</v>
      </c>
      <c r="L1784">
        <v>5978.96</v>
      </c>
      <c r="M1784">
        <v>5680.01</v>
      </c>
      <c r="N1784" t="s">
        <v>116</v>
      </c>
      <c r="O1784">
        <v>2024</v>
      </c>
    </row>
    <row r="1785" spans="1:15" x14ac:dyDescent="0.3">
      <c r="A1785" t="s">
        <v>1870</v>
      </c>
      <c r="B1785" t="s">
        <v>74</v>
      </c>
      <c r="C1785" t="s">
        <v>62</v>
      </c>
      <c r="D1785" t="s">
        <v>132</v>
      </c>
      <c r="E1785" t="s">
        <v>50</v>
      </c>
      <c r="F1785" s="1">
        <v>45880</v>
      </c>
      <c r="G1785">
        <v>4</v>
      </c>
      <c r="H1785">
        <v>2344.1799999999998</v>
      </c>
      <c r="I1785">
        <v>10</v>
      </c>
      <c r="J1785" t="s">
        <v>31</v>
      </c>
      <c r="K1785">
        <v>937.67</v>
      </c>
      <c r="L1785">
        <v>9376.7199999999993</v>
      </c>
      <c r="M1785">
        <v>8439.0499999999993</v>
      </c>
      <c r="N1785" t="s">
        <v>21</v>
      </c>
      <c r="O1785">
        <v>2025</v>
      </c>
    </row>
    <row r="1786" spans="1:15" x14ac:dyDescent="0.3">
      <c r="A1786" t="s">
        <v>1871</v>
      </c>
      <c r="B1786" t="s">
        <v>38</v>
      </c>
      <c r="C1786" t="s">
        <v>90</v>
      </c>
      <c r="D1786" t="s">
        <v>107</v>
      </c>
      <c r="E1786" t="s">
        <v>30</v>
      </c>
      <c r="F1786" s="1">
        <v>45790</v>
      </c>
      <c r="G1786">
        <v>6</v>
      </c>
      <c r="H1786">
        <v>12631.07</v>
      </c>
      <c r="I1786">
        <v>20</v>
      </c>
      <c r="J1786" t="s">
        <v>36</v>
      </c>
      <c r="K1786">
        <v>15157.28</v>
      </c>
      <c r="L1786">
        <v>75786.42</v>
      </c>
      <c r="M1786">
        <v>60629.14</v>
      </c>
      <c r="N1786" t="s">
        <v>101</v>
      </c>
      <c r="O1786">
        <v>2025</v>
      </c>
    </row>
    <row r="1787" spans="1:15" x14ac:dyDescent="0.3">
      <c r="A1787" t="s">
        <v>1872</v>
      </c>
      <c r="B1787" t="s">
        <v>61</v>
      </c>
      <c r="C1787" t="s">
        <v>54</v>
      </c>
      <c r="D1787" t="s">
        <v>70</v>
      </c>
      <c r="E1787" t="s">
        <v>25</v>
      </c>
      <c r="F1787" s="1">
        <v>45379</v>
      </c>
      <c r="G1787">
        <v>1</v>
      </c>
      <c r="H1787">
        <v>2255.42</v>
      </c>
      <c r="I1787">
        <v>0</v>
      </c>
      <c r="J1787" t="s">
        <v>82</v>
      </c>
      <c r="K1787">
        <v>0</v>
      </c>
      <c r="L1787">
        <v>2255.42</v>
      </c>
      <c r="M1787">
        <v>2255.42</v>
      </c>
      <c r="N1787" t="s">
        <v>83</v>
      </c>
      <c r="O1787">
        <v>2024</v>
      </c>
    </row>
    <row r="1788" spans="1:15" x14ac:dyDescent="0.3">
      <c r="A1788" t="s">
        <v>1873</v>
      </c>
      <c r="B1788" t="s">
        <v>33</v>
      </c>
      <c r="C1788" t="s">
        <v>62</v>
      </c>
      <c r="D1788" t="s">
        <v>95</v>
      </c>
      <c r="E1788" t="s">
        <v>19</v>
      </c>
      <c r="F1788" s="1">
        <v>45446</v>
      </c>
      <c r="G1788">
        <v>4</v>
      </c>
      <c r="H1788">
        <v>781.51</v>
      </c>
      <c r="I1788">
        <v>0</v>
      </c>
      <c r="J1788" t="s">
        <v>20</v>
      </c>
      <c r="K1788">
        <v>0</v>
      </c>
      <c r="L1788">
        <v>3126.04</v>
      </c>
      <c r="M1788">
        <v>3126.04</v>
      </c>
      <c r="N1788" t="s">
        <v>72</v>
      </c>
      <c r="O1788">
        <v>2024</v>
      </c>
    </row>
    <row r="1789" spans="1:15" x14ac:dyDescent="0.3">
      <c r="A1789" t="s">
        <v>1874</v>
      </c>
      <c r="B1789" t="s">
        <v>114</v>
      </c>
      <c r="C1789" t="s">
        <v>62</v>
      </c>
      <c r="D1789" t="s">
        <v>132</v>
      </c>
      <c r="E1789" t="s">
        <v>19</v>
      </c>
      <c r="F1789" s="1">
        <v>45778</v>
      </c>
      <c r="G1789">
        <v>6</v>
      </c>
      <c r="H1789">
        <v>2689.75</v>
      </c>
      <c r="I1789">
        <v>10</v>
      </c>
      <c r="J1789" t="s">
        <v>71</v>
      </c>
      <c r="K1789">
        <v>1613.85</v>
      </c>
      <c r="L1789">
        <v>16138.5</v>
      </c>
      <c r="M1789">
        <v>14524.65</v>
      </c>
      <c r="N1789" t="s">
        <v>101</v>
      </c>
      <c r="O1789">
        <v>2025</v>
      </c>
    </row>
    <row r="1790" spans="1:15" x14ac:dyDescent="0.3">
      <c r="A1790" t="s">
        <v>1875</v>
      </c>
      <c r="B1790" t="s">
        <v>74</v>
      </c>
      <c r="C1790" t="s">
        <v>62</v>
      </c>
      <c r="D1790" t="s">
        <v>95</v>
      </c>
      <c r="E1790" t="s">
        <v>81</v>
      </c>
      <c r="F1790" s="1">
        <v>45447</v>
      </c>
      <c r="G1790">
        <v>3</v>
      </c>
      <c r="H1790">
        <v>803.04</v>
      </c>
      <c r="I1790">
        <v>20</v>
      </c>
      <c r="J1790" t="s">
        <v>36</v>
      </c>
      <c r="K1790">
        <v>481.82</v>
      </c>
      <c r="L1790">
        <v>2409.12</v>
      </c>
      <c r="M1790">
        <v>1927.3</v>
      </c>
      <c r="N1790" t="s">
        <v>72</v>
      </c>
      <c r="O1790">
        <v>2024</v>
      </c>
    </row>
    <row r="1791" spans="1:15" x14ac:dyDescent="0.3">
      <c r="A1791" t="s">
        <v>1876</v>
      </c>
      <c r="B1791" t="s">
        <v>53</v>
      </c>
      <c r="C1791" t="s">
        <v>54</v>
      </c>
      <c r="D1791" t="s">
        <v>68</v>
      </c>
      <c r="E1791" t="s">
        <v>81</v>
      </c>
      <c r="F1791" s="1">
        <v>46008</v>
      </c>
      <c r="G1791">
        <v>5</v>
      </c>
      <c r="H1791">
        <v>5308.83</v>
      </c>
      <c r="I1791">
        <v>5</v>
      </c>
      <c r="J1791" t="s">
        <v>71</v>
      </c>
      <c r="K1791">
        <v>1327.21</v>
      </c>
      <c r="L1791">
        <v>26544.15</v>
      </c>
      <c r="M1791">
        <v>25216.94</v>
      </c>
      <c r="N1791" t="s">
        <v>51</v>
      </c>
      <c r="O1791">
        <v>2025</v>
      </c>
    </row>
    <row r="1792" spans="1:15" x14ac:dyDescent="0.3">
      <c r="A1792" t="s">
        <v>1877</v>
      </c>
      <c r="B1792" t="s">
        <v>114</v>
      </c>
      <c r="C1792" t="s">
        <v>17</v>
      </c>
      <c r="D1792" t="s">
        <v>59</v>
      </c>
      <c r="E1792" t="s">
        <v>56</v>
      </c>
      <c r="F1792" s="1">
        <v>45332</v>
      </c>
      <c r="G1792">
        <v>3</v>
      </c>
      <c r="H1792">
        <v>28001.45</v>
      </c>
      <c r="I1792">
        <v>15</v>
      </c>
      <c r="J1792" t="s">
        <v>82</v>
      </c>
      <c r="K1792">
        <v>12600.65</v>
      </c>
      <c r="L1792">
        <v>84004.35</v>
      </c>
      <c r="M1792">
        <v>71403.7</v>
      </c>
      <c r="N1792" t="s">
        <v>41</v>
      </c>
      <c r="O1792">
        <v>2024</v>
      </c>
    </row>
    <row r="1793" spans="1:15" x14ac:dyDescent="0.3">
      <c r="A1793" t="s">
        <v>1878</v>
      </c>
      <c r="B1793" t="s">
        <v>53</v>
      </c>
      <c r="C1793" t="s">
        <v>90</v>
      </c>
      <c r="D1793" t="s">
        <v>152</v>
      </c>
      <c r="E1793" t="s">
        <v>44</v>
      </c>
      <c r="F1793" s="1">
        <v>45892</v>
      </c>
      <c r="G1793">
        <v>6</v>
      </c>
      <c r="H1793">
        <v>11327.36</v>
      </c>
      <c r="I1793">
        <v>20</v>
      </c>
      <c r="J1793" t="s">
        <v>26</v>
      </c>
      <c r="K1793">
        <v>13592.83</v>
      </c>
      <c r="L1793">
        <v>67964.160000000003</v>
      </c>
      <c r="M1793">
        <v>54371.33</v>
      </c>
      <c r="N1793" t="s">
        <v>21</v>
      </c>
      <c r="O1793">
        <v>2025</v>
      </c>
    </row>
    <row r="1794" spans="1:15" x14ac:dyDescent="0.3">
      <c r="A1794" t="s">
        <v>1879</v>
      </c>
      <c r="B1794" t="s">
        <v>89</v>
      </c>
      <c r="C1794" t="s">
        <v>54</v>
      </c>
      <c r="D1794" t="s">
        <v>55</v>
      </c>
      <c r="E1794" t="s">
        <v>25</v>
      </c>
      <c r="F1794" s="1">
        <v>45979</v>
      </c>
      <c r="G1794">
        <v>10</v>
      </c>
      <c r="H1794">
        <v>1301.46</v>
      </c>
      <c r="I1794">
        <v>10</v>
      </c>
      <c r="J1794" t="s">
        <v>71</v>
      </c>
      <c r="K1794">
        <v>1301.46</v>
      </c>
      <c r="L1794">
        <v>13014.6</v>
      </c>
      <c r="M1794">
        <v>11713.14</v>
      </c>
      <c r="N1794" t="s">
        <v>96</v>
      </c>
      <c r="O1794">
        <v>2025</v>
      </c>
    </row>
    <row r="1795" spans="1:15" x14ac:dyDescent="0.3">
      <c r="A1795" t="s">
        <v>1880</v>
      </c>
      <c r="B1795" t="s">
        <v>47</v>
      </c>
      <c r="C1795" t="s">
        <v>17</v>
      </c>
      <c r="D1795" t="s">
        <v>39</v>
      </c>
      <c r="E1795" t="s">
        <v>50</v>
      </c>
      <c r="F1795" s="1">
        <v>45931</v>
      </c>
      <c r="G1795">
        <v>5</v>
      </c>
      <c r="H1795">
        <v>21173</v>
      </c>
      <c r="I1795">
        <v>5</v>
      </c>
      <c r="J1795" t="s">
        <v>36</v>
      </c>
      <c r="K1795">
        <v>5293.25</v>
      </c>
      <c r="L1795">
        <v>105865</v>
      </c>
      <c r="M1795">
        <v>100571.75</v>
      </c>
      <c r="N1795" t="s">
        <v>57</v>
      </c>
      <c r="O1795">
        <v>2025</v>
      </c>
    </row>
    <row r="1796" spans="1:15" x14ac:dyDescent="0.3">
      <c r="A1796" t="s">
        <v>1881</v>
      </c>
      <c r="B1796" t="s">
        <v>61</v>
      </c>
      <c r="C1796" t="s">
        <v>17</v>
      </c>
      <c r="D1796" t="s">
        <v>59</v>
      </c>
      <c r="E1796" t="s">
        <v>19</v>
      </c>
      <c r="F1796" s="1">
        <v>46020</v>
      </c>
      <c r="G1796">
        <v>2</v>
      </c>
      <c r="H1796">
        <v>27188.639999999999</v>
      </c>
      <c r="I1796">
        <v>15</v>
      </c>
      <c r="J1796" t="s">
        <v>40</v>
      </c>
      <c r="K1796">
        <v>8156.59</v>
      </c>
      <c r="L1796">
        <v>54377.279999999999</v>
      </c>
      <c r="M1796">
        <v>46220.69</v>
      </c>
      <c r="N1796" t="s">
        <v>51</v>
      </c>
      <c r="O1796">
        <v>2025</v>
      </c>
    </row>
    <row r="1797" spans="1:15" x14ac:dyDescent="0.3">
      <c r="A1797" t="s">
        <v>1882</v>
      </c>
      <c r="B1797" t="s">
        <v>114</v>
      </c>
      <c r="C1797" t="s">
        <v>17</v>
      </c>
      <c r="D1797" t="s">
        <v>24</v>
      </c>
      <c r="E1797" t="s">
        <v>81</v>
      </c>
      <c r="F1797" s="1">
        <v>45465</v>
      </c>
      <c r="G1797">
        <v>6</v>
      </c>
      <c r="H1797">
        <v>3338.44</v>
      </c>
      <c r="I1797">
        <v>5</v>
      </c>
      <c r="J1797" t="s">
        <v>31</v>
      </c>
      <c r="K1797">
        <v>1001.53</v>
      </c>
      <c r="L1797">
        <v>20030.64</v>
      </c>
      <c r="M1797">
        <v>19029.11</v>
      </c>
      <c r="N1797" t="s">
        <v>72</v>
      </c>
      <c r="O1797">
        <v>2024</v>
      </c>
    </row>
    <row r="1798" spans="1:15" x14ac:dyDescent="0.3">
      <c r="A1798" t="s">
        <v>1883</v>
      </c>
      <c r="B1798" t="s">
        <v>65</v>
      </c>
      <c r="C1798" t="s">
        <v>54</v>
      </c>
      <c r="D1798" t="s">
        <v>137</v>
      </c>
      <c r="E1798" t="s">
        <v>25</v>
      </c>
      <c r="F1798" s="1">
        <v>45618</v>
      </c>
      <c r="G1798">
        <v>3</v>
      </c>
      <c r="H1798">
        <v>903.87</v>
      </c>
      <c r="I1798">
        <v>5</v>
      </c>
      <c r="J1798" t="s">
        <v>71</v>
      </c>
      <c r="K1798">
        <v>135.58000000000001</v>
      </c>
      <c r="L1798">
        <v>2711.61</v>
      </c>
      <c r="M1798">
        <v>2576.0300000000002</v>
      </c>
      <c r="N1798" t="s">
        <v>96</v>
      </c>
      <c r="O1798">
        <v>2024</v>
      </c>
    </row>
    <row r="1799" spans="1:15" x14ac:dyDescent="0.3">
      <c r="A1799" t="s">
        <v>1884</v>
      </c>
      <c r="B1799" t="s">
        <v>89</v>
      </c>
      <c r="C1799" t="s">
        <v>62</v>
      </c>
      <c r="D1799" t="s">
        <v>119</v>
      </c>
      <c r="E1799" t="s">
        <v>56</v>
      </c>
      <c r="F1799" s="1">
        <v>45333</v>
      </c>
      <c r="G1799">
        <v>5</v>
      </c>
      <c r="H1799">
        <v>3806.25</v>
      </c>
      <c r="I1799">
        <v>15</v>
      </c>
      <c r="J1799" t="s">
        <v>45</v>
      </c>
      <c r="K1799">
        <v>2854.69</v>
      </c>
      <c r="L1799">
        <v>19031.25</v>
      </c>
      <c r="M1799">
        <v>16176.56</v>
      </c>
      <c r="N1799" t="s">
        <v>41</v>
      </c>
      <c r="O1799">
        <v>2024</v>
      </c>
    </row>
    <row r="1800" spans="1:15" x14ac:dyDescent="0.3">
      <c r="A1800" t="s">
        <v>1885</v>
      </c>
      <c r="B1800" t="s">
        <v>65</v>
      </c>
      <c r="C1800" t="s">
        <v>17</v>
      </c>
      <c r="D1800" t="s">
        <v>39</v>
      </c>
      <c r="E1800" t="s">
        <v>25</v>
      </c>
      <c r="F1800" s="1">
        <v>45931</v>
      </c>
      <c r="G1800">
        <v>1</v>
      </c>
      <c r="H1800">
        <v>21456.47</v>
      </c>
      <c r="I1800">
        <v>0</v>
      </c>
      <c r="J1800" t="s">
        <v>36</v>
      </c>
      <c r="K1800">
        <v>0</v>
      </c>
      <c r="L1800">
        <v>21456.47</v>
      </c>
      <c r="M1800">
        <v>21456.47</v>
      </c>
      <c r="N1800" t="s">
        <v>57</v>
      </c>
      <c r="O1800">
        <v>2025</v>
      </c>
    </row>
    <row r="1801" spans="1:15" x14ac:dyDescent="0.3">
      <c r="A1801" t="s">
        <v>1886</v>
      </c>
      <c r="B1801" t="s">
        <v>29</v>
      </c>
      <c r="C1801" t="s">
        <v>62</v>
      </c>
      <c r="D1801" t="s">
        <v>99</v>
      </c>
      <c r="E1801" t="s">
        <v>56</v>
      </c>
      <c r="F1801" s="1">
        <v>45689</v>
      </c>
      <c r="G1801">
        <v>1</v>
      </c>
      <c r="H1801">
        <v>1610.73</v>
      </c>
      <c r="I1801">
        <v>10</v>
      </c>
      <c r="J1801" t="s">
        <v>31</v>
      </c>
      <c r="K1801">
        <v>161.07</v>
      </c>
      <c r="L1801">
        <v>1610.73</v>
      </c>
      <c r="M1801">
        <v>1449.66</v>
      </c>
      <c r="N1801" t="s">
        <v>41</v>
      </c>
      <c r="O1801">
        <v>2025</v>
      </c>
    </row>
    <row r="1802" spans="1:15" x14ac:dyDescent="0.3">
      <c r="A1802" t="s">
        <v>1887</v>
      </c>
      <c r="B1802" t="s">
        <v>33</v>
      </c>
      <c r="C1802" t="s">
        <v>90</v>
      </c>
      <c r="D1802" t="s">
        <v>115</v>
      </c>
      <c r="E1802" t="s">
        <v>44</v>
      </c>
      <c r="F1802" s="1">
        <v>45708</v>
      </c>
      <c r="G1802">
        <v>6</v>
      </c>
      <c r="H1802">
        <v>7464.68</v>
      </c>
      <c r="I1802">
        <v>10</v>
      </c>
      <c r="J1802" t="s">
        <v>31</v>
      </c>
      <c r="K1802">
        <v>4478.8100000000004</v>
      </c>
      <c r="L1802">
        <v>44788.08</v>
      </c>
      <c r="M1802">
        <v>40309.269999999997</v>
      </c>
      <c r="N1802" t="s">
        <v>41</v>
      </c>
      <c r="O1802">
        <v>2025</v>
      </c>
    </row>
    <row r="1803" spans="1:15" x14ac:dyDescent="0.3">
      <c r="A1803" t="s">
        <v>1888</v>
      </c>
      <c r="B1803" t="s">
        <v>29</v>
      </c>
      <c r="C1803" t="s">
        <v>62</v>
      </c>
      <c r="D1803" t="s">
        <v>132</v>
      </c>
      <c r="E1803" t="s">
        <v>56</v>
      </c>
      <c r="F1803" s="1">
        <v>45565</v>
      </c>
      <c r="G1803">
        <v>2</v>
      </c>
      <c r="H1803">
        <v>2820.85</v>
      </c>
      <c r="I1803">
        <v>0</v>
      </c>
      <c r="J1803" t="s">
        <v>40</v>
      </c>
      <c r="K1803">
        <v>0</v>
      </c>
      <c r="L1803">
        <v>5641.7</v>
      </c>
      <c r="M1803">
        <v>5641.7</v>
      </c>
      <c r="N1803" t="s">
        <v>86</v>
      </c>
      <c r="O1803">
        <v>2024</v>
      </c>
    </row>
    <row r="1804" spans="1:15" x14ac:dyDescent="0.3">
      <c r="A1804" t="s">
        <v>1889</v>
      </c>
      <c r="B1804" t="s">
        <v>114</v>
      </c>
      <c r="C1804" t="s">
        <v>62</v>
      </c>
      <c r="D1804" t="s">
        <v>132</v>
      </c>
      <c r="E1804" t="s">
        <v>25</v>
      </c>
      <c r="F1804" s="1">
        <v>45423</v>
      </c>
      <c r="G1804">
        <v>2</v>
      </c>
      <c r="H1804">
        <v>2401.85</v>
      </c>
      <c r="I1804">
        <v>5</v>
      </c>
      <c r="J1804" t="s">
        <v>26</v>
      </c>
      <c r="K1804">
        <v>240.19</v>
      </c>
      <c r="L1804">
        <v>4803.7</v>
      </c>
      <c r="M1804">
        <v>4563.51</v>
      </c>
      <c r="N1804" t="s">
        <v>101</v>
      </c>
      <c r="O1804">
        <v>2024</v>
      </c>
    </row>
    <row r="1805" spans="1:15" x14ac:dyDescent="0.3">
      <c r="A1805" t="s">
        <v>1890</v>
      </c>
      <c r="B1805" t="s">
        <v>53</v>
      </c>
      <c r="C1805" t="s">
        <v>62</v>
      </c>
      <c r="D1805" t="s">
        <v>95</v>
      </c>
      <c r="E1805" t="s">
        <v>81</v>
      </c>
      <c r="F1805" s="1">
        <v>45381</v>
      </c>
      <c r="G1805">
        <v>2</v>
      </c>
      <c r="H1805">
        <v>721.93</v>
      </c>
      <c r="I1805">
        <v>0</v>
      </c>
      <c r="J1805" t="s">
        <v>20</v>
      </c>
      <c r="K1805">
        <v>0</v>
      </c>
      <c r="L1805">
        <v>1443.86</v>
      </c>
      <c r="M1805">
        <v>1443.86</v>
      </c>
      <c r="N1805" t="s">
        <v>83</v>
      </c>
      <c r="O1805">
        <v>2024</v>
      </c>
    </row>
    <row r="1806" spans="1:15" x14ac:dyDescent="0.3">
      <c r="A1806" t="s">
        <v>1891</v>
      </c>
      <c r="B1806" t="s">
        <v>47</v>
      </c>
      <c r="C1806" t="s">
        <v>62</v>
      </c>
      <c r="D1806" t="s">
        <v>132</v>
      </c>
      <c r="E1806" t="s">
        <v>50</v>
      </c>
      <c r="F1806" s="1">
        <v>45938</v>
      </c>
      <c r="G1806">
        <v>6</v>
      </c>
      <c r="H1806">
        <v>3015.47</v>
      </c>
      <c r="I1806">
        <v>0</v>
      </c>
      <c r="J1806" t="s">
        <v>71</v>
      </c>
      <c r="K1806">
        <v>0</v>
      </c>
      <c r="L1806">
        <v>18092.82</v>
      </c>
      <c r="M1806">
        <v>18092.82</v>
      </c>
      <c r="N1806" t="s">
        <v>57</v>
      </c>
      <c r="O1806">
        <v>2025</v>
      </c>
    </row>
    <row r="1807" spans="1:15" x14ac:dyDescent="0.3">
      <c r="A1807" t="s">
        <v>1892</v>
      </c>
      <c r="B1807" t="s">
        <v>109</v>
      </c>
      <c r="C1807" t="s">
        <v>54</v>
      </c>
      <c r="D1807" t="s">
        <v>70</v>
      </c>
      <c r="E1807" t="s">
        <v>30</v>
      </c>
      <c r="F1807" s="1">
        <v>45496</v>
      </c>
      <c r="G1807">
        <v>2</v>
      </c>
      <c r="H1807">
        <v>2365.98</v>
      </c>
      <c r="I1807">
        <v>0</v>
      </c>
      <c r="J1807" t="s">
        <v>36</v>
      </c>
      <c r="K1807">
        <v>0</v>
      </c>
      <c r="L1807">
        <v>4731.96</v>
      </c>
      <c r="M1807">
        <v>4731.96</v>
      </c>
      <c r="N1807" t="s">
        <v>122</v>
      </c>
      <c r="O1807">
        <v>2024</v>
      </c>
    </row>
    <row r="1808" spans="1:15" x14ac:dyDescent="0.3">
      <c r="A1808" t="s">
        <v>1893</v>
      </c>
      <c r="B1808" t="s">
        <v>74</v>
      </c>
      <c r="C1808" t="s">
        <v>17</v>
      </c>
      <c r="D1808" t="s">
        <v>157</v>
      </c>
      <c r="E1808" t="s">
        <v>30</v>
      </c>
      <c r="F1808" s="1">
        <v>45507</v>
      </c>
      <c r="G1808">
        <v>1</v>
      </c>
      <c r="H1808">
        <v>7554.71</v>
      </c>
      <c r="I1808">
        <v>15</v>
      </c>
      <c r="J1808" t="s">
        <v>20</v>
      </c>
      <c r="K1808">
        <v>1133.21</v>
      </c>
      <c r="L1808">
        <v>7554.71</v>
      </c>
      <c r="M1808">
        <v>6421.5</v>
      </c>
      <c r="N1808" t="s">
        <v>21</v>
      </c>
      <c r="O1808">
        <v>2024</v>
      </c>
    </row>
    <row r="1809" spans="1:15" x14ac:dyDescent="0.3">
      <c r="A1809" t="s">
        <v>1894</v>
      </c>
      <c r="B1809" t="s">
        <v>29</v>
      </c>
      <c r="C1809" t="s">
        <v>62</v>
      </c>
      <c r="D1809" t="s">
        <v>132</v>
      </c>
      <c r="E1809" t="s">
        <v>56</v>
      </c>
      <c r="F1809" s="1">
        <v>46017</v>
      </c>
      <c r="G1809">
        <v>8</v>
      </c>
      <c r="H1809">
        <v>2891.25</v>
      </c>
      <c r="I1809">
        <v>5</v>
      </c>
      <c r="J1809" t="s">
        <v>20</v>
      </c>
      <c r="K1809">
        <v>1156.5</v>
      </c>
      <c r="L1809">
        <v>23130</v>
      </c>
      <c r="M1809">
        <v>21973.5</v>
      </c>
      <c r="N1809" t="s">
        <v>51</v>
      </c>
      <c r="O1809">
        <v>2025</v>
      </c>
    </row>
    <row r="1810" spans="1:15" x14ac:dyDescent="0.3">
      <c r="A1810" t="s">
        <v>1895</v>
      </c>
      <c r="B1810" t="s">
        <v>16</v>
      </c>
      <c r="C1810" t="s">
        <v>90</v>
      </c>
      <c r="D1810" t="s">
        <v>115</v>
      </c>
      <c r="E1810" t="s">
        <v>30</v>
      </c>
      <c r="F1810" s="1">
        <v>45745</v>
      </c>
      <c r="G1810">
        <v>3</v>
      </c>
      <c r="H1810">
        <v>8215.17</v>
      </c>
      <c r="I1810">
        <v>0</v>
      </c>
      <c r="J1810" t="s">
        <v>26</v>
      </c>
      <c r="K1810">
        <v>0</v>
      </c>
      <c r="L1810">
        <v>24645.51</v>
      </c>
      <c r="M1810">
        <v>24645.51</v>
      </c>
      <c r="N1810" t="s">
        <v>83</v>
      </c>
      <c r="O1810">
        <v>2025</v>
      </c>
    </row>
    <row r="1811" spans="1:15" x14ac:dyDescent="0.3">
      <c r="A1811" t="s">
        <v>1896</v>
      </c>
      <c r="B1811" t="s">
        <v>43</v>
      </c>
      <c r="C1811" t="s">
        <v>34</v>
      </c>
      <c r="D1811" t="s">
        <v>85</v>
      </c>
      <c r="E1811" t="s">
        <v>50</v>
      </c>
      <c r="F1811" s="1">
        <v>46008</v>
      </c>
      <c r="G1811">
        <v>2</v>
      </c>
      <c r="H1811">
        <v>14199.46</v>
      </c>
      <c r="I1811">
        <v>0</v>
      </c>
      <c r="J1811" t="s">
        <v>20</v>
      </c>
      <c r="K1811">
        <v>0</v>
      </c>
      <c r="L1811">
        <v>28398.92</v>
      </c>
      <c r="M1811">
        <v>28398.92</v>
      </c>
      <c r="N1811" t="s">
        <v>51</v>
      </c>
      <c r="O1811">
        <v>2025</v>
      </c>
    </row>
    <row r="1812" spans="1:15" x14ac:dyDescent="0.3">
      <c r="A1812" t="s">
        <v>1897</v>
      </c>
      <c r="B1812" t="s">
        <v>38</v>
      </c>
      <c r="C1812" t="s">
        <v>34</v>
      </c>
      <c r="D1812" t="s">
        <v>85</v>
      </c>
      <c r="E1812" t="s">
        <v>19</v>
      </c>
      <c r="F1812" s="1">
        <v>45458</v>
      </c>
      <c r="G1812">
        <v>7</v>
      </c>
      <c r="H1812">
        <v>12705.89</v>
      </c>
      <c r="I1812">
        <v>20</v>
      </c>
      <c r="J1812" t="s">
        <v>20</v>
      </c>
      <c r="K1812">
        <v>17788.25</v>
      </c>
      <c r="L1812">
        <v>88941.23</v>
      </c>
      <c r="M1812">
        <v>71152.98</v>
      </c>
      <c r="N1812" t="s">
        <v>72</v>
      </c>
      <c r="O1812">
        <v>2024</v>
      </c>
    </row>
    <row r="1813" spans="1:15" x14ac:dyDescent="0.3">
      <c r="A1813" t="s">
        <v>1898</v>
      </c>
      <c r="B1813" t="s">
        <v>23</v>
      </c>
      <c r="C1813" t="s">
        <v>62</v>
      </c>
      <c r="D1813" t="s">
        <v>132</v>
      </c>
      <c r="E1813" t="s">
        <v>81</v>
      </c>
      <c r="F1813" s="1">
        <v>45515</v>
      </c>
      <c r="G1813">
        <v>7</v>
      </c>
      <c r="H1813">
        <v>2406.84</v>
      </c>
      <c r="I1813">
        <v>10</v>
      </c>
      <c r="J1813" t="s">
        <v>40</v>
      </c>
      <c r="K1813">
        <v>1684.79</v>
      </c>
      <c r="L1813">
        <v>16847.88</v>
      </c>
      <c r="M1813">
        <v>15163.09</v>
      </c>
      <c r="N1813" t="s">
        <v>21</v>
      </c>
      <c r="O1813">
        <v>2024</v>
      </c>
    </row>
    <row r="1814" spans="1:15" x14ac:dyDescent="0.3">
      <c r="A1814" t="s">
        <v>1899</v>
      </c>
      <c r="B1814" t="s">
        <v>109</v>
      </c>
      <c r="C1814" t="s">
        <v>34</v>
      </c>
      <c r="D1814" t="s">
        <v>66</v>
      </c>
      <c r="E1814" t="s">
        <v>30</v>
      </c>
      <c r="F1814" s="1">
        <v>45580</v>
      </c>
      <c r="G1814">
        <v>3</v>
      </c>
      <c r="H1814">
        <v>40311.19</v>
      </c>
      <c r="I1814">
        <v>0</v>
      </c>
      <c r="J1814" t="s">
        <v>40</v>
      </c>
      <c r="K1814">
        <v>0</v>
      </c>
      <c r="L1814">
        <v>120933.57</v>
      </c>
      <c r="M1814">
        <v>120933.57</v>
      </c>
      <c r="N1814" t="s">
        <v>57</v>
      </c>
      <c r="O1814">
        <v>2024</v>
      </c>
    </row>
    <row r="1815" spans="1:15" x14ac:dyDescent="0.3">
      <c r="A1815" t="s">
        <v>1900</v>
      </c>
      <c r="B1815" t="s">
        <v>114</v>
      </c>
      <c r="C1815" t="s">
        <v>90</v>
      </c>
      <c r="D1815" t="s">
        <v>115</v>
      </c>
      <c r="E1815" t="s">
        <v>30</v>
      </c>
      <c r="F1815" s="1">
        <v>45926</v>
      </c>
      <c r="G1815">
        <v>7</v>
      </c>
      <c r="H1815">
        <v>7359.9</v>
      </c>
      <c r="I1815">
        <v>15</v>
      </c>
      <c r="J1815" t="s">
        <v>26</v>
      </c>
      <c r="K1815">
        <v>7727.9</v>
      </c>
      <c r="L1815">
        <v>51519.3</v>
      </c>
      <c r="M1815">
        <v>43791.4</v>
      </c>
      <c r="N1815" t="s">
        <v>86</v>
      </c>
      <c r="O1815">
        <v>2025</v>
      </c>
    </row>
    <row r="1816" spans="1:15" x14ac:dyDescent="0.3">
      <c r="A1816" t="s">
        <v>1901</v>
      </c>
      <c r="B1816" t="s">
        <v>33</v>
      </c>
      <c r="C1816" t="s">
        <v>17</v>
      </c>
      <c r="D1816" t="s">
        <v>18</v>
      </c>
      <c r="E1816" t="s">
        <v>81</v>
      </c>
      <c r="F1816" s="1">
        <v>46006</v>
      </c>
      <c r="G1816">
        <v>10</v>
      </c>
      <c r="H1816">
        <v>76472.75</v>
      </c>
      <c r="I1816">
        <v>0</v>
      </c>
      <c r="J1816" t="s">
        <v>45</v>
      </c>
      <c r="K1816">
        <v>0</v>
      </c>
      <c r="L1816">
        <v>764727.5</v>
      </c>
      <c r="M1816">
        <v>764727.5</v>
      </c>
      <c r="N1816" t="s">
        <v>51</v>
      </c>
      <c r="O1816">
        <v>2025</v>
      </c>
    </row>
    <row r="1817" spans="1:15" x14ac:dyDescent="0.3">
      <c r="A1817" t="s">
        <v>1902</v>
      </c>
      <c r="B1817" t="s">
        <v>16</v>
      </c>
      <c r="C1817" t="s">
        <v>54</v>
      </c>
      <c r="D1817" t="s">
        <v>137</v>
      </c>
      <c r="E1817" t="s">
        <v>44</v>
      </c>
      <c r="F1817" s="1">
        <v>45753</v>
      </c>
      <c r="G1817">
        <v>6</v>
      </c>
      <c r="H1817">
        <v>976.99</v>
      </c>
      <c r="I1817">
        <v>15</v>
      </c>
      <c r="J1817" t="s">
        <v>45</v>
      </c>
      <c r="K1817">
        <v>879.29</v>
      </c>
      <c r="L1817">
        <v>5861.94</v>
      </c>
      <c r="M1817">
        <v>4982.6499999999996</v>
      </c>
      <c r="N1817" t="s">
        <v>27</v>
      </c>
      <c r="O1817">
        <v>2025</v>
      </c>
    </row>
    <row r="1818" spans="1:15" x14ac:dyDescent="0.3">
      <c r="A1818" t="s">
        <v>1903</v>
      </c>
      <c r="B1818" t="s">
        <v>43</v>
      </c>
      <c r="C1818" t="s">
        <v>62</v>
      </c>
      <c r="D1818" t="s">
        <v>99</v>
      </c>
      <c r="E1818" t="s">
        <v>44</v>
      </c>
      <c r="F1818" s="1">
        <v>45612</v>
      </c>
      <c r="G1818">
        <v>9</v>
      </c>
      <c r="H1818">
        <v>1897.13</v>
      </c>
      <c r="I1818">
        <v>5</v>
      </c>
      <c r="J1818" t="s">
        <v>71</v>
      </c>
      <c r="K1818">
        <v>853.71</v>
      </c>
      <c r="L1818">
        <v>17074.169999999998</v>
      </c>
      <c r="M1818">
        <v>16220.46</v>
      </c>
      <c r="N1818" t="s">
        <v>96</v>
      </c>
      <c r="O1818">
        <v>2024</v>
      </c>
    </row>
    <row r="1819" spans="1:15" x14ac:dyDescent="0.3">
      <c r="A1819" t="s">
        <v>1904</v>
      </c>
      <c r="B1819" t="s">
        <v>53</v>
      </c>
      <c r="C1819" t="s">
        <v>34</v>
      </c>
      <c r="D1819" t="s">
        <v>66</v>
      </c>
      <c r="E1819" t="s">
        <v>25</v>
      </c>
      <c r="F1819" s="1">
        <v>45711</v>
      </c>
      <c r="G1819">
        <v>8</v>
      </c>
      <c r="H1819">
        <v>44799.75</v>
      </c>
      <c r="I1819">
        <v>10</v>
      </c>
      <c r="J1819" t="s">
        <v>45</v>
      </c>
      <c r="K1819">
        <v>35839.800000000003</v>
      </c>
      <c r="L1819">
        <v>358398</v>
      </c>
      <c r="M1819">
        <v>322558.2</v>
      </c>
      <c r="N1819" t="s">
        <v>41</v>
      </c>
      <c r="O1819">
        <v>2025</v>
      </c>
    </row>
    <row r="1820" spans="1:15" x14ac:dyDescent="0.3">
      <c r="A1820" t="s">
        <v>1905</v>
      </c>
      <c r="B1820" t="s">
        <v>38</v>
      </c>
      <c r="C1820" t="s">
        <v>90</v>
      </c>
      <c r="D1820" t="s">
        <v>152</v>
      </c>
      <c r="E1820" t="s">
        <v>56</v>
      </c>
      <c r="F1820" s="1">
        <v>45448</v>
      </c>
      <c r="G1820">
        <v>3</v>
      </c>
      <c r="H1820">
        <v>10844.65</v>
      </c>
      <c r="I1820">
        <v>15</v>
      </c>
      <c r="J1820" t="s">
        <v>71</v>
      </c>
      <c r="K1820">
        <v>4880.09</v>
      </c>
      <c r="L1820">
        <v>32533.95</v>
      </c>
      <c r="M1820">
        <v>27653.86</v>
      </c>
      <c r="N1820" t="s">
        <v>72</v>
      </c>
      <c r="O1820">
        <v>2024</v>
      </c>
    </row>
    <row r="1821" spans="1:15" x14ac:dyDescent="0.3">
      <c r="A1821" t="s">
        <v>1906</v>
      </c>
      <c r="B1821" t="s">
        <v>38</v>
      </c>
      <c r="C1821" t="s">
        <v>90</v>
      </c>
      <c r="D1821" t="s">
        <v>105</v>
      </c>
      <c r="E1821" t="s">
        <v>50</v>
      </c>
      <c r="F1821" s="1">
        <v>45682</v>
      </c>
      <c r="G1821">
        <v>3</v>
      </c>
      <c r="H1821">
        <v>3499.49</v>
      </c>
      <c r="I1821">
        <v>0</v>
      </c>
      <c r="J1821" t="s">
        <v>45</v>
      </c>
      <c r="K1821">
        <v>0</v>
      </c>
      <c r="L1821">
        <v>10498.47</v>
      </c>
      <c r="M1821">
        <v>10498.47</v>
      </c>
      <c r="N1821" t="s">
        <v>116</v>
      </c>
      <c r="O1821">
        <v>2025</v>
      </c>
    </row>
    <row r="1822" spans="1:15" x14ac:dyDescent="0.3">
      <c r="A1822" t="s">
        <v>1907</v>
      </c>
      <c r="B1822" t="s">
        <v>53</v>
      </c>
      <c r="C1822" t="s">
        <v>90</v>
      </c>
      <c r="D1822" t="s">
        <v>107</v>
      </c>
      <c r="E1822" t="s">
        <v>81</v>
      </c>
      <c r="F1822" s="1">
        <v>45514</v>
      </c>
      <c r="G1822">
        <v>2</v>
      </c>
      <c r="H1822">
        <v>10849.17</v>
      </c>
      <c r="I1822">
        <v>15</v>
      </c>
      <c r="J1822" t="s">
        <v>36</v>
      </c>
      <c r="K1822">
        <v>3254.75</v>
      </c>
      <c r="L1822">
        <v>21698.34</v>
      </c>
      <c r="M1822">
        <v>18443.59</v>
      </c>
      <c r="N1822" t="s">
        <v>21</v>
      </c>
      <c r="O1822">
        <v>2024</v>
      </c>
    </row>
    <row r="1823" spans="1:15" x14ac:dyDescent="0.3">
      <c r="A1823" t="s">
        <v>1908</v>
      </c>
      <c r="B1823" t="s">
        <v>33</v>
      </c>
      <c r="C1823" t="s">
        <v>34</v>
      </c>
      <c r="D1823" t="s">
        <v>48</v>
      </c>
      <c r="E1823" t="s">
        <v>50</v>
      </c>
      <c r="F1823" s="1">
        <v>45801</v>
      </c>
      <c r="G1823">
        <v>7</v>
      </c>
      <c r="H1823">
        <v>7516.63</v>
      </c>
      <c r="I1823">
        <v>20</v>
      </c>
      <c r="J1823" t="s">
        <v>26</v>
      </c>
      <c r="K1823">
        <v>10523.28</v>
      </c>
      <c r="L1823">
        <v>52616.41</v>
      </c>
      <c r="M1823">
        <v>42093.13</v>
      </c>
      <c r="N1823" t="s">
        <v>101</v>
      </c>
      <c r="O1823">
        <v>2025</v>
      </c>
    </row>
    <row r="1824" spans="1:15" x14ac:dyDescent="0.3">
      <c r="A1824" t="s">
        <v>1909</v>
      </c>
      <c r="B1824" t="s">
        <v>29</v>
      </c>
      <c r="C1824" t="s">
        <v>62</v>
      </c>
      <c r="D1824" t="s">
        <v>63</v>
      </c>
      <c r="E1824" t="s">
        <v>56</v>
      </c>
      <c r="F1824" s="1">
        <v>45735</v>
      </c>
      <c r="G1824">
        <v>7</v>
      </c>
      <c r="H1824">
        <v>2046.3</v>
      </c>
      <c r="I1824">
        <v>5</v>
      </c>
      <c r="J1824" t="s">
        <v>71</v>
      </c>
      <c r="K1824">
        <v>716.21</v>
      </c>
      <c r="L1824">
        <v>14324.1</v>
      </c>
      <c r="M1824">
        <v>13607.89</v>
      </c>
      <c r="N1824" t="s">
        <v>83</v>
      </c>
      <c r="O1824">
        <v>2025</v>
      </c>
    </row>
    <row r="1825" spans="1:15" x14ac:dyDescent="0.3">
      <c r="A1825" t="s">
        <v>1910</v>
      </c>
      <c r="B1825" t="s">
        <v>33</v>
      </c>
      <c r="C1825" t="s">
        <v>90</v>
      </c>
      <c r="D1825" t="s">
        <v>105</v>
      </c>
      <c r="E1825" t="s">
        <v>25</v>
      </c>
      <c r="F1825" s="1">
        <v>45623</v>
      </c>
      <c r="G1825">
        <v>8</v>
      </c>
      <c r="H1825">
        <v>4050.02</v>
      </c>
      <c r="I1825">
        <v>5</v>
      </c>
      <c r="J1825" t="s">
        <v>82</v>
      </c>
      <c r="K1825">
        <v>1620.01</v>
      </c>
      <c r="L1825">
        <v>32400.16</v>
      </c>
      <c r="M1825">
        <v>30780.15</v>
      </c>
      <c r="N1825" t="s">
        <v>96</v>
      </c>
      <c r="O1825">
        <v>2024</v>
      </c>
    </row>
    <row r="1826" spans="1:15" x14ac:dyDescent="0.3">
      <c r="A1826" t="s">
        <v>1911</v>
      </c>
      <c r="B1826" t="s">
        <v>89</v>
      </c>
      <c r="C1826" t="s">
        <v>34</v>
      </c>
      <c r="D1826" t="s">
        <v>66</v>
      </c>
      <c r="E1826" t="s">
        <v>44</v>
      </c>
      <c r="F1826" s="1">
        <v>45718</v>
      </c>
      <c r="G1826">
        <v>8</v>
      </c>
      <c r="H1826">
        <v>36129.68</v>
      </c>
      <c r="I1826">
        <v>10</v>
      </c>
      <c r="J1826" t="s">
        <v>20</v>
      </c>
      <c r="K1826">
        <v>28903.74</v>
      </c>
      <c r="L1826">
        <v>289037.44</v>
      </c>
      <c r="M1826">
        <v>260133.7</v>
      </c>
      <c r="N1826" t="s">
        <v>83</v>
      </c>
      <c r="O1826">
        <v>2025</v>
      </c>
    </row>
    <row r="1827" spans="1:15" x14ac:dyDescent="0.3">
      <c r="A1827" t="s">
        <v>1912</v>
      </c>
      <c r="B1827" t="s">
        <v>61</v>
      </c>
      <c r="C1827" t="s">
        <v>34</v>
      </c>
      <c r="D1827" t="s">
        <v>48</v>
      </c>
      <c r="E1827" t="s">
        <v>19</v>
      </c>
      <c r="F1827" s="1">
        <v>45918</v>
      </c>
      <c r="G1827">
        <v>2</v>
      </c>
      <c r="H1827">
        <v>8398.23</v>
      </c>
      <c r="I1827">
        <v>20</v>
      </c>
      <c r="J1827" t="s">
        <v>31</v>
      </c>
      <c r="K1827">
        <v>3359.29</v>
      </c>
      <c r="L1827">
        <v>16796.46</v>
      </c>
      <c r="M1827">
        <v>13437.17</v>
      </c>
      <c r="N1827" t="s">
        <v>86</v>
      </c>
      <c r="O1827">
        <v>2025</v>
      </c>
    </row>
    <row r="1828" spans="1:15" x14ac:dyDescent="0.3">
      <c r="A1828" t="s">
        <v>1913</v>
      </c>
      <c r="B1828" t="s">
        <v>16</v>
      </c>
      <c r="C1828" t="s">
        <v>62</v>
      </c>
      <c r="D1828" t="s">
        <v>119</v>
      </c>
      <c r="E1828" t="s">
        <v>19</v>
      </c>
      <c r="F1828" s="1">
        <v>45670</v>
      </c>
      <c r="G1828">
        <v>10</v>
      </c>
      <c r="H1828">
        <v>3999.13</v>
      </c>
      <c r="I1828">
        <v>0</v>
      </c>
      <c r="J1828" t="s">
        <v>36</v>
      </c>
      <c r="K1828">
        <v>0</v>
      </c>
      <c r="L1828">
        <v>39991.300000000003</v>
      </c>
      <c r="M1828">
        <v>39991.300000000003</v>
      </c>
      <c r="N1828" t="s">
        <v>116</v>
      </c>
      <c r="O1828">
        <v>2025</v>
      </c>
    </row>
    <row r="1829" spans="1:15" x14ac:dyDescent="0.3">
      <c r="A1829" t="s">
        <v>1914</v>
      </c>
      <c r="B1829" t="s">
        <v>33</v>
      </c>
      <c r="C1829" t="s">
        <v>17</v>
      </c>
      <c r="D1829" t="s">
        <v>157</v>
      </c>
      <c r="E1829" t="s">
        <v>56</v>
      </c>
      <c r="F1829" s="1">
        <v>45506</v>
      </c>
      <c r="G1829">
        <v>6</v>
      </c>
      <c r="H1829">
        <v>7504.49</v>
      </c>
      <c r="I1829">
        <v>10</v>
      </c>
      <c r="J1829" t="s">
        <v>20</v>
      </c>
      <c r="K1829">
        <v>4502.6899999999996</v>
      </c>
      <c r="L1829">
        <v>45026.94</v>
      </c>
      <c r="M1829">
        <v>40524.25</v>
      </c>
      <c r="N1829" t="s">
        <v>21</v>
      </c>
      <c r="O1829">
        <v>2024</v>
      </c>
    </row>
    <row r="1830" spans="1:15" x14ac:dyDescent="0.3">
      <c r="A1830" t="s">
        <v>1915</v>
      </c>
      <c r="B1830" t="s">
        <v>65</v>
      </c>
      <c r="C1830" t="s">
        <v>90</v>
      </c>
      <c r="D1830" t="s">
        <v>115</v>
      </c>
      <c r="E1830" t="s">
        <v>19</v>
      </c>
      <c r="F1830" s="1">
        <v>46007</v>
      </c>
      <c r="G1830">
        <v>4</v>
      </c>
      <c r="H1830">
        <v>9904.08</v>
      </c>
      <c r="I1830">
        <v>10</v>
      </c>
      <c r="J1830" t="s">
        <v>45</v>
      </c>
      <c r="K1830">
        <v>3961.63</v>
      </c>
      <c r="L1830">
        <v>39616.32</v>
      </c>
      <c r="M1830">
        <v>35654.69</v>
      </c>
      <c r="N1830" t="s">
        <v>51</v>
      </c>
      <c r="O1830">
        <v>2025</v>
      </c>
    </row>
    <row r="1831" spans="1:15" x14ac:dyDescent="0.3">
      <c r="A1831" t="s">
        <v>1916</v>
      </c>
      <c r="B1831" t="s">
        <v>16</v>
      </c>
      <c r="C1831" t="s">
        <v>54</v>
      </c>
      <c r="D1831" t="s">
        <v>55</v>
      </c>
      <c r="E1831" t="s">
        <v>81</v>
      </c>
      <c r="F1831" s="1">
        <v>45547</v>
      </c>
      <c r="G1831">
        <v>8</v>
      </c>
      <c r="H1831">
        <v>1248.99</v>
      </c>
      <c r="I1831">
        <v>0</v>
      </c>
      <c r="J1831" t="s">
        <v>20</v>
      </c>
      <c r="K1831">
        <v>0</v>
      </c>
      <c r="L1831">
        <v>9991.92</v>
      </c>
      <c r="M1831">
        <v>9991.92</v>
      </c>
      <c r="N1831" t="s">
        <v>86</v>
      </c>
      <c r="O1831">
        <v>2024</v>
      </c>
    </row>
    <row r="1832" spans="1:15" x14ac:dyDescent="0.3">
      <c r="A1832" t="s">
        <v>1917</v>
      </c>
      <c r="B1832" t="s">
        <v>114</v>
      </c>
      <c r="C1832" t="s">
        <v>62</v>
      </c>
      <c r="D1832" t="s">
        <v>132</v>
      </c>
      <c r="E1832" t="s">
        <v>25</v>
      </c>
      <c r="F1832" s="1">
        <v>45443</v>
      </c>
      <c r="G1832">
        <v>10</v>
      </c>
      <c r="H1832">
        <v>2451.0300000000002</v>
      </c>
      <c r="I1832">
        <v>20</v>
      </c>
      <c r="J1832" t="s">
        <v>31</v>
      </c>
      <c r="K1832">
        <v>4902.0600000000004</v>
      </c>
      <c r="L1832">
        <v>24510.3</v>
      </c>
      <c r="M1832">
        <v>19608.240000000002</v>
      </c>
      <c r="N1832" t="s">
        <v>101</v>
      </c>
      <c r="O1832">
        <v>2024</v>
      </c>
    </row>
    <row r="1833" spans="1:15" x14ac:dyDescent="0.3">
      <c r="A1833" t="s">
        <v>1918</v>
      </c>
      <c r="B1833" t="s">
        <v>93</v>
      </c>
      <c r="C1833" t="s">
        <v>90</v>
      </c>
      <c r="D1833" t="s">
        <v>152</v>
      </c>
      <c r="E1833" t="s">
        <v>30</v>
      </c>
      <c r="F1833" s="1">
        <v>45360</v>
      </c>
      <c r="G1833">
        <v>8</v>
      </c>
      <c r="H1833">
        <v>9973.94</v>
      </c>
      <c r="I1833">
        <v>5</v>
      </c>
      <c r="J1833" t="s">
        <v>40</v>
      </c>
      <c r="K1833">
        <v>3989.58</v>
      </c>
      <c r="L1833">
        <v>79791.520000000004</v>
      </c>
      <c r="M1833">
        <v>75801.94</v>
      </c>
      <c r="N1833" t="s">
        <v>83</v>
      </c>
      <c r="O1833">
        <v>2024</v>
      </c>
    </row>
    <row r="1834" spans="1:15" x14ac:dyDescent="0.3">
      <c r="A1834" t="s">
        <v>1919</v>
      </c>
      <c r="B1834" t="s">
        <v>33</v>
      </c>
      <c r="C1834" t="s">
        <v>62</v>
      </c>
      <c r="D1834" t="s">
        <v>63</v>
      </c>
      <c r="E1834" t="s">
        <v>44</v>
      </c>
      <c r="F1834" s="1">
        <v>45777</v>
      </c>
      <c r="G1834">
        <v>4</v>
      </c>
      <c r="H1834">
        <v>1720.5</v>
      </c>
      <c r="I1834">
        <v>0</v>
      </c>
      <c r="J1834" t="s">
        <v>26</v>
      </c>
      <c r="K1834">
        <v>0</v>
      </c>
      <c r="L1834">
        <v>6882</v>
      </c>
      <c r="M1834">
        <v>6882</v>
      </c>
      <c r="N1834" t="s">
        <v>27</v>
      </c>
      <c r="O1834">
        <v>2025</v>
      </c>
    </row>
    <row r="1835" spans="1:15" x14ac:dyDescent="0.3">
      <c r="A1835" t="s">
        <v>1920</v>
      </c>
      <c r="B1835" t="s">
        <v>38</v>
      </c>
      <c r="C1835" t="s">
        <v>62</v>
      </c>
      <c r="D1835" t="s">
        <v>119</v>
      </c>
      <c r="E1835" t="s">
        <v>81</v>
      </c>
      <c r="F1835" s="1">
        <v>45867</v>
      </c>
      <c r="G1835">
        <v>3</v>
      </c>
      <c r="H1835">
        <v>3835.72</v>
      </c>
      <c r="I1835">
        <v>10</v>
      </c>
      <c r="J1835" t="s">
        <v>71</v>
      </c>
      <c r="K1835">
        <v>1150.72</v>
      </c>
      <c r="L1835">
        <v>11507.16</v>
      </c>
      <c r="M1835">
        <v>10356.44</v>
      </c>
      <c r="N1835" t="s">
        <v>122</v>
      </c>
      <c r="O1835">
        <v>2025</v>
      </c>
    </row>
    <row r="1836" spans="1:15" x14ac:dyDescent="0.3">
      <c r="A1836" t="s">
        <v>1921</v>
      </c>
      <c r="B1836" t="s">
        <v>93</v>
      </c>
      <c r="C1836" t="s">
        <v>90</v>
      </c>
      <c r="D1836" t="s">
        <v>115</v>
      </c>
      <c r="E1836" t="s">
        <v>81</v>
      </c>
      <c r="F1836" s="1">
        <v>45953</v>
      </c>
      <c r="G1836">
        <v>4</v>
      </c>
      <c r="H1836">
        <v>10027</v>
      </c>
      <c r="I1836">
        <v>20</v>
      </c>
      <c r="J1836" t="s">
        <v>20</v>
      </c>
      <c r="K1836">
        <v>8021.6</v>
      </c>
      <c r="L1836">
        <v>40108</v>
      </c>
      <c r="M1836">
        <v>32086.400000000001</v>
      </c>
      <c r="N1836" t="s">
        <v>57</v>
      </c>
      <c r="O1836">
        <v>2025</v>
      </c>
    </row>
    <row r="1837" spans="1:15" x14ac:dyDescent="0.3">
      <c r="A1837" t="s">
        <v>1922</v>
      </c>
      <c r="B1837" t="s">
        <v>43</v>
      </c>
      <c r="C1837" t="s">
        <v>54</v>
      </c>
      <c r="D1837" t="s">
        <v>70</v>
      </c>
      <c r="E1837" t="s">
        <v>30</v>
      </c>
      <c r="F1837" s="1">
        <v>45491</v>
      </c>
      <c r="G1837">
        <v>9</v>
      </c>
      <c r="H1837">
        <v>2749.28</v>
      </c>
      <c r="I1837">
        <v>10</v>
      </c>
      <c r="J1837" t="s">
        <v>26</v>
      </c>
      <c r="K1837">
        <v>2474.35</v>
      </c>
      <c r="L1837">
        <v>24743.52</v>
      </c>
      <c r="M1837">
        <v>22269.17</v>
      </c>
      <c r="N1837" t="s">
        <v>122</v>
      </c>
      <c r="O1837">
        <v>2024</v>
      </c>
    </row>
    <row r="1838" spans="1:15" x14ac:dyDescent="0.3">
      <c r="A1838" t="s">
        <v>1923</v>
      </c>
      <c r="B1838" t="s">
        <v>23</v>
      </c>
      <c r="C1838" t="s">
        <v>34</v>
      </c>
      <c r="D1838" t="s">
        <v>35</v>
      </c>
      <c r="E1838" t="s">
        <v>30</v>
      </c>
      <c r="F1838" s="1">
        <v>45597</v>
      </c>
      <c r="G1838">
        <v>5</v>
      </c>
      <c r="H1838">
        <v>26154.15</v>
      </c>
      <c r="I1838">
        <v>10</v>
      </c>
      <c r="J1838" t="s">
        <v>26</v>
      </c>
      <c r="K1838">
        <v>13077.08</v>
      </c>
      <c r="L1838">
        <v>130770.75</v>
      </c>
      <c r="M1838">
        <v>117693.67</v>
      </c>
      <c r="N1838" t="s">
        <v>96</v>
      </c>
      <c r="O1838">
        <v>2024</v>
      </c>
    </row>
    <row r="1839" spans="1:15" x14ac:dyDescent="0.3">
      <c r="A1839" t="s">
        <v>1924</v>
      </c>
      <c r="B1839" t="s">
        <v>61</v>
      </c>
      <c r="C1839" t="s">
        <v>17</v>
      </c>
      <c r="D1839" t="s">
        <v>18</v>
      </c>
      <c r="E1839" t="s">
        <v>30</v>
      </c>
      <c r="F1839" s="1">
        <v>45372</v>
      </c>
      <c r="G1839">
        <v>6</v>
      </c>
      <c r="H1839">
        <v>66055.27</v>
      </c>
      <c r="I1839">
        <v>5</v>
      </c>
      <c r="J1839" t="s">
        <v>31</v>
      </c>
      <c r="K1839">
        <v>19816.580000000002</v>
      </c>
      <c r="L1839">
        <v>396331.62</v>
      </c>
      <c r="M1839">
        <v>376515.04</v>
      </c>
      <c r="N1839" t="s">
        <v>83</v>
      </c>
      <c r="O1839">
        <v>2024</v>
      </c>
    </row>
    <row r="1840" spans="1:15" x14ac:dyDescent="0.3">
      <c r="A1840" t="s">
        <v>1925</v>
      </c>
      <c r="B1840" t="s">
        <v>65</v>
      </c>
      <c r="C1840" t="s">
        <v>90</v>
      </c>
      <c r="D1840" t="s">
        <v>152</v>
      </c>
      <c r="E1840" t="s">
        <v>50</v>
      </c>
      <c r="F1840" s="1">
        <v>45613</v>
      </c>
      <c r="G1840">
        <v>2</v>
      </c>
      <c r="H1840">
        <v>12476.48</v>
      </c>
      <c r="I1840">
        <v>15</v>
      </c>
      <c r="J1840" t="s">
        <v>71</v>
      </c>
      <c r="K1840">
        <v>3742.94</v>
      </c>
      <c r="L1840">
        <v>24952.959999999999</v>
      </c>
      <c r="M1840">
        <v>21210.02</v>
      </c>
      <c r="N1840" t="s">
        <v>96</v>
      </c>
      <c r="O1840">
        <v>2024</v>
      </c>
    </row>
    <row r="1841" spans="1:15" x14ac:dyDescent="0.3">
      <c r="A1841" t="s">
        <v>1926</v>
      </c>
      <c r="B1841" t="s">
        <v>16</v>
      </c>
      <c r="C1841" t="s">
        <v>62</v>
      </c>
      <c r="D1841" t="s">
        <v>63</v>
      </c>
      <c r="E1841" t="s">
        <v>81</v>
      </c>
      <c r="F1841" s="1">
        <v>45583</v>
      </c>
      <c r="G1841">
        <v>3</v>
      </c>
      <c r="H1841">
        <v>2072.31</v>
      </c>
      <c r="I1841">
        <v>10</v>
      </c>
      <c r="J1841" t="s">
        <v>71</v>
      </c>
      <c r="K1841">
        <v>621.69000000000005</v>
      </c>
      <c r="L1841">
        <v>6216.93</v>
      </c>
      <c r="M1841">
        <v>5595.24</v>
      </c>
      <c r="N1841" t="s">
        <v>57</v>
      </c>
      <c r="O1841">
        <v>2024</v>
      </c>
    </row>
    <row r="1842" spans="1:15" x14ac:dyDescent="0.3">
      <c r="A1842" t="s">
        <v>1927</v>
      </c>
      <c r="B1842" t="s">
        <v>109</v>
      </c>
      <c r="C1842" t="s">
        <v>17</v>
      </c>
      <c r="D1842" t="s">
        <v>18</v>
      </c>
      <c r="E1842" t="s">
        <v>44</v>
      </c>
      <c r="F1842" s="1">
        <v>45857</v>
      </c>
      <c r="G1842">
        <v>8</v>
      </c>
      <c r="H1842">
        <v>64493.36</v>
      </c>
      <c r="I1842">
        <v>10</v>
      </c>
      <c r="J1842" t="s">
        <v>45</v>
      </c>
      <c r="K1842">
        <v>51594.69</v>
      </c>
      <c r="L1842">
        <v>515946.88</v>
      </c>
      <c r="M1842">
        <v>464352.19</v>
      </c>
      <c r="N1842" t="s">
        <v>122</v>
      </c>
      <c r="O1842">
        <v>2025</v>
      </c>
    </row>
    <row r="1843" spans="1:15" x14ac:dyDescent="0.3">
      <c r="A1843" t="s">
        <v>1928</v>
      </c>
      <c r="B1843" t="s">
        <v>109</v>
      </c>
      <c r="C1843" t="s">
        <v>90</v>
      </c>
      <c r="D1843" t="s">
        <v>91</v>
      </c>
      <c r="E1843" t="s">
        <v>30</v>
      </c>
      <c r="F1843" s="1">
        <v>45953</v>
      </c>
      <c r="G1843">
        <v>6</v>
      </c>
      <c r="H1843">
        <v>1648.16</v>
      </c>
      <c r="I1843">
        <v>10</v>
      </c>
      <c r="J1843" t="s">
        <v>31</v>
      </c>
      <c r="K1843">
        <v>988.9</v>
      </c>
      <c r="L1843">
        <v>9888.9599999999991</v>
      </c>
      <c r="M1843">
        <v>8900.06</v>
      </c>
      <c r="N1843" t="s">
        <v>57</v>
      </c>
      <c r="O1843">
        <v>2025</v>
      </c>
    </row>
    <row r="1844" spans="1:15" x14ac:dyDescent="0.3">
      <c r="A1844" t="s">
        <v>1929</v>
      </c>
      <c r="B1844" t="s">
        <v>61</v>
      </c>
      <c r="C1844" t="s">
        <v>54</v>
      </c>
      <c r="D1844" t="s">
        <v>70</v>
      </c>
      <c r="E1844" t="s">
        <v>19</v>
      </c>
      <c r="F1844" s="1">
        <v>45871</v>
      </c>
      <c r="G1844">
        <v>10</v>
      </c>
      <c r="H1844">
        <v>2274.61</v>
      </c>
      <c r="I1844">
        <v>20</v>
      </c>
      <c r="J1844" t="s">
        <v>45</v>
      </c>
      <c r="K1844">
        <v>4549.22</v>
      </c>
      <c r="L1844">
        <v>22746.1</v>
      </c>
      <c r="M1844">
        <v>18196.88</v>
      </c>
      <c r="N1844" t="s">
        <v>21</v>
      </c>
      <c r="O1844">
        <v>2025</v>
      </c>
    </row>
    <row r="1845" spans="1:15" x14ac:dyDescent="0.3">
      <c r="A1845" t="s">
        <v>1930</v>
      </c>
      <c r="B1845" t="s">
        <v>89</v>
      </c>
      <c r="C1845" t="s">
        <v>17</v>
      </c>
      <c r="D1845" t="s">
        <v>59</v>
      </c>
      <c r="E1845" t="s">
        <v>25</v>
      </c>
      <c r="F1845" s="1">
        <v>45435</v>
      </c>
      <c r="G1845">
        <v>3</v>
      </c>
      <c r="H1845">
        <v>23139.08</v>
      </c>
      <c r="I1845">
        <v>5</v>
      </c>
      <c r="J1845" t="s">
        <v>82</v>
      </c>
      <c r="K1845">
        <v>3470.86</v>
      </c>
      <c r="L1845">
        <v>69417.240000000005</v>
      </c>
      <c r="M1845">
        <v>65946.38</v>
      </c>
      <c r="N1845" t="s">
        <v>101</v>
      </c>
      <c r="O1845">
        <v>2024</v>
      </c>
    </row>
    <row r="1846" spans="1:15" x14ac:dyDescent="0.3">
      <c r="A1846" t="s">
        <v>1931</v>
      </c>
      <c r="B1846" t="s">
        <v>74</v>
      </c>
      <c r="C1846" t="s">
        <v>34</v>
      </c>
      <c r="D1846" t="s">
        <v>80</v>
      </c>
      <c r="E1846" t="s">
        <v>19</v>
      </c>
      <c r="F1846" s="1">
        <v>45638</v>
      </c>
      <c r="G1846">
        <v>2</v>
      </c>
      <c r="H1846">
        <v>6620.86</v>
      </c>
      <c r="I1846">
        <v>0</v>
      </c>
      <c r="J1846" t="s">
        <v>45</v>
      </c>
      <c r="K1846">
        <v>0</v>
      </c>
      <c r="L1846">
        <v>13241.72</v>
      </c>
      <c r="M1846">
        <v>13241.72</v>
      </c>
      <c r="N1846" t="s">
        <v>51</v>
      </c>
      <c r="O1846">
        <v>2024</v>
      </c>
    </row>
    <row r="1847" spans="1:15" x14ac:dyDescent="0.3">
      <c r="A1847" t="s">
        <v>1932</v>
      </c>
      <c r="B1847" t="s">
        <v>65</v>
      </c>
      <c r="C1847" t="s">
        <v>90</v>
      </c>
      <c r="D1847" t="s">
        <v>152</v>
      </c>
      <c r="E1847" t="s">
        <v>25</v>
      </c>
      <c r="F1847" s="1">
        <v>45949</v>
      </c>
      <c r="G1847">
        <v>7</v>
      </c>
      <c r="H1847">
        <v>11810.11</v>
      </c>
      <c r="I1847">
        <v>20</v>
      </c>
      <c r="J1847" t="s">
        <v>31</v>
      </c>
      <c r="K1847">
        <v>16534.150000000001</v>
      </c>
      <c r="L1847">
        <v>82670.77</v>
      </c>
      <c r="M1847">
        <v>66136.62</v>
      </c>
      <c r="N1847" t="s">
        <v>57</v>
      </c>
      <c r="O1847">
        <v>2025</v>
      </c>
    </row>
    <row r="1848" spans="1:15" x14ac:dyDescent="0.3">
      <c r="A1848" t="s">
        <v>1933</v>
      </c>
      <c r="B1848" t="s">
        <v>89</v>
      </c>
      <c r="C1848" t="s">
        <v>17</v>
      </c>
      <c r="D1848" t="s">
        <v>59</v>
      </c>
      <c r="E1848" t="s">
        <v>50</v>
      </c>
      <c r="F1848" s="1">
        <v>45559</v>
      </c>
      <c r="G1848">
        <v>4</v>
      </c>
      <c r="H1848">
        <v>23995.41</v>
      </c>
      <c r="I1848">
        <v>20</v>
      </c>
      <c r="J1848" t="s">
        <v>82</v>
      </c>
      <c r="K1848">
        <v>19196.330000000002</v>
      </c>
      <c r="L1848">
        <v>95981.64</v>
      </c>
      <c r="M1848">
        <v>76785.31</v>
      </c>
      <c r="N1848" t="s">
        <v>86</v>
      </c>
      <c r="O1848">
        <v>2024</v>
      </c>
    </row>
    <row r="1849" spans="1:15" x14ac:dyDescent="0.3">
      <c r="A1849" t="s">
        <v>1934</v>
      </c>
      <c r="B1849" t="s">
        <v>61</v>
      </c>
      <c r="C1849" t="s">
        <v>17</v>
      </c>
      <c r="D1849" t="s">
        <v>18</v>
      </c>
      <c r="E1849" t="s">
        <v>44</v>
      </c>
      <c r="F1849" s="1">
        <v>45782</v>
      </c>
      <c r="G1849">
        <v>1</v>
      </c>
      <c r="H1849">
        <v>59185.36</v>
      </c>
      <c r="I1849">
        <v>5</v>
      </c>
      <c r="J1849" t="s">
        <v>20</v>
      </c>
      <c r="K1849">
        <v>2959.27</v>
      </c>
      <c r="L1849">
        <v>59185.36</v>
      </c>
      <c r="M1849">
        <v>56226.09</v>
      </c>
      <c r="N1849" t="s">
        <v>101</v>
      </c>
      <c r="O1849">
        <v>2025</v>
      </c>
    </row>
    <row r="1850" spans="1:15" x14ac:dyDescent="0.3">
      <c r="A1850" t="s">
        <v>1935</v>
      </c>
      <c r="B1850" t="s">
        <v>65</v>
      </c>
      <c r="C1850" t="s">
        <v>34</v>
      </c>
      <c r="D1850" t="s">
        <v>85</v>
      </c>
      <c r="E1850" t="s">
        <v>19</v>
      </c>
      <c r="F1850" s="1">
        <v>45688</v>
      </c>
      <c r="G1850">
        <v>7</v>
      </c>
      <c r="H1850">
        <v>10857.77</v>
      </c>
      <c r="I1850">
        <v>10</v>
      </c>
      <c r="J1850" t="s">
        <v>45</v>
      </c>
      <c r="K1850">
        <v>7600.44</v>
      </c>
      <c r="L1850">
        <v>76004.39</v>
      </c>
      <c r="M1850">
        <v>68403.95</v>
      </c>
      <c r="N1850" t="s">
        <v>116</v>
      </c>
      <c r="O1850">
        <v>2025</v>
      </c>
    </row>
    <row r="1851" spans="1:15" x14ac:dyDescent="0.3">
      <c r="A1851" t="s">
        <v>1936</v>
      </c>
      <c r="B1851" t="s">
        <v>61</v>
      </c>
      <c r="C1851" t="s">
        <v>90</v>
      </c>
      <c r="D1851" t="s">
        <v>105</v>
      </c>
      <c r="E1851" t="s">
        <v>30</v>
      </c>
      <c r="F1851" s="1">
        <v>45855</v>
      </c>
      <c r="G1851">
        <v>2</v>
      </c>
      <c r="H1851">
        <v>3185.11</v>
      </c>
      <c r="I1851">
        <v>20</v>
      </c>
      <c r="J1851" t="s">
        <v>31</v>
      </c>
      <c r="K1851">
        <v>1274.04</v>
      </c>
      <c r="L1851">
        <v>6370.22</v>
      </c>
      <c r="M1851">
        <v>5096.18</v>
      </c>
      <c r="N1851" t="s">
        <v>122</v>
      </c>
      <c r="O1851">
        <v>2025</v>
      </c>
    </row>
    <row r="1852" spans="1:15" x14ac:dyDescent="0.3">
      <c r="A1852" t="s">
        <v>1937</v>
      </c>
      <c r="B1852" t="s">
        <v>29</v>
      </c>
      <c r="C1852" t="s">
        <v>17</v>
      </c>
      <c r="D1852" t="s">
        <v>59</v>
      </c>
      <c r="E1852" t="s">
        <v>81</v>
      </c>
      <c r="F1852" s="1">
        <v>45299</v>
      </c>
      <c r="G1852">
        <v>6</v>
      </c>
      <c r="H1852">
        <v>26886.400000000001</v>
      </c>
      <c r="I1852">
        <v>20</v>
      </c>
      <c r="J1852" t="s">
        <v>71</v>
      </c>
      <c r="K1852">
        <v>32263.68</v>
      </c>
      <c r="L1852">
        <v>161318.39999999999</v>
      </c>
      <c r="M1852">
        <v>129054.72</v>
      </c>
      <c r="N1852" t="s">
        <v>116</v>
      </c>
      <c r="O1852">
        <v>2024</v>
      </c>
    </row>
    <row r="1853" spans="1:15" x14ac:dyDescent="0.3">
      <c r="A1853" t="s">
        <v>1938</v>
      </c>
      <c r="B1853" t="s">
        <v>114</v>
      </c>
      <c r="C1853" t="s">
        <v>62</v>
      </c>
      <c r="D1853" t="s">
        <v>132</v>
      </c>
      <c r="E1853" t="s">
        <v>44</v>
      </c>
      <c r="F1853" s="1">
        <v>45698</v>
      </c>
      <c r="G1853">
        <v>4</v>
      </c>
      <c r="H1853">
        <v>2345.16</v>
      </c>
      <c r="I1853">
        <v>0</v>
      </c>
      <c r="J1853" t="s">
        <v>36</v>
      </c>
      <c r="K1853">
        <v>0</v>
      </c>
      <c r="L1853">
        <v>9380.64</v>
      </c>
      <c r="M1853">
        <v>9380.64</v>
      </c>
      <c r="N1853" t="s">
        <v>41</v>
      </c>
      <c r="O1853">
        <v>2025</v>
      </c>
    </row>
    <row r="1854" spans="1:15" x14ac:dyDescent="0.3">
      <c r="A1854" t="s">
        <v>1939</v>
      </c>
      <c r="B1854" t="s">
        <v>43</v>
      </c>
      <c r="C1854" t="s">
        <v>54</v>
      </c>
      <c r="D1854" t="s">
        <v>137</v>
      </c>
      <c r="E1854" t="s">
        <v>81</v>
      </c>
      <c r="F1854" s="1">
        <v>45815</v>
      </c>
      <c r="G1854">
        <v>7</v>
      </c>
      <c r="H1854">
        <v>845.97</v>
      </c>
      <c r="I1854">
        <v>5</v>
      </c>
      <c r="J1854" t="s">
        <v>45</v>
      </c>
      <c r="K1854">
        <v>296.08999999999997</v>
      </c>
      <c r="L1854">
        <v>5921.79</v>
      </c>
      <c r="M1854">
        <v>5625.7</v>
      </c>
      <c r="N1854" t="s">
        <v>72</v>
      </c>
      <c r="O1854">
        <v>2025</v>
      </c>
    </row>
    <row r="1855" spans="1:15" x14ac:dyDescent="0.3">
      <c r="A1855" t="s">
        <v>1940</v>
      </c>
      <c r="B1855" t="s">
        <v>33</v>
      </c>
      <c r="C1855" t="s">
        <v>54</v>
      </c>
      <c r="D1855" t="s">
        <v>137</v>
      </c>
      <c r="E1855" t="s">
        <v>50</v>
      </c>
      <c r="F1855" s="1">
        <v>45558</v>
      </c>
      <c r="G1855">
        <v>7</v>
      </c>
      <c r="H1855">
        <v>836.81</v>
      </c>
      <c r="I1855">
        <v>10</v>
      </c>
      <c r="J1855" t="s">
        <v>45</v>
      </c>
      <c r="K1855">
        <v>585.77</v>
      </c>
      <c r="L1855">
        <v>5857.67</v>
      </c>
      <c r="M1855">
        <v>5271.9</v>
      </c>
      <c r="N1855" t="s">
        <v>86</v>
      </c>
      <c r="O1855">
        <v>2024</v>
      </c>
    </row>
    <row r="1856" spans="1:15" x14ac:dyDescent="0.3">
      <c r="A1856" t="s">
        <v>1941</v>
      </c>
      <c r="B1856" t="s">
        <v>89</v>
      </c>
      <c r="C1856" t="s">
        <v>90</v>
      </c>
      <c r="D1856" t="s">
        <v>105</v>
      </c>
      <c r="E1856" t="s">
        <v>81</v>
      </c>
      <c r="F1856" s="1">
        <v>45501</v>
      </c>
      <c r="G1856">
        <v>3</v>
      </c>
      <c r="H1856">
        <v>3248.61</v>
      </c>
      <c r="I1856">
        <v>15</v>
      </c>
      <c r="J1856" t="s">
        <v>31</v>
      </c>
      <c r="K1856">
        <v>1461.87</v>
      </c>
      <c r="L1856">
        <v>9745.83</v>
      </c>
      <c r="M1856">
        <v>8283.9599999999991</v>
      </c>
      <c r="N1856" t="s">
        <v>122</v>
      </c>
      <c r="O1856">
        <v>2024</v>
      </c>
    </row>
    <row r="1857" spans="1:15" x14ac:dyDescent="0.3">
      <c r="A1857" t="s">
        <v>1942</v>
      </c>
      <c r="B1857" t="s">
        <v>29</v>
      </c>
      <c r="C1857" t="s">
        <v>17</v>
      </c>
      <c r="D1857" t="s">
        <v>59</v>
      </c>
      <c r="E1857" t="s">
        <v>44</v>
      </c>
      <c r="F1857" s="1">
        <v>45998</v>
      </c>
      <c r="G1857">
        <v>4</v>
      </c>
      <c r="H1857">
        <v>30845.73</v>
      </c>
      <c r="I1857">
        <v>10</v>
      </c>
      <c r="J1857" t="s">
        <v>40</v>
      </c>
      <c r="K1857">
        <v>12338.29</v>
      </c>
      <c r="L1857">
        <v>123382.92</v>
      </c>
      <c r="M1857">
        <v>111044.63</v>
      </c>
      <c r="N1857" t="s">
        <v>51</v>
      </c>
      <c r="O1857">
        <v>2025</v>
      </c>
    </row>
    <row r="1858" spans="1:15" x14ac:dyDescent="0.3">
      <c r="A1858" t="s">
        <v>1943</v>
      </c>
      <c r="B1858" t="s">
        <v>109</v>
      </c>
      <c r="C1858" t="s">
        <v>62</v>
      </c>
      <c r="D1858" t="s">
        <v>99</v>
      </c>
      <c r="E1858" t="s">
        <v>30</v>
      </c>
      <c r="F1858" s="1">
        <v>45872</v>
      </c>
      <c r="G1858">
        <v>5</v>
      </c>
      <c r="H1858">
        <v>1431.3</v>
      </c>
      <c r="I1858">
        <v>0</v>
      </c>
      <c r="J1858" t="s">
        <v>20</v>
      </c>
      <c r="K1858">
        <v>0</v>
      </c>
      <c r="L1858">
        <v>7156.5</v>
      </c>
      <c r="M1858">
        <v>7156.5</v>
      </c>
      <c r="N1858" t="s">
        <v>21</v>
      </c>
      <c r="O1858">
        <v>2025</v>
      </c>
    </row>
    <row r="1859" spans="1:15" x14ac:dyDescent="0.3">
      <c r="A1859" t="s">
        <v>1944</v>
      </c>
      <c r="B1859" t="s">
        <v>29</v>
      </c>
      <c r="C1859" t="s">
        <v>62</v>
      </c>
      <c r="D1859" t="s">
        <v>95</v>
      </c>
      <c r="E1859" t="s">
        <v>44</v>
      </c>
      <c r="F1859" s="1">
        <v>45633</v>
      </c>
      <c r="G1859">
        <v>4</v>
      </c>
      <c r="H1859">
        <v>901.91</v>
      </c>
      <c r="I1859">
        <v>15</v>
      </c>
      <c r="J1859" t="s">
        <v>36</v>
      </c>
      <c r="K1859">
        <v>541.15</v>
      </c>
      <c r="L1859">
        <v>3607.64</v>
      </c>
      <c r="M1859">
        <v>3066.49</v>
      </c>
      <c r="N1859" t="s">
        <v>51</v>
      </c>
      <c r="O1859">
        <v>2024</v>
      </c>
    </row>
    <row r="1860" spans="1:15" x14ac:dyDescent="0.3">
      <c r="A1860" t="s">
        <v>1945</v>
      </c>
      <c r="B1860" t="s">
        <v>23</v>
      </c>
      <c r="C1860" t="s">
        <v>62</v>
      </c>
      <c r="D1860" t="s">
        <v>99</v>
      </c>
      <c r="E1860" t="s">
        <v>81</v>
      </c>
      <c r="F1860" s="1">
        <v>45795</v>
      </c>
      <c r="G1860">
        <v>8</v>
      </c>
      <c r="H1860">
        <v>1560.31</v>
      </c>
      <c r="I1860">
        <v>10</v>
      </c>
      <c r="J1860" t="s">
        <v>36</v>
      </c>
      <c r="K1860">
        <v>1248.25</v>
      </c>
      <c r="L1860">
        <v>12482.48</v>
      </c>
      <c r="M1860">
        <v>11234.23</v>
      </c>
      <c r="N1860" t="s">
        <v>101</v>
      </c>
      <c r="O1860">
        <v>2025</v>
      </c>
    </row>
    <row r="1861" spans="1:15" x14ac:dyDescent="0.3">
      <c r="A1861" t="s">
        <v>1946</v>
      </c>
      <c r="B1861" t="s">
        <v>93</v>
      </c>
      <c r="C1861" t="s">
        <v>34</v>
      </c>
      <c r="D1861" t="s">
        <v>80</v>
      </c>
      <c r="E1861" t="s">
        <v>25</v>
      </c>
      <c r="F1861" s="1">
        <v>45323</v>
      </c>
      <c r="G1861">
        <v>10</v>
      </c>
      <c r="H1861">
        <v>5475.04</v>
      </c>
      <c r="I1861">
        <v>0</v>
      </c>
      <c r="J1861" t="s">
        <v>26</v>
      </c>
      <c r="K1861">
        <v>0</v>
      </c>
      <c r="L1861">
        <v>54750.400000000001</v>
      </c>
      <c r="M1861">
        <v>54750.400000000001</v>
      </c>
      <c r="N1861" t="s">
        <v>41</v>
      </c>
      <c r="O1861">
        <v>2024</v>
      </c>
    </row>
    <row r="1862" spans="1:15" x14ac:dyDescent="0.3">
      <c r="A1862" t="s">
        <v>1947</v>
      </c>
      <c r="B1862" t="s">
        <v>43</v>
      </c>
      <c r="C1862" t="s">
        <v>62</v>
      </c>
      <c r="D1862" t="s">
        <v>95</v>
      </c>
      <c r="E1862" t="s">
        <v>56</v>
      </c>
      <c r="F1862" s="1">
        <v>45873</v>
      </c>
      <c r="G1862">
        <v>3</v>
      </c>
      <c r="H1862">
        <v>739.45</v>
      </c>
      <c r="I1862">
        <v>10</v>
      </c>
      <c r="J1862" t="s">
        <v>31</v>
      </c>
      <c r="K1862">
        <v>221.84</v>
      </c>
      <c r="L1862">
        <v>2218.35</v>
      </c>
      <c r="M1862">
        <v>1996.51</v>
      </c>
      <c r="N1862" t="s">
        <v>21</v>
      </c>
      <c r="O1862">
        <v>2025</v>
      </c>
    </row>
    <row r="1863" spans="1:15" x14ac:dyDescent="0.3">
      <c r="A1863" t="s">
        <v>1948</v>
      </c>
      <c r="B1863" t="s">
        <v>23</v>
      </c>
      <c r="C1863" t="s">
        <v>34</v>
      </c>
      <c r="D1863" t="s">
        <v>85</v>
      </c>
      <c r="E1863" t="s">
        <v>30</v>
      </c>
      <c r="F1863" s="1">
        <v>45369</v>
      </c>
      <c r="G1863">
        <v>5</v>
      </c>
      <c r="H1863">
        <v>12052.46</v>
      </c>
      <c r="I1863">
        <v>0</v>
      </c>
      <c r="J1863" t="s">
        <v>45</v>
      </c>
      <c r="K1863">
        <v>0</v>
      </c>
      <c r="L1863">
        <v>60262.3</v>
      </c>
      <c r="M1863">
        <v>60262.3</v>
      </c>
      <c r="N1863" t="s">
        <v>83</v>
      </c>
      <c r="O1863">
        <v>2024</v>
      </c>
    </row>
    <row r="1864" spans="1:15" x14ac:dyDescent="0.3">
      <c r="A1864" t="s">
        <v>1949</v>
      </c>
      <c r="B1864" t="s">
        <v>114</v>
      </c>
      <c r="C1864" t="s">
        <v>62</v>
      </c>
      <c r="D1864" t="s">
        <v>95</v>
      </c>
      <c r="E1864" t="s">
        <v>25</v>
      </c>
      <c r="F1864" s="1">
        <v>45437</v>
      </c>
      <c r="G1864">
        <v>5</v>
      </c>
      <c r="H1864">
        <v>811.39</v>
      </c>
      <c r="I1864">
        <v>5</v>
      </c>
      <c r="J1864" t="s">
        <v>40</v>
      </c>
      <c r="K1864">
        <v>202.85</v>
      </c>
      <c r="L1864">
        <v>4056.95</v>
      </c>
      <c r="M1864">
        <v>3854.1</v>
      </c>
      <c r="N1864" t="s">
        <v>101</v>
      </c>
      <c r="O1864">
        <v>2024</v>
      </c>
    </row>
    <row r="1865" spans="1:15" x14ac:dyDescent="0.3">
      <c r="A1865" t="s">
        <v>1950</v>
      </c>
      <c r="B1865" t="s">
        <v>114</v>
      </c>
      <c r="C1865" t="s">
        <v>17</v>
      </c>
      <c r="D1865" t="s">
        <v>18</v>
      </c>
      <c r="E1865" t="s">
        <v>56</v>
      </c>
      <c r="F1865" s="1">
        <v>45306</v>
      </c>
      <c r="G1865">
        <v>2</v>
      </c>
      <c r="H1865">
        <v>59899.05</v>
      </c>
      <c r="I1865">
        <v>5</v>
      </c>
      <c r="J1865" t="s">
        <v>36</v>
      </c>
      <c r="K1865">
        <v>5989.91</v>
      </c>
      <c r="L1865">
        <v>119798.1</v>
      </c>
      <c r="M1865">
        <v>113808.19</v>
      </c>
      <c r="N1865" t="s">
        <v>116</v>
      </c>
      <c r="O1865">
        <v>2024</v>
      </c>
    </row>
    <row r="1866" spans="1:15" x14ac:dyDescent="0.3">
      <c r="A1866" t="s">
        <v>1951</v>
      </c>
      <c r="B1866" t="s">
        <v>16</v>
      </c>
      <c r="C1866" t="s">
        <v>90</v>
      </c>
      <c r="D1866" t="s">
        <v>91</v>
      </c>
      <c r="E1866" t="s">
        <v>81</v>
      </c>
      <c r="F1866" s="1">
        <v>45568</v>
      </c>
      <c r="G1866">
        <v>1</v>
      </c>
      <c r="H1866">
        <v>1774.94</v>
      </c>
      <c r="I1866">
        <v>15</v>
      </c>
      <c r="J1866" t="s">
        <v>40</v>
      </c>
      <c r="K1866">
        <v>266.24</v>
      </c>
      <c r="L1866">
        <v>1774.94</v>
      </c>
      <c r="M1866">
        <v>1508.7</v>
      </c>
      <c r="N1866" t="s">
        <v>57</v>
      </c>
      <c r="O1866">
        <v>2024</v>
      </c>
    </row>
    <row r="1867" spans="1:15" x14ac:dyDescent="0.3">
      <c r="A1867" t="s">
        <v>1952</v>
      </c>
      <c r="B1867" t="s">
        <v>29</v>
      </c>
      <c r="C1867" t="s">
        <v>17</v>
      </c>
      <c r="D1867" t="s">
        <v>59</v>
      </c>
      <c r="E1867" t="s">
        <v>25</v>
      </c>
      <c r="F1867" s="1">
        <v>45986</v>
      </c>
      <c r="G1867">
        <v>7</v>
      </c>
      <c r="H1867">
        <v>24955.55</v>
      </c>
      <c r="I1867">
        <v>15</v>
      </c>
      <c r="J1867" t="s">
        <v>31</v>
      </c>
      <c r="K1867">
        <v>26203.33</v>
      </c>
      <c r="L1867">
        <v>174688.85</v>
      </c>
      <c r="M1867">
        <v>148485.51999999999</v>
      </c>
      <c r="N1867" t="s">
        <v>96</v>
      </c>
      <c r="O1867">
        <v>2025</v>
      </c>
    </row>
    <row r="1868" spans="1:15" x14ac:dyDescent="0.3">
      <c r="A1868" t="s">
        <v>1953</v>
      </c>
      <c r="B1868" t="s">
        <v>23</v>
      </c>
      <c r="C1868" t="s">
        <v>90</v>
      </c>
      <c r="D1868" t="s">
        <v>152</v>
      </c>
      <c r="E1868" t="s">
        <v>50</v>
      </c>
      <c r="F1868" s="1">
        <v>45882</v>
      </c>
      <c r="G1868">
        <v>1</v>
      </c>
      <c r="H1868">
        <v>10641.53</v>
      </c>
      <c r="I1868">
        <v>10</v>
      </c>
      <c r="J1868" t="s">
        <v>26</v>
      </c>
      <c r="K1868">
        <v>1064.1500000000001</v>
      </c>
      <c r="L1868">
        <v>10641.53</v>
      </c>
      <c r="M1868">
        <v>9577.3799999999992</v>
      </c>
      <c r="N1868" t="s">
        <v>21</v>
      </c>
      <c r="O1868">
        <v>2025</v>
      </c>
    </row>
    <row r="1869" spans="1:15" x14ac:dyDescent="0.3">
      <c r="A1869" t="s">
        <v>1954</v>
      </c>
      <c r="B1869" t="s">
        <v>29</v>
      </c>
      <c r="C1869" t="s">
        <v>62</v>
      </c>
      <c r="D1869" t="s">
        <v>99</v>
      </c>
      <c r="E1869" t="s">
        <v>44</v>
      </c>
      <c r="F1869" s="1">
        <v>45316</v>
      </c>
      <c r="G1869">
        <v>5</v>
      </c>
      <c r="H1869">
        <v>1711.2</v>
      </c>
      <c r="I1869">
        <v>5</v>
      </c>
      <c r="J1869" t="s">
        <v>40</v>
      </c>
      <c r="K1869">
        <v>427.8</v>
      </c>
      <c r="L1869">
        <v>8556</v>
      </c>
      <c r="M1869">
        <v>8128.2</v>
      </c>
      <c r="N1869" t="s">
        <v>116</v>
      </c>
      <c r="O1869">
        <v>2024</v>
      </c>
    </row>
    <row r="1870" spans="1:15" x14ac:dyDescent="0.3">
      <c r="A1870" t="s">
        <v>1955</v>
      </c>
      <c r="B1870" t="s">
        <v>74</v>
      </c>
      <c r="C1870" t="s">
        <v>34</v>
      </c>
      <c r="D1870" t="s">
        <v>35</v>
      </c>
      <c r="E1870" t="s">
        <v>25</v>
      </c>
      <c r="F1870" s="1">
        <v>45868</v>
      </c>
      <c r="G1870">
        <v>7</v>
      </c>
      <c r="H1870">
        <v>25993.4</v>
      </c>
      <c r="I1870">
        <v>15</v>
      </c>
      <c r="J1870" t="s">
        <v>26</v>
      </c>
      <c r="K1870">
        <v>27293.07</v>
      </c>
      <c r="L1870">
        <v>181953.8</v>
      </c>
      <c r="M1870">
        <v>154660.73000000001</v>
      </c>
      <c r="N1870" t="s">
        <v>122</v>
      </c>
      <c r="O1870">
        <v>2025</v>
      </c>
    </row>
    <row r="1871" spans="1:15" x14ac:dyDescent="0.3">
      <c r="A1871" t="s">
        <v>1956</v>
      </c>
      <c r="B1871" t="s">
        <v>43</v>
      </c>
      <c r="C1871" t="s">
        <v>34</v>
      </c>
      <c r="D1871" t="s">
        <v>80</v>
      </c>
      <c r="E1871" t="s">
        <v>19</v>
      </c>
      <c r="F1871" s="1">
        <v>45904</v>
      </c>
      <c r="G1871">
        <v>6</v>
      </c>
      <c r="H1871">
        <v>6084.39</v>
      </c>
      <c r="I1871">
        <v>15</v>
      </c>
      <c r="J1871" t="s">
        <v>82</v>
      </c>
      <c r="K1871">
        <v>5475.95</v>
      </c>
      <c r="L1871">
        <v>36506.339999999997</v>
      </c>
      <c r="M1871">
        <v>31030.39</v>
      </c>
      <c r="N1871" t="s">
        <v>86</v>
      </c>
      <c r="O1871">
        <v>2025</v>
      </c>
    </row>
    <row r="1872" spans="1:15" x14ac:dyDescent="0.3">
      <c r="A1872" t="s">
        <v>1957</v>
      </c>
      <c r="B1872" t="s">
        <v>33</v>
      </c>
      <c r="C1872" t="s">
        <v>54</v>
      </c>
      <c r="D1872" t="s">
        <v>55</v>
      </c>
      <c r="E1872" t="s">
        <v>30</v>
      </c>
      <c r="F1872" s="1">
        <v>45856</v>
      </c>
      <c r="G1872">
        <v>9</v>
      </c>
      <c r="H1872">
        <v>1123.71</v>
      </c>
      <c r="I1872">
        <v>10</v>
      </c>
      <c r="J1872" t="s">
        <v>45</v>
      </c>
      <c r="K1872">
        <v>1011.34</v>
      </c>
      <c r="L1872">
        <v>10113.39</v>
      </c>
      <c r="M1872">
        <v>9102.0499999999993</v>
      </c>
      <c r="N1872" t="s">
        <v>122</v>
      </c>
      <c r="O1872">
        <v>2025</v>
      </c>
    </row>
    <row r="1873" spans="1:15" x14ac:dyDescent="0.3">
      <c r="A1873" t="s">
        <v>1958</v>
      </c>
      <c r="B1873" t="s">
        <v>93</v>
      </c>
      <c r="C1873" t="s">
        <v>90</v>
      </c>
      <c r="D1873" t="s">
        <v>107</v>
      </c>
      <c r="E1873" t="s">
        <v>56</v>
      </c>
      <c r="F1873" s="1">
        <v>45770</v>
      </c>
      <c r="G1873">
        <v>6</v>
      </c>
      <c r="H1873">
        <v>13101.94</v>
      </c>
      <c r="I1873">
        <v>5</v>
      </c>
      <c r="J1873" t="s">
        <v>45</v>
      </c>
      <c r="K1873">
        <v>3930.58</v>
      </c>
      <c r="L1873">
        <v>78611.64</v>
      </c>
      <c r="M1873">
        <v>74681.06</v>
      </c>
      <c r="N1873" t="s">
        <v>27</v>
      </c>
      <c r="O1873">
        <v>2025</v>
      </c>
    </row>
    <row r="1874" spans="1:15" x14ac:dyDescent="0.3">
      <c r="A1874" t="s">
        <v>1959</v>
      </c>
      <c r="B1874" t="s">
        <v>23</v>
      </c>
      <c r="C1874" t="s">
        <v>90</v>
      </c>
      <c r="D1874" t="s">
        <v>91</v>
      </c>
      <c r="E1874" t="s">
        <v>19</v>
      </c>
      <c r="F1874" s="1">
        <v>45380</v>
      </c>
      <c r="G1874">
        <v>10</v>
      </c>
      <c r="H1874">
        <v>1444.95</v>
      </c>
      <c r="I1874">
        <v>5</v>
      </c>
      <c r="J1874" t="s">
        <v>31</v>
      </c>
      <c r="K1874">
        <v>722.48</v>
      </c>
      <c r="L1874">
        <v>14449.5</v>
      </c>
      <c r="M1874">
        <v>13727.02</v>
      </c>
      <c r="N1874" t="s">
        <v>83</v>
      </c>
      <c r="O1874">
        <v>2024</v>
      </c>
    </row>
    <row r="1875" spans="1:15" x14ac:dyDescent="0.3">
      <c r="A1875" t="s">
        <v>1960</v>
      </c>
      <c r="B1875" t="s">
        <v>61</v>
      </c>
      <c r="C1875" t="s">
        <v>62</v>
      </c>
      <c r="D1875" t="s">
        <v>119</v>
      </c>
      <c r="E1875" t="s">
        <v>56</v>
      </c>
      <c r="F1875" s="1">
        <v>45844</v>
      </c>
      <c r="G1875">
        <v>3</v>
      </c>
      <c r="H1875">
        <v>3928.52</v>
      </c>
      <c r="I1875">
        <v>10</v>
      </c>
      <c r="J1875" t="s">
        <v>71</v>
      </c>
      <c r="K1875">
        <v>1178.56</v>
      </c>
      <c r="L1875">
        <v>11785.56</v>
      </c>
      <c r="M1875">
        <v>10607</v>
      </c>
      <c r="N1875" t="s">
        <v>122</v>
      </c>
      <c r="O1875">
        <v>2025</v>
      </c>
    </row>
    <row r="1876" spans="1:15" x14ac:dyDescent="0.3">
      <c r="A1876" t="s">
        <v>1961</v>
      </c>
      <c r="B1876" t="s">
        <v>93</v>
      </c>
      <c r="C1876" t="s">
        <v>54</v>
      </c>
      <c r="D1876" t="s">
        <v>55</v>
      </c>
      <c r="E1876" t="s">
        <v>19</v>
      </c>
      <c r="F1876" s="1">
        <v>45879</v>
      </c>
      <c r="G1876">
        <v>3</v>
      </c>
      <c r="H1876">
        <v>1373.17</v>
      </c>
      <c r="I1876">
        <v>5</v>
      </c>
      <c r="J1876" t="s">
        <v>36</v>
      </c>
      <c r="K1876">
        <v>205.98</v>
      </c>
      <c r="L1876">
        <v>4119.51</v>
      </c>
      <c r="M1876">
        <v>3913.53</v>
      </c>
      <c r="N1876" t="s">
        <v>21</v>
      </c>
      <c r="O1876">
        <v>2025</v>
      </c>
    </row>
    <row r="1877" spans="1:15" x14ac:dyDescent="0.3">
      <c r="A1877" t="s">
        <v>1962</v>
      </c>
      <c r="B1877" t="s">
        <v>38</v>
      </c>
      <c r="C1877" t="s">
        <v>90</v>
      </c>
      <c r="D1877" t="s">
        <v>105</v>
      </c>
      <c r="E1877" t="s">
        <v>56</v>
      </c>
      <c r="F1877" s="1">
        <v>45805</v>
      </c>
      <c r="G1877">
        <v>9</v>
      </c>
      <c r="H1877">
        <v>3186.73</v>
      </c>
      <c r="I1877">
        <v>0</v>
      </c>
      <c r="J1877" t="s">
        <v>82</v>
      </c>
      <c r="K1877">
        <v>0</v>
      </c>
      <c r="L1877">
        <v>28680.57</v>
      </c>
      <c r="M1877">
        <v>28680.57</v>
      </c>
      <c r="N1877" t="s">
        <v>101</v>
      </c>
      <c r="O1877">
        <v>2025</v>
      </c>
    </row>
    <row r="1878" spans="1:15" x14ac:dyDescent="0.3">
      <c r="A1878" t="s">
        <v>1963</v>
      </c>
      <c r="B1878" t="s">
        <v>43</v>
      </c>
      <c r="C1878" t="s">
        <v>54</v>
      </c>
      <c r="D1878" t="s">
        <v>70</v>
      </c>
      <c r="E1878" t="s">
        <v>81</v>
      </c>
      <c r="F1878" s="1">
        <v>45524</v>
      </c>
      <c r="G1878">
        <v>6</v>
      </c>
      <c r="H1878">
        <v>2555.7399999999998</v>
      </c>
      <c r="I1878">
        <v>10</v>
      </c>
      <c r="J1878" t="s">
        <v>36</v>
      </c>
      <c r="K1878">
        <v>1533.44</v>
      </c>
      <c r="L1878">
        <v>15334.44</v>
      </c>
      <c r="M1878">
        <v>13801</v>
      </c>
      <c r="N1878" t="s">
        <v>21</v>
      </c>
      <c r="O1878">
        <v>2024</v>
      </c>
    </row>
    <row r="1879" spans="1:15" x14ac:dyDescent="0.3">
      <c r="A1879" t="s">
        <v>1964</v>
      </c>
      <c r="B1879" t="s">
        <v>114</v>
      </c>
      <c r="C1879" t="s">
        <v>62</v>
      </c>
      <c r="D1879" t="s">
        <v>132</v>
      </c>
      <c r="E1879" t="s">
        <v>56</v>
      </c>
      <c r="F1879" s="1">
        <v>45516</v>
      </c>
      <c r="G1879">
        <v>10</v>
      </c>
      <c r="H1879">
        <v>2469.46</v>
      </c>
      <c r="I1879">
        <v>15</v>
      </c>
      <c r="J1879" t="s">
        <v>31</v>
      </c>
      <c r="K1879">
        <v>3704.19</v>
      </c>
      <c r="L1879">
        <v>24694.6</v>
      </c>
      <c r="M1879">
        <v>20990.41</v>
      </c>
      <c r="N1879" t="s">
        <v>21</v>
      </c>
      <c r="O1879">
        <v>2024</v>
      </c>
    </row>
    <row r="1880" spans="1:15" x14ac:dyDescent="0.3">
      <c r="A1880" t="s">
        <v>1965</v>
      </c>
      <c r="B1880" t="s">
        <v>61</v>
      </c>
      <c r="C1880" t="s">
        <v>17</v>
      </c>
      <c r="D1880" t="s">
        <v>59</v>
      </c>
      <c r="E1880" t="s">
        <v>30</v>
      </c>
      <c r="F1880" s="1">
        <v>45451</v>
      </c>
      <c r="G1880">
        <v>4</v>
      </c>
      <c r="H1880">
        <v>26976.26</v>
      </c>
      <c r="I1880">
        <v>20</v>
      </c>
      <c r="J1880" t="s">
        <v>71</v>
      </c>
      <c r="K1880">
        <v>21581.01</v>
      </c>
      <c r="L1880">
        <v>107905.04</v>
      </c>
      <c r="M1880">
        <v>86324.03</v>
      </c>
      <c r="N1880" t="s">
        <v>72</v>
      </c>
      <c r="O1880">
        <v>2024</v>
      </c>
    </row>
    <row r="1881" spans="1:15" x14ac:dyDescent="0.3">
      <c r="A1881" t="s">
        <v>1966</v>
      </c>
      <c r="B1881" t="s">
        <v>53</v>
      </c>
      <c r="C1881" t="s">
        <v>17</v>
      </c>
      <c r="D1881" t="s">
        <v>157</v>
      </c>
      <c r="E1881" t="s">
        <v>25</v>
      </c>
      <c r="F1881" s="1">
        <v>45539</v>
      </c>
      <c r="G1881">
        <v>7</v>
      </c>
      <c r="H1881">
        <v>6830</v>
      </c>
      <c r="I1881">
        <v>5</v>
      </c>
      <c r="J1881" t="s">
        <v>40</v>
      </c>
      <c r="K1881">
        <v>2390.5</v>
      </c>
      <c r="L1881">
        <v>47810</v>
      </c>
      <c r="M1881">
        <v>45419.5</v>
      </c>
      <c r="N1881" t="s">
        <v>86</v>
      </c>
      <c r="O1881">
        <v>2024</v>
      </c>
    </row>
    <row r="1882" spans="1:15" x14ac:dyDescent="0.3">
      <c r="A1882" t="s">
        <v>1967</v>
      </c>
      <c r="B1882" t="s">
        <v>38</v>
      </c>
      <c r="C1882" t="s">
        <v>54</v>
      </c>
      <c r="D1882" t="s">
        <v>70</v>
      </c>
      <c r="E1882" t="s">
        <v>50</v>
      </c>
      <c r="F1882" s="1">
        <v>45308</v>
      </c>
      <c r="G1882">
        <v>1</v>
      </c>
      <c r="H1882">
        <v>2434.87</v>
      </c>
      <c r="I1882">
        <v>5</v>
      </c>
      <c r="J1882" t="s">
        <v>26</v>
      </c>
      <c r="K1882">
        <v>121.74</v>
      </c>
      <c r="L1882">
        <v>2434.87</v>
      </c>
      <c r="M1882">
        <v>2313.13</v>
      </c>
      <c r="N1882" t="s">
        <v>116</v>
      </c>
      <c r="O1882">
        <v>2024</v>
      </c>
    </row>
    <row r="1883" spans="1:15" x14ac:dyDescent="0.3">
      <c r="A1883" t="s">
        <v>1968</v>
      </c>
      <c r="B1883" t="s">
        <v>47</v>
      </c>
      <c r="C1883" t="s">
        <v>34</v>
      </c>
      <c r="D1883" t="s">
        <v>80</v>
      </c>
      <c r="E1883" t="s">
        <v>19</v>
      </c>
      <c r="F1883" s="1">
        <v>45413</v>
      </c>
      <c r="G1883">
        <v>7</v>
      </c>
      <c r="H1883">
        <v>6817.31</v>
      </c>
      <c r="I1883">
        <v>15</v>
      </c>
      <c r="J1883" t="s">
        <v>71</v>
      </c>
      <c r="K1883">
        <v>7158.18</v>
      </c>
      <c r="L1883">
        <v>47721.17</v>
      </c>
      <c r="M1883">
        <v>40562.99</v>
      </c>
      <c r="N1883" t="s">
        <v>101</v>
      </c>
      <c r="O1883">
        <v>2024</v>
      </c>
    </row>
    <row r="1884" spans="1:15" x14ac:dyDescent="0.3">
      <c r="A1884" t="s">
        <v>1969</v>
      </c>
      <c r="B1884" t="s">
        <v>43</v>
      </c>
      <c r="C1884" t="s">
        <v>17</v>
      </c>
      <c r="D1884" t="s">
        <v>24</v>
      </c>
      <c r="E1884" t="s">
        <v>19</v>
      </c>
      <c r="F1884" s="1">
        <v>45675</v>
      </c>
      <c r="G1884">
        <v>4</v>
      </c>
      <c r="H1884">
        <v>2927.84</v>
      </c>
      <c r="I1884">
        <v>20</v>
      </c>
      <c r="J1884" t="s">
        <v>31</v>
      </c>
      <c r="K1884">
        <v>2342.27</v>
      </c>
      <c r="L1884">
        <v>11711.36</v>
      </c>
      <c r="M1884">
        <v>9369.09</v>
      </c>
      <c r="N1884" t="s">
        <v>116</v>
      </c>
      <c r="O1884">
        <v>2025</v>
      </c>
    </row>
    <row r="1885" spans="1:15" x14ac:dyDescent="0.3">
      <c r="A1885" t="s">
        <v>1970</v>
      </c>
      <c r="B1885" t="s">
        <v>61</v>
      </c>
      <c r="C1885" t="s">
        <v>54</v>
      </c>
      <c r="D1885" t="s">
        <v>68</v>
      </c>
      <c r="E1885" t="s">
        <v>81</v>
      </c>
      <c r="F1885" s="1">
        <v>45987</v>
      </c>
      <c r="G1885">
        <v>8</v>
      </c>
      <c r="H1885">
        <v>5664.05</v>
      </c>
      <c r="I1885">
        <v>15</v>
      </c>
      <c r="J1885" t="s">
        <v>26</v>
      </c>
      <c r="K1885">
        <v>6796.86</v>
      </c>
      <c r="L1885">
        <v>45312.4</v>
      </c>
      <c r="M1885">
        <v>38515.54</v>
      </c>
      <c r="N1885" t="s">
        <v>96</v>
      </c>
      <c r="O1885">
        <v>2025</v>
      </c>
    </row>
    <row r="1886" spans="1:15" x14ac:dyDescent="0.3">
      <c r="A1886" t="s">
        <v>1971</v>
      </c>
      <c r="B1886" t="s">
        <v>109</v>
      </c>
      <c r="C1886" t="s">
        <v>62</v>
      </c>
      <c r="D1886" t="s">
        <v>119</v>
      </c>
      <c r="E1886" t="s">
        <v>19</v>
      </c>
      <c r="F1886" s="1">
        <v>45684</v>
      </c>
      <c r="G1886">
        <v>9</v>
      </c>
      <c r="H1886">
        <v>3823.56</v>
      </c>
      <c r="I1886">
        <v>15</v>
      </c>
      <c r="J1886" t="s">
        <v>71</v>
      </c>
      <c r="K1886">
        <v>5161.8100000000004</v>
      </c>
      <c r="L1886">
        <v>34412.04</v>
      </c>
      <c r="M1886">
        <v>29250.23</v>
      </c>
      <c r="N1886" t="s">
        <v>116</v>
      </c>
      <c r="O1886">
        <v>2025</v>
      </c>
    </row>
    <row r="1887" spans="1:15" x14ac:dyDescent="0.3">
      <c r="A1887" t="s">
        <v>1972</v>
      </c>
      <c r="B1887" t="s">
        <v>114</v>
      </c>
      <c r="C1887" t="s">
        <v>54</v>
      </c>
      <c r="D1887" t="s">
        <v>77</v>
      </c>
      <c r="E1887" t="s">
        <v>19</v>
      </c>
      <c r="F1887" s="1">
        <v>45319</v>
      </c>
      <c r="G1887">
        <v>7</v>
      </c>
      <c r="H1887">
        <v>4548.34</v>
      </c>
      <c r="I1887">
        <v>15</v>
      </c>
      <c r="J1887" t="s">
        <v>71</v>
      </c>
      <c r="K1887">
        <v>4775.76</v>
      </c>
      <c r="L1887">
        <v>31838.38</v>
      </c>
      <c r="M1887">
        <v>27062.62</v>
      </c>
      <c r="N1887" t="s">
        <v>116</v>
      </c>
      <c r="O1887">
        <v>2024</v>
      </c>
    </row>
    <row r="1888" spans="1:15" x14ac:dyDescent="0.3">
      <c r="A1888" t="s">
        <v>1973</v>
      </c>
      <c r="B1888" t="s">
        <v>43</v>
      </c>
      <c r="C1888" t="s">
        <v>17</v>
      </c>
      <c r="D1888" t="s">
        <v>157</v>
      </c>
      <c r="E1888" t="s">
        <v>81</v>
      </c>
      <c r="F1888" s="1">
        <v>45376</v>
      </c>
      <c r="G1888">
        <v>4</v>
      </c>
      <c r="H1888">
        <v>7567.49</v>
      </c>
      <c r="I1888">
        <v>0</v>
      </c>
      <c r="J1888" t="s">
        <v>82</v>
      </c>
      <c r="K1888">
        <v>0</v>
      </c>
      <c r="L1888">
        <v>30269.96</v>
      </c>
      <c r="M1888">
        <v>30269.96</v>
      </c>
      <c r="N1888" t="s">
        <v>83</v>
      </c>
      <c r="O1888">
        <v>2024</v>
      </c>
    </row>
    <row r="1889" spans="1:15" x14ac:dyDescent="0.3">
      <c r="A1889" t="s">
        <v>1974</v>
      </c>
      <c r="B1889" t="s">
        <v>16</v>
      </c>
      <c r="C1889" t="s">
        <v>90</v>
      </c>
      <c r="D1889" t="s">
        <v>152</v>
      </c>
      <c r="E1889" t="s">
        <v>19</v>
      </c>
      <c r="F1889" s="1">
        <v>45910</v>
      </c>
      <c r="G1889">
        <v>8</v>
      </c>
      <c r="H1889">
        <v>9085.86</v>
      </c>
      <c r="I1889">
        <v>10</v>
      </c>
      <c r="J1889" t="s">
        <v>20</v>
      </c>
      <c r="K1889">
        <v>7268.69</v>
      </c>
      <c r="L1889">
        <v>72686.880000000005</v>
      </c>
      <c r="M1889">
        <v>65418.19</v>
      </c>
      <c r="N1889" t="s">
        <v>86</v>
      </c>
      <c r="O1889">
        <v>2025</v>
      </c>
    </row>
    <row r="1890" spans="1:15" x14ac:dyDescent="0.3">
      <c r="A1890" t="s">
        <v>1975</v>
      </c>
      <c r="B1890" t="s">
        <v>29</v>
      </c>
      <c r="C1890" t="s">
        <v>54</v>
      </c>
      <c r="D1890" t="s">
        <v>68</v>
      </c>
      <c r="E1890" t="s">
        <v>81</v>
      </c>
      <c r="F1890" s="1">
        <v>45389</v>
      </c>
      <c r="G1890">
        <v>1</v>
      </c>
      <c r="H1890">
        <v>4819.3</v>
      </c>
      <c r="I1890">
        <v>20</v>
      </c>
      <c r="J1890" t="s">
        <v>31</v>
      </c>
      <c r="K1890">
        <v>963.86</v>
      </c>
      <c r="L1890">
        <v>4819.3</v>
      </c>
      <c r="M1890">
        <v>3855.44</v>
      </c>
      <c r="N1890" t="s">
        <v>27</v>
      </c>
      <c r="O1890">
        <v>2024</v>
      </c>
    </row>
    <row r="1891" spans="1:15" x14ac:dyDescent="0.3">
      <c r="A1891" t="s">
        <v>1976</v>
      </c>
      <c r="B1891" t="s">
        <v>89</v>
      </c>
      <c r="C1891" t="s">
        <v>17</v>
      </c>
      <c r="D1891" t="s">
        <v>24</v>
      </c>
      <c r="E1891" t="s">
        <v>25</v>
      </c>
      <c r="F1891" s="1">
        <v>45766</v>
      </c>
      <c r="G1891">
        <v>5</v>
      </c>
      <c r="H1891">
        <v>3222.85</v>
      </c>
      <c r="I1891">
        <v>15</v>
      </c>
      <c r="J1891" t="s">
        <v>36</v>
      </c>
      <c r="K1891">
        <v>2417.14</v>
      </c>
      <c r="L1891">
        <v>16114.25</v>
      </c>
      <c r="M1891">
        <v>13697.11</v>
      </c>
      <c r="N1891" t="s">
        <v>27</v>
      </c>
      <c r="O1891">
        <v>2025</v>
      </c>
    </row>
    <row r="1892" spans="1:15" x14ac:dyDescent="0.3">
      <c r="A1892" t="s">
        <v>1977</v>
      </c>
      <c r="B1892" t="s">
        <v>43</v>
      </c>
      <c r="C1892" t="s">
        <v>54</v>
      </c>
      <c r="D1892" t="s">
        <v>70</v>
      </c>
      <c r="E1892" t="s">
        <v>81</v>
      </c>
      <c r="F1892" s="1">
        <v>46006</v>
      </c>
      <c r="G1892">
        <v>9</v>
      </c>
      <c r="H1892">
        <v>2812.63</v>
      </c>
      <c r="I1892">
        <v>15</v>
      </c>
      <c r="J1892" t="s">
        <v>82</v>
      </c>
      <c r="K1892">
        <v>3797.05</v>
      </c>
      <c r="L1892">
        <v>25313.67</v>
      </c>
      <c r="M1892">
        <v>21516.62</v>
      </c>
      <c r="N1892" t="s">
        <v>51</v>
      </c>
      <c r="O1892">
        <v>2025</v>
      </c>
    </row>
    <row r="1893" spans="1:15" x14ac:dyDescent="0.3">
      <c r="A1893" t="s">
        <v>1978</v>
      </c>
      <c r="B1893" t="s">
        <v>109</v>
      </c>
      <c r="C1893" t="s">
        <v>62</v>
      </c>
      <c r="D1893" t="s">
        <v>63</v>
      </c>
      <c r="E1893" t="s">
        <v>19</v>
      </c>
      <c r="F1893" s="1">
        <v>45728</v>
      </c>
      <c r="G1893">
        <v>2</v>
      </c>
      <c r="H1893">
        <v>1929.06</v>
      </c>
      <c r="I1893">
        <v>0</v>
      </c>
      <c r="J1893" t="s">
        <v>45</v>
      </c>
      <c r="K1893">
        <v>0</v>
      </c>
      <c r="L1893">
        <v>3858.12</v>
      </c>
      <c r="M1893">
        <v>3858.12</v>
      </c>
      <c r="N1893" t="s">
        <v>83</v>
      </c>
      <c r="O1893">
        <v>2025</v>
      </c>
    </row>
    <row r="1894" spans="1:15" x14ac:dyDescent="0.3">
      <c r="A1894" t="s">
        <v>1979</v>
      </c>
      <c r="B1894" t="s">
        <v>89</v>
      </c>
      <c r="C1894" t="s">
        <v>34</v>
      </c>
      <c r="D1894" t="s">
        <v>35</v>
      </c>
      <c r="E1894" t="s">
        <v>50</v>
      </c>
      <c r="F1894" s="1">
        <v>45688</v>
      </c>
      <c r="G1894">
        <v>3</v>
      </c>
      <c r="H1894">
        <v>27327.89</v>
      </c>
      <c r="I1894">
        <v>0</v>
      </c>
      <c r="J1894" t="s">
        <v>26</v>
      </c>
      <c r="K1894">
        <v>0</v>
      </c>
      <c r="L1894">
        <v>81983.67</v>
      </c>
      <c r="M1894">
        <v>81983.67</v>
      </c>
      <c r="N1894" t="s">
        <v>116</v>
      </c>
      <c r="O1894">
        <v>2025</v>
      </c>
    </row>
    <row r="1895" spans="1:15" x14ac:dyDescent="0.3">
      <c r="A1895" t="s">
        <v>1980</v>
      </c>
      <c r="B1895" t="s">
        <v>29</v>
      </c>
      <c r="C1895" t="s">
        <v>62</v>
      </c>
      <c r="D1895" t="s">
        <v>63</v>
      </c>
      <c r="E1895" t="s">
        <v>19</v>
      </c>
      <c r="F1895" s="1">
        <v>45526</v>
      </c>
      <c r="G1895">
        <v>8</v>
      </c>
      <c r="H1895">
        <v>1983.79</v>
      </c>
      <c r="I1895">
        <v>0</v>
      </c>
      <c r="J1895" t="s">
        <v>71</v>
      </c>
      <c r="K1895">
        <v>0</v>
      </c>
      <c r="L1895">
        <v>15870.32</v>
      </c>
      <c r="M1895">
        <v>15870.32</v>
      </c>
      <c r="N1895" t="s">
        <v>21</v>
      </c>
      <c r="O1895">
        <v>2024</v>
      </c>
    </row>
    <row r="1896" spans="1:15" x14ac:dyDescent="0.3">
      <c r="A1896" t="s">
        <v>1981</v>
      </c>
      <c r="B1896" t="s">
        <v>53</v>
      </c>
      <c r="C1896" t="s">
        <v>17</v>
      </c>
      <c r="D1896" t="s">
        <v>59</v>
      </c>
      <c r="E1896" t="s">
        <v>50</v>
      </c>
      <c r="F1896" s="1">
        <v>45740</v>
      </c>
      <c r="G1896">
        <v>8</v>
      </c>
      <c r="H1896">
        <v>24791.72</v>
      </c>
      <c r="I1896">
        <v>15</v>
      </c>
      <c r="J1896" t="s">
        <v>26</v>
      </c>
      <c r="K1896">
        <v>29750.06</v>
      </c>
      <c r="L1896">
        <v>198333.76</v>
      </c>
      <c r="M1896">
        <v>168583.7</v>
      </c>
      <c r="N1896" t="s">
        <v>83</v>
      </c>
      <c r="O1896">
        <v>2025</v>
      </c>
    </row>
    <row r="1897" spans="1:15" x14ac:dyDescent="0.3">
      <c r="A1897" t="s">
        <v>1982</v>
      </c>
      <c r="B1897" t="s">
        <v>114</v>
      </c>
      <c r="C1897" t="s">
        <v>17</v>
      </c>
      <c r="D1897" t="s">
        <v>24</v>
      </c>
      <c r="E1897" t="s">
        <v>30</v>
      </c>
      <c r="F1897" s="1">
        <v>45942</v>
      </c>
      <c r="G1897">
        <v>9</v>
      </c>
      <c r="H1897">
        <v>3057.72</v>
      </c>
      <c r="I1897">
        <v>15</v>
      </c>
      <c r="J1897" t="s">
        <v>45</v>
      </c>
      <c r="K1897">
        <v>4127.92</v>
      </c>
      <c r="L1897">
        <v>27519.48</v>
      </c>
      <c r="M1897">
        <v>23391.56</v>
      </c>
      <c r="N1897" t="s">
        <v>57</v>
      </c>
      <c r="O1897">
        <v>2025</v>
      </c>
    </row>
    <row r="1898" spans="1:15" x14ac:dyDescent="0.3">
      <c r="A1898" t="s">
        <v>1983</v>
      </c>
      <c r="B1898" t="s">
        <v>23</v>
      </c>
      <c r="C1898" t="s">
        <v>17</v>
      </c>
      <c r="D1898" t="s">
        <v>39</v>
      </c>
      <c r="E1898" t="s">
        <v>81</v>
      </c>
      <c r="F1898" s="1">
        <v>45360</v>
      </c>
      <c r="G1898">
        <v>2</v>
      </c>
      <c r="H1898">
        <v>16592.59</v>
      </c>
      <c r="I1898">
        <v>10</v>
      </c>
      <c r="J1898" t="s">
        <v>31</v>
      </c>
      <c r="K1898">
        <v>3318.52</v>
      </c>
      <c r="L1898">
        <v>33185.18</v>
      </c>
      <c r="M1898">
        <v>29866.66</v>
      </c>
      <c r="N1898" t="s">
        <v>83</v>
      </c>
      <c r="O1898">
        <v>2024</v>
      </c>
    </row>
    <row r="1899" spans="1:15" x14ac:dyDescent="0.3">
      <c r="A1899" t="s">
        <v>1984</v>
      </c>
      <c r="B1899" t="s">
        <v>65</v>
      </c>
      <c r="C1899" t="s">
        <v>90</v>
      </c>
      <c r="D1899" t="s">
        <v>152</v>
      </c>
      <c r="E1899" t="s">
        <v>50</v>
      </c>
      <c r="F1899" s="1">
        <v>45415</v>
      </c>
      <c r="G1899">
        <v>1</v>
      </c>
      <c r="H1899">
        <v>9404.99</v>
      </c>
      <c r="I1899">
        <v>20</v>
      </c>
      <c r="J1899" t="s">
        <v>36</v>
      </c>
      <c r="K1899">
        <v>1881</v>
      </c>
      <c r="L1899">
        <v>9404.99</v>
      </c>
      <c r="M1899">
        <v>7523.99</v>
      </c>
      <c r="N1899" t="s">
        <v>101</v>
      </c>
      <c r="O1899">
        <v>2024</v>
      </c>
    </row>
    <row r="1900" spans="1:15" x14ac:dyDescent="0.3">
      <c r="A1900" t="s">
        <v>1985</v>
      </c>
      <c r="B1900" t="s">
        <v>89</v>
      </c>
      <c r="C1900" t="s">
        <v>34</v>
      </c>
      <c r="D1900" t="s">
        <v>85</v>
      </c>
      <c r="E1900" t="s">
        <v>30</v>
      </c>
      <c r="F1900" s="1">
        <v>45862</v>
      </c>
      <c r="G1900">
        <v>5</v>
      </c>
      <c r="H1900">
        <v>12233.64</v>
      </c>
      <c r="I1900">
        <v>5</v>
      </c>
      <c r="J1900" t="s">
        <v>45</v>
      </c>
      <c r="K1900">
        <v>3058.41</v>
      </c>
      <c r="L1900">
        <v>61168.2</v>
      </c>
      <c r="M1900">
        <v>58109.79</v>
      </c>
      <c r="N1900" t="s">
        <v>122</v>
      </c>
      <c r="O1900">
        <v>2025</v>
      </c>
    </row>
    <row r="1901" spans="1:15" x14ac:dyDescent="0.3">
      <c r="A1901" t="s">
        <v>1986</v>
      </c>
      <c r="B1901" t="s">
        <v>47</v>
      </c>
      <c r="C1901" t="s">
        <v>54</v>
      </c>
      <c r="D1901" t="s">
        <v>68</v>
      </c>
      <c r="E1901" t="s">
        <v>81</v>
      </c>
      <c r="F1901" s="1">
        <v>45529</v>
      </c>
      <c r="G1901">
        <v>4</v>
      </c>
      <c r="H1901">
        <v>4215.8100000000004</v>
      </c>
      <c r="I1901">
        <v>5</v>
      </c>
      <c r="J1901" t="s">
        <v>26</v>
      </c>
      <c r="K1901">
        <v>843.16</v>
      </c>
      <c r="L1901">
        <v>16863.240000000002</v>
      </c>
      <c r="M1901">
        <v>16020.08</v>
      </c>
      <c r="N1901" t="s">
        <v>21</v>
      </c>
      <c r="O1901">
        <v>2024</v>
      </c>
    </row>
    <row r="1902" spans="1:15" x14ac:dyDescent="0.3">
      <c r="A1902" t="s">
        <v>1987</v>
      </c>
      <c r="B1902" t="s">
        <v>33</v>
      </c>
      <c r="C1902" t="s">
        <v>90</v>
      </c>
      <c r="D1902" t="s">
        <v>105</v>
      </c>
      <c r="E1902" t="s">
        <v>25</v>
      </c>
      <c r="F1902" s="1">
        <v>45407</v>
      </c>
      <c r="G1902">
        <v>9</v>
      </c>
      <c r="H1902">
        <v>3732.67</v>
      </c>
      <c r="I1902">
        <v>20</v>
      </c>
      <c r="J1902" t="s">
        <v>26</v>
      </c>
      <c r="K1902">
        <v>6718.81</v>
      </c>
      <c r="L1902">
        <v>33594.03</v>
      </c>
      <c r="M1902">
        <v>26875.22</v>
      </c>
      <c r="N1902" t="s">
        <v>27</v>
      </c>
      <c r="O1902">
        <v>2024</v>
      </c>
    </row>
    <row r="1903" spans="1:15" x14ac:dyDescent="0.3">
      <c r="A1903" t="s">
        <v>1988</v>
      </c>
      <c r="B1903" t="s">
        <v>43</v>
      </c>
      <c r="C1903" t="s">
        <v>54</v>
      </c>
      <c r="D1903" t="s">
        <v>70</v>
      </c>
      <c r="E1903" t="s">
        <v>44</v>
      </c>
      <c r="F1903" s="1">
        <v>45619</v>
      </c>
      <c r="G1903">
        <v>4</v>
      </c>
      <c r="H1903">
        <v>3066.65</v>
      </c>
      <c r="I1903">
        <v>5</v>
      </c>
      <c r="J1903" t="s">
        <v>36</v>
      </c>
      <c r="K1903">
        <v>613.33000000000004</v>
      </c>
      <c r="L1903">
        <v>12266.6</v>
      </c>
      <c r="M1903">
        <v>11653.27</v>
      </c>
      <c r="N1903" t="s">
        <v>96</v>
      </c>
      <c r="O1903">
        <v>2024</v>
      </c>
    </row>
    <row r="1904" spans="1:15" x14ac:dyDescent="0.3">
      <c r="A1904" t="s">
        <v>1989</v>
      </c>
      <c r="B1904" t="s">
        <v>89</v>
      </c>
      <c r="C1904" t="s">
        <v>34</v>
      </c>
      <c r="D1904" t="s">
        <v>35</v>
      </c>
      <c r="E1904" t="s">
        <v>56</v>
      </c>
      <c r="F1904" s="1">
        <v>45393</v>
      </c>
      <c r="G1904">
        <v>3</v>
      </c>
      <c r="H1904">
        <v>24924.11</v>
      </c>
      <c r="I1904">
        <v>20</v>
      </c>
      <c r="J1904" t="s">
        <v>20</v>
      </c>
      <c r="K1904">
        <v>14954.47</v>
      </c>
      <c r="L1904">
        <v>74772.33</v>
      </c>
      <c r="M1904">
        <v>59817.86</v>
      </c>
      <c r="N1904" t="s">
        <v>27</v>
      </c>
      <c r="O1904">
        <v>2024</v>
      </c>
    </row>
    <row r="1905" spans="1:15" x14ac:dyDescent="0.3">
      <c r="A1905" t="s">
        <v>1990</v>
      </c>
      <c r="B1905" t="s">
        <v>61</v>
      </c>
      <c r="C1905" t="s">
        <v>17</v>
      </c>
      <c r="D1905" t="s">
        <v>59</v>
      </c>
      <c r="E1905" t="s">
        <v>50</v>
      </c>
      <c r="F1905" s="1">
        <v>45361</v>
      </c>
      <c r="G1905">
        <v>8</v>
      </c>
      <c r="H1905">
        <v>25708.65</v>
      </c>
      <c r="I1905">
        <v>0</v>
      </c>
      <c r="J1905" t="s">
        <v>36</v>
      </c>
      <c r="K1905">
        <v>0</v>
      </c>
      <c r="L1905">
        <v>205669.2</v>
      </c>
      <c r="M1905">
        <v>205669.2</v>
      </c>
      <c r="N1905" t="s">
        <v>83</v>
      </c>
      <c r="O1905">
        <v>2024</v>
      </c>
    </row>
    <row r="1906" spans="1:15" x14ac:dyDescent="0.3">
      <c r="A1906" t="s">
        <v>1991</v>
      </c>
      <c r="B1906" t="s">
        <v>29</v>
      </c>
      <c r="C1906" t="s">
        <v>54</v>
      </c>
      <c r="D1906" t="s">
        <v>55</v>
      </c>
      <c r="E1906" t="s">
        <v>30</v>
      </c>
      <c r="F1906" s="1">
        <v>45932</v>
      </c>
      <c r="G1906">
        <v>6</v>
      </c>
      <c r="H1906">
        <v>1497.41</v>
      </c>
      <c r="I1906">
        <v>10</v>
      </c>
      <c r="J1906" t="s">
        <v>31</v>
      </c>
      <c r="K1906">
        <v>898.45</v>
      </c>
      <c r="L1906">
        <v>8984.4599999999991</v>
      </c>
      <c r="M1906">
        <v>8086.01</v>
      </c>
      <c r="N1906" t="s">
        <v>57</v>
      </c>
      <c r="O1906">
        <v>2025</v>
      </c>
    </row>
    <row r="1907" spans="1:15" x14ac:dyDescent="0.3">
      <c r="A1907" t="s">
        <v>1992</v>
      </c>
      <c r="B1907" t="s">
        <v>74</v>
      </c>
      <c r="C1907" t="s">
        <v>90</v>
      </c>
      <c r="D1907" t="s">
        <v>105</v>
      </c>
      <c r="E1907" t="s">
        <v>56</v>
      </c>
      <c r="F1907" s="1">
        <v>45620</v>
      </c>
      <c r="G1907">
        <v>7</v>
      </c>
      <c r="H1907">
        <v>3491.63</v>
      </c>
      <c r="I1907">
        <v>10</v>
      </c>
      <c r="J1907" t="s">
        <v>26</v>
      </c>
      <c r="K1907">
        <v>2444.14</v>
      </c>
      <c r="L1907">
        <v>24441.41</v>
      </c>
      <c r="M1907">
        <v>21997.27</v>
      </c>
      <c r="N1907" t="s">
        <v>96</v>
      </c>
      <c r="O1907">
        <v>2024</v>
      </c>
    </row>
    <row r="1908" spans="1:15" x14ac:dyDescent="0.3">
      <c r="A1908" t="s">
        <v>1993</v>
      </c>
      <c r="B1908" t="s">
        <v>93</v>
      </c>
      <c r="C1908" t="s">
        <v>90</v>
      </c>
      <c r="D1908" t="s">
        <v>152</v>
      </c>
      <c r="E1908" t="s">
        <v>44</v>
      </c>
      <c r="F1908" s="1">
        <v>45422</v>
      </c>
      <c r="G1908">
        <v>8</v>
      </c>
      <c r="H1908">
        <v>10537.24</v>
      </c>
      <c r="I1908">
        <v>20</v>
      </c>
      <c r="J1908" t="s">
        <v>20</v>
      </c>
      <c r="K1908">
        <v>16859.580000000002</v>
      </c>
      <c r="L1908">
        <v>84297.919999999998</v>
      </c>
      <c r="M1908">
        <v>67438.34</v>
      </c>
      <c r="N1908" t="s">
        <v>101</v>
      </c>
      <c r="O1908">
        <v>2024</v>
      </c>
    </row>
    <row r="1909" spans="1:15" x14ac:dyDescent="0.3">
      <c r="A1909" t="s">
        <v>1994</v>
      </c>
      <c r="B1909" t="s">
        <v>29</v>
      </c>
      <c r="C1909" t="s">
        <v>90</v>
      </c>
      <c r="D1909" t="s">
        <v>107</v>
      </c>
      <c r="E1909" t="s">
        <v>81</v>
      </c>
      <c r="F1909" s="1">
        <v>45801</v>
      </c>
      <c r="G1909">
        <v>2</v>
      </c>
      <c r="H1909">
        <v>12098.22</v>
      </c>
      <c r="I1909">
        <v>0</v>
      </c>
      <c r="J1909" t="s">
        <v>40</v>
      </c>
      <c r="K1909">
        <v>0</v>
      </c>
      <c r="L1909">
        <v>24196.44</v>
      </c>
      <c r="M1909">
        <v>24196.44</v>
      </c>
      <c r="N1909" t="s">
        <v>101</v>
      </c>
      <c r="O1909">
        <v>2025</v>
      </c>
    </row>
    <row r="1910" spans="1:15" x14ac:dyDescent="0.3">
      <c r="A1910" t="s">
        <v>1995</v>
      </c>
      <c r="B1910" t="s">
        <v>65</v>
      </c>
      <c r="C1910" t="s">
        <v>90</v>
      </c>
      <c r="D1910" t="s">
        <v>105</v>
      </c>
      <c r="E1910" t="s">
        <v>25</v>
      </c>
      <c r="F1910" s="1">
        <v>45948</v>
      </c>
      <c r="G1910">
        <v>1</v>
      </c>
      <c r="H1910">
        <v>3820.66</v>
      </c>
      <c r="I1910">
        <v>15</v>
      </c>
      <c r="J1910" t="s">
        <v>36</v>
      </c>
      <c r="K1910">
        <v>573.1</v>
      </c>
      <c r="L1910">
        <v>3820.66</v>
      </c>
      <c r="M1910">
        <v>3247.56</v>
      </c>
      <c r="N1910" t="s">
        <v>57</v>
      </c>
      <c r="O1910">
        <v>2025</v>
      </c>
    </row>
    <row r="1911" spans="1:15" x14ac:dyDescent="0.3">
      <c r="A1911" t="s">
        <v>1996</v>
      </c>
      <c r="B1911" t="s">
        <v>61</v>
      </c>
      <c r="C1911" t="s">
        <v>62</v>
      </c>
      <c r="D1911" t="s">
        <v>99</v>
      </c>
      <c r="E1911" t="s">
        <v>44</v>
      </c>
      <c r="F1911" s="1">
        <v>45602</v>
      </c>
      <c r="G1911">
        <v>9</v>
      </c>
      <c r="H1911">
        <v>1734.68</v>
      </c>
      <c r="I1911">
        <v>10</v>
      </c>
      <c r="J1911" t="s">
        <v>45</v>
      </c>
      <c r="K1911">
        <v>1561.21</v>
      </c>
      <c r="L1911">
        <v>15612.12</v>
      </c>
      <c r="M1911">
        <v>14050.91</v>
      </c>
      <c r="N1911" t="s">
        <v>96</v>
      </c>
      <c r="O1911">
        <v>2024</v>
      </c>
    </row>
    <row r="1912" spans="1:15" x14ac:dyDescent="0.3">
      <c r="A1912" t="s">
        <v>1997</v>
      </c>
      <c r="B1912" t="s">
        <v>89</v>
      </c>
      <c r="C1912" t="s">
        <v>90</v>
      </c>
      <c r="D1912" t="s">
        <v>91</v>
      </c>
      <c r="E1912" t="s">
        <v>56</v>
      </c>
      <c r="F1912" s="1">
        <v>45772</v>
      </c>
      <c r="G1912">
        <v>6</v>
      </c>
      <c r="H1912">
        <v>1384.12</v>
      </c>
      <c r="I1912">
        <v>15</v>
      </c>
      <c r="J1912" t="s">
        <v>36</v>
      </c>
      <c r="K1912">
        <v>1245.71</v>
      </c>
      <c r="L1912">
        <v>8304.7199999999993</v>
      </c>
      <c r="M1912">
        <v>7059.01</v>
      </c>
      <c r="N1912" t="s">
        <v>27</v>
      </c>
      <c r="O1912">
        <v>2025</v>
      </c>
    </row>
    <row r="1913" spans="1:15" x14ac:dyDescent="0.3">
      <c r="A1913" t="s">
        <v>1998</v>
      </c>
      <c r="B1913" t="s">
        <v>65</v>
      </c>
      <c r="C1913" t="s">
        <v>62</v>
      </c>
      <c r="D1913" t="s">
        <v>132</v>
      </c>
      <c r="E1913" t="s">
        <v>81</v>
      </c>
      <c r="F1913" s="1">
        <v>45549</v>
      </c>
      <c r="G1913">
        <v>5</v>
      </c>
      <c r="H1913">
        <v>2833.85</v>
      </c>
      <c r="I1913">
        <v>10</v>
      </c>
      <c r="J1913" t="s">
        <v>82</v>
      </c>
      <c r="K1913">
        <v>1416.93</v>
      </c>
      <c r="L1913">
        <v>14169.25</v>
      </c>
      <c r="M1913">
        <v>12752.32</v>
      </c>
      <c r="N1913" t="s">
        <v>86</v>
      </c>
      <c r="O1913">
        <v>2024</v>
      </c>
    </row>
    <row r="1914" spans="1:15" x14ac:dyDescent="0.3">
      <c r="A1914" t="s">
        <v>1999</v>
      </c>
      <c r="B1914" t="s">
        <v>29</v>
      </c>
      <c r="C1914" t="s">
        <v>54</v>
      </c>
      <c r="D1914" t="s">
        <v>77</v>
      </c>
      <c r="E1914" t="s">
        <v>19</v>
      </c>
      <c r="F1914" s="1">
        <v>45537</v>
      </c>
      <c r="G1914">
        <v>10</v>
      </c>
      <c r="H1914">
        <v>4739.08</v>
      </c>
      <c r="I1914">
        <v>10</v>
      </c>
      <c r="J1914" t="s">
        <v>45</v>
      </c>
      <c r="K1914">
        <v>4739.08</v>
      </c>
      <c r="L1914">
        <v>47390.8</v>
      </c>
      <c r="M1914">
        <v>42651.72</v>
      </c>
      <c r="N1914" t="s">
        <v>86</v>
      </c>
      <c r="O1914">
        <v>2024</v>
      </c>
    </row>
    <row r="1915" spans="1:15" x14ac:dyDescent="0.3">
      <c r="A1915" t="s">
        <v>2000</v>
      </c>
      <c r="B1915" t="s">
        <v>65</v>
      </c>
      <c r="C1915" t="s">
        <v>34</v>
      </c>
      <c r="D1915" t="s">
        <v>48</v>
      </c>
      <c r="E1915" t="s">
        <v>30</v>
      </c>
      <c r="F1915" s="1">
        <v>45577</v>
      </c>
      <c r="G1915">
        <v>5</v>
      </c>
      <c r="H1915">
        <v>9235.07</v>
      </c>
      <c r="I1915">
        <v>5</v>
      </c>
      <c r="J1915" t="s">
        <v>31</v>
      </c>
      <c r="K1915">
        <v>2308.77</v>
      </c>
      <c r="L1915">
        <v>46175.35</v>
      </c>
      <c r="M1915">
        <v>43866.58</v>
      </c>
      <c r="N1915" t="s">
        <v>57</v>
      </c>
      <c r="O1915">
        <v>2024</v>
      </c>
    </row>
    <row r="1916" spans="1:15" x14ac:dyDescent="0.3">
      <c r="A1916" t="s">
        <v>2001</v>
      </c>
      <c r="B1916" t="s">
        <v>74</v>
      </c>
      <c r="C1916" t="s">
        <v>54</v>
      </c>
      <c r="D1916" t="s">
        <v>55</v>
      </c>
      <c r="E1916" t="s">
        <v>44</v>
      </c>
      <c r="F1916" s="1">
        <v>45486</v>
      </c>
      <c r="G1916">
        <v>6</v>
      </c>
      <c r="H1916">
        <v>1293.79</v>
      </c>
      <c r="I1916">
        <v>20</v>
      </c>
      <c r="J1916" t="s">
        <v>40</v>
      </c>
      <c r="K1916">
        <v>1552.55</v>
      </c>
      <c r="L1916">
        <v>7762.74</v>
      </c>
      <c r="M1916">
        <v>6210.19</v>
      </c>
      <c r="N1916" t="s">
        <v>122</v>
      </c>
      <c r="O1916">
        <v>2024</v>
      </c>
    </row>
    <row r="1917" spans="1:15" x14ac:dyDescent="0.3">
      <c r="A1917" t="s">
        <v>2002</v>
      </c>
      <c r="B1917" t="s">
        <v>74</v>
      </c>
      <c r="C1917" t="s">
        <v>62</v>
      </c>
      <c r="D1917" t="s">
        <v>63</v>
      </c>
      <c r="E1917" t="s">
        <v>56</v>
      </c>
      <c r="F1917" s="1">
        <v>45412</v>
      </c>
      <c r="G1917">
        <v>5</v>
      </c>
      <c r="H1917">
        <v>1907.37</v>
      </c>
      <c r="I1917">
        <v>5</v>
      </c>
      <c r="J1917" t="s">
        <v>36</v>
      </c>
      <c r="K1917">
        <v>476.84</v>
      </c>
      <c r="L1917">
        <v>9536.85</v>
      </c>
      <c r="M1917">
        <v>9060.01</v>
      </c>
      <c r="N1917" t="s">
        <v>27</v>
      </c>
      <c r="O1917">
        <v>2024</v>
      </c>
    </row>
    <row r="1918" spans="1:15" x14ac:dyDescent="0.3">
      <c r="A1918" t="s">
        <v>2003</v>
      </c>
      <c r="B1918" t="s">
        <v>53</v>
      </c>
      <c r="C1918" t="s">
        <v>54</v>
      </c>
      <c r="D1918" t="s">
        <v>137</v>
      </c>
      <c r="E1918" t="s">
        <v>30</v>
      </c>
      <c r="F1918" s="1">
        <v>45675</v>
      </c>
      <c r="G1918">
        <v>4</v>
      </c>
      <c r="H1918">
        <v>898.12</v>
      </c>
      <c r="I1918">
        <v>10</v>
      </c>
      <c r="J1918" t="s">
        <v>71</v>
      </c>
      <c r="K1918">
        <v>359.25</v>
      </c>
      <c r="L1918">
        <v>3592.48</v>
      </c>
      <c r="M1918">
        <v>3233.23</v>
      </c>
      <c r="N1918" t="s">
        <v>116</v>
      </c>
      <c r="O1918">
        <v>2025</v>
      </c>
    </row>
    <row r="1919" spans="1:15" x14ac:dyDescent="0.3">
      <c r="A1919" t="s">
        <v>2004</v>
      </c>
      <c r="B1919" t="s">
        <v>65</v>
      </c>
      <c r="C1919" t="s">
        <v>54</v>
      </c>
      <c r="D1919" t="s">
        <v>68</v>
      </c>
      <c r="E1919" t="s">
        <v>19</v>
      </c>
      <c r="F1919" s="1">
        <v>45552</v>
      </c>
      <c r="G1919">
        <v>10</v>
      </c>
      <c r="H1919">
        <v>4131.0600000000004</v>
      </c>
      <c r="I1919">
        <v>0</v>
      </c>
      <c r="J1919" t="s">
        <v>36</v>
      </c>
      <c r="K1919">
        <v>0</v>
      </c>
      <c r="L1919">
        <v>41310.6</v>
      </c>
      <c r="M1919">
        <v>41310.6</v>
      </c>
      <c r="N1919" t="s">
        <v>86</v>
      </c>
      <c r="O1919">
        <v>2024</v>
      </c>
    </row>
    <row r="1920" spans="1:15" x14ac:dyDescent="0.3">
      <c r="A1920" t="s">
        <v>2005</v>
      </c>
      <c r="B1920" t="s">
        <v>23</v>
      </c>
      <c r="C1920" t="s">
        <v>90</v>
      </c>
      <c r="D1920" t="s">
        <v>91</v>
      </c>
      <c r="E1920" t="s">
        <v>25</v>
      </c>
      <c r="F1920" s="1">
        <v>45485</v>
      </c>
      <c r="G1920">
        <v>5</v>
      </c>
      <c r="H1920">
        <v>1697.93</v>
      </c>
      <c r="I1920">
        <v>15</v>
      </c>
      <c r="J1920" t="s">
        <v>82</v>
      </c>
      <c r="K1920">
        <v>1273.45</v>
      </c>
      <c r="L1920">
        <v>8489.65</v>
      </c>
      <c r="M1920">
        <v>7216.2</v>
      </c>
      <c r="N1920" t="s">
        <v>122</v>
      </c>
      <c r="O1920">
        <v>2024</v>
      </c>
    </row>
    <row r="1921" spans="1:15" x14ac:dyDescent="0.3">
      <c r="A1921" t="s">
        <v>2006</v>
      </c>
      <c r="B1921" t="s">
        <v>38</v>
      </c>
      <c r="C1921" t="s">
        <v>54</v>
      </c>
      <c r="D1921" t="s">
        <v>77</v>
      </c>
      <c r="E1921" t="s">
        <v>19</v>
      </c>
      <c r="F1921" s="1">
        <v>45495</v>
      </c>
      <c r="G1921">
        <v>5</v>
      </c>
      <c r="H1921">
        <v>4563.74</v>
      </c>
      <c r="I1921">
        <v>15</v>
      </c>
      <c r="J1921" t="s">
        <v>31</v>
      </c>
      <c r="K1921">
        <v>3422.8</v>
      </c>
      <c r="L1921">
        <v>22818.7</v>
      </c>
      <c r="M1921">
        <v>19395.900000000001</v>
      </c>
      <c r="N1921" t="s">
        <v>122</v>
      </c>
      <c r="O1921">
        <v>2024</v>
      </c>
    </row>
    <row r="1922" spans="1:15" x14ac:dyDescent="0.3">
      <c r="A1922" t="s">
        <v>2007</v>
      </c>
      <c r="B1922" t="s">
        <v>47</v>
      </c>
      <c r="C1922" t="s">
        <v>90</v>
      </c>
      <c r="D1922" t="s">
        <v>91</v>
      </c>
      <c r="E1922" t="s">
        <v>56</v>
      </c>
      <c r="F1922" s="1">
        <v>45688</v>
      </c>
      <c r="G1922">
        <v>6</v>
      </c>
      <c r="H1922">
        <v>1394.79</v>
      </c>
      <c r="I1922">
        <v>5</v>
      </c>
      <c r="J1922" t="s">
        <v>31</v>
      </c>
      <c r="K1922">
        <v>418.44</v>
      </c>
      <c r="L1922">
        <v>8368.74</v>
      </c>
      <c r="M1922">
        <v>7950.3</v>
      </c>
      <c r="N1922" t="s">
        <v>116</v>
      </c>
      <c r="O1922">
        <v>2025</v>
      </c>
    </row>
    <row r="1923" spans="1:15" x14ac:dyDescent="0.3">
      <c r="A1923" t="s">
        <v>2008</v>
      </c>
      <c r="B1923" t="s">
        <v>74</v>
      </c>
      <c r="C1923" t="s">
        <v>17</v>
      </c>
      <c r="D1923" t="s">
        <v>39</v>
      </c>
      <c r="E1923" t="s">
        <v>44</v>
      </c>
      <c r="F1923" s="1">
        <v>45334</v>
      </c>
      <c r="G1923">
        <v>2</v>
      </c>
      <c r="H1923">
        <v>17448.099999999999</v>
      </c>
      <c r="I1923">
        <v>20</v>
      </c>
      <c r="J1923" t="s">
        <v>26</v>
      </c>
      <c r="K1923">
        <v>6979.24</v>
      </c>
      <c r="L1923">
        <v>34896.199999999997</v>
      </c>
      <c r="M1923">
        <v>27916.959999999999</v>
      </c>
      <c r="N1923" t="s">
        <v>41</v>
      </c>
      <c r="O1923">
        <v>2024</v>
      </c>
    </row>
    <row r="1924" spans="1:15" x14ac:dyDescent="0.3">
      <c r="A1924" t="s">
        <v>2009</v>
      </c>
      <c r="B1924" t="s">
        <v>53</v>
      </c>
      <c r="C1924" t="s">
        <v>54</v>
      </c>
      <c r="D1924" t="s">
        <v>137</v>
      </c>
      <c r="E1924" t="s">
        <v>44</v>
      </c>
      <c r="F1924" s="1">
        <v>45995</v>
      </c>
      <c r="G1924">
        <v>7</v>
      </c>
      <c r="H1924">
        <v>941.71</v>
      </c>
      <c r="I1924">
        <v>20</v>
      </c>
      <c r="J1924" t="s">
        <v>82</v>
      </c>
      <c r="K1924">
        <v>1318.39</v>
      </c>
      <c r="L1924">
        <v>6591.97</v>
      </c>
      <c r="M1924">
        <v>5273.58</v>
      </c>
      <c r="N1924" t="s">
        <v>51</v>
      </c>
      <c r="O1924">
        <v>2025</v>
      </c>
    </row>
    <row r="1925" spans="1:15" x14ac:dyDescent="0.3">
      <c r="A1925" t="s">
        <v>2010</v>
      </c>
      <c r="B1925" t="s">
        <v>47</v>
      </c>
      <c r="C1925" t="s">
        <v>17</v>
      </c>
      <c r="D1925" t="s">
        <v>18</v>
      </c>
      <c r="E1925" t="s">
        <v>19</v>
      </c>
      <c r="F1925" s="1">
        <v>45583</v>
      </c>
      <c r="G1925">
        <v>7</v>
      </c>
      <c r="H1925">
        <v>68652.160000000003</v>
      </c>
      <c r="I1925">
        <v>5</v>
      </c>
      <c r="J1925" t="s">
        <v>40</v>
      </c>
      <c r="K1925">
        <v>24028.26</v>
      </c>
      <c r="L1925">
        <v>480565.12</v>
      </c>
      <c r="M1925">
        <v>456536.86</v>
      </c>
      <c r="N1925" t="s">
        <v>57</v>
      </c>
      <c r="O1925">
        <v>2024</v>
      </c>
    </row>
    <row r="1926" spans="1:15" x14ac:dyDescent="0.3">
      <c r="A1926" t="s">
        <v>2011</v>
      </c>
      <c r="B1926" t="s">
        <v>93</v>
      </c>
      <c r="C1926" t="s">
        <v>54</v>
      </c>
      <c r="D1926" t="s">
        <v>77</v>
      </c>
      <c r="E1926" t="s">
        <v>44</v>
      </c>
      <c r="F1926" s="1">
        <v>45857</v>
      </c>
      <c r="G1926">
        <v>6</v>
      </c>
      <c r="H1926">
        <v>5550.96</v>
      </c>
      <c r="I1926">
        <v>5</v>
      </c>
      <c r="J1926" t="s">
        <v>40</v>
      </c>
      <c r="K1926">
        <v>1665.29</v>
      </c>
      <c r="L1926">
        <v>33305.760000000002</v>
      </c>
      <c r="M1926">
        <v>31640.47</v>
      </c>
      <c r="N1926" t="s">
        <v>122</v>
      </c>
      <c r="O1926">
        <v>2025</v>
      </c>
    </row>
    <row r="1927" spans="1:15" x14ac:dyDescent="0.3">
      <c r="A1927" t="s">
        <v>2012</v>
      </c>
      <c r="B1927" t="s">
        <v>93</v>
      </c>
      <c r="C1927" t="s">
        <v>17</v>
      </c>
      <c r="D1927" t="s">
        <v>24</v>
      </c>
      <c r="E1927" t="s">
        <v>19</v>
      </c>
      <c r="F1927" s="1">
        <v>45467</v>
      </c>
      <c r="G1927">
        <v>7</v>
      </c>
      <c r="H1927">
        <v>2852.36</v>
      </c>
      <c r="I1927">
        <v>20</v>
      </c>
      <c r="J1927" t="s">
        <v>20</v>
      </c>
      <c r="K1927">
        <v>3993.3</v>
      </c>
      <c r="L1927">
        <v>19966.52</v>
      </c>
      <c r="M1927">
        <v>15973.22</v>
      </c>
      <c r="N1927" t="s">
        <v>72</v>
      </c>
      <c r="O1927">
        <v>2024</v>
      </c>
    </row>
    <row r="1928" spans="1:15" x14ac:dyDescent="0.3">
      <c r="A1928" t="s">
        <v>2013</v>
      </c>
      <c r="B1928" t="s">
        <v>47</v>
      </c>
      <c r="C1928" t="s">
        <v>17</v>
      </c>
      <c r="D1928" t="s">
        <v>59</v>
      </c>
      <c r="E1928" t="s">
        <v>81</v>
      </c>
      <c r="F1928" s="1">
        <v>45789</v>
      </c>
      <c r="G1928">
        <v>2</v>
      </c>
      <c r="H1928">
        <v>23098.02</v>
      </c>
      <c r="I1928">
        <v>15</v>
      </c>
      <c r="J1928" t="s">
        <v>40</v>
      </c>
      <c r="K1928">
        <v>6929.41</v>
      </c>
      <c r="L1928">
        <v>46196.04</v>
      </c>
      <c r="M1928">
        <v>39266.629999999997</v>
      </c>
      <c r="N1928" t="s">
        <v>101</v>
      </c>
      <c r="O1928">
        <v>2025</v>
      </c>
    </row>
    <row r="1929" spans="1:15" x14ac:dyDescent="0.3">
      <c r="A1929" t="s">
        <v>2014</v>
      </c>
      <c r="B1929" t="s">
        <v>89</v>
      </c>
      <c r="C1929" t="s">
        <v>34</v>
      </c>
      <c r="D1929" t="s">
        <v>85</v>
      </c>
      <c r="E1929" t="s">
        <v>81</v>
      </c>
      <c r="F1929" s="1">
        <v>45469</v>
      </c>
      <c r="G1929">
        <v>4</v>
      </c>
      <c r="H1929">
        <v>11638.41</v>
      </c>
      <c r="I1929">
        <v>0</v>
      </c>
      <c r="J1929" t="s">
        <v>36</v>
      </c>
      <c r="K1929">
        <v>0</v>
      </c>
      <c r="L1929">
        <v>46553.64</v>
      </c>
      <c r="M1929">
        <v>46553.64</v>
      </c>
      <c r="N1929" t="s">
        <v>72</v>
      </c>
      <c r="O1929">
        <v>2024</v>
      </c>
    </row>
    <row r="1930" spans="1:15" x14ac:dyDescent="0.3">
      <c r="A1930" t="s">
        <v>2015</v>
      </c>
      <c r="B1930" t="s">
        <v>23</v>
      </c>
      <c r="C1930" t="s">
        <v>34</v>
      </c>
      <c r="D1930" t="s">
        <v>48</v>
      </c>
      <c r="E1930" t="s">
        <v>81</v>
      </c>
      <c r="F1930" s="1">
        <v>45748</v>
      </c>
      <c r="G1930">
        <v>4</v>
      </c>
      <c r="H1930">
        <v>7664.36</v>
      </c>
      <c r="I1930">
        <v>0</v>
      </c>
      <c r="J1930" t="s">
        <v>31</v>
      </c>
      <c r="K1930">
        <v>0</v>
      </c>
      <c r="L1930">
        <v>30657.439999999999</v>
      </c>
      <c r="M1930">
        <v>30657.439999999999</v>
      </c>
      <c r="N1930" t="s">
        <v>27</v>
      </c>
      <c r="O1930">
        <v>2025</v>
      </c>
    </row>
    <row r="1931" spans="1:15" x14ac:dyDescent="0.3">
      <c r="A1931" t="s">
        <v>2016</v>
      </c>
      <c r="B1931" t="s">
        <v>89</v>
      </c>
      <c r="C1931" t="s">
        <v>90</v>
      </c>
      <c r="D1931" t="s">
        <v>152</v>
      </c>
      <c r="E1931" t="s">
        <v>50</v>
      </c>
      <c r="F1931" s="1">
        <v>45921</v>
      </c>
      <c r="G1931">
        <v>7</v>
      </c>
      <c r="H1931">
        <v>9057.57</v>
      </c>
      <c r="I1931">
        <v>10</v>
      </c>
      <c r="J1931" t="s">
        <v>31</v>
      </c>
      <c r="K1931">
        <v>6340.3</v>
      </c>
      <c r="L1931">
        <v>63402.99</v>
      </c>
      <c r="M1931">
        <v>57062.69</v>
      </c>
      <c r="N1931" t="s">
        <v>86</v>
      </c>
      <c r="O1931">
        <v>2025</v>
      </c>
    </row>
    <row r="1932" spans="1:15" x14ac:dyDescent="0.3">
      <c r="A1932" t="s">
        <v>2017</v>
      </c>
      <c r="B1932" t="s">
        <v>23</v>
      </c>
      <c r="C1932" t="s">
        <v>34</v>
      </c>
      <c r="D1932" t="s">
        <v>35</v>
      </c>
      <c r="E1932" t="s">
        <v>44</v>
      </c>
      <c r="F1932" s="1">
        <v>45621</v>
      </c>
      <c r="G1932">
        <v>1</v>
      </c>
      <c r="H1932">
        <v>28180.85</v>
      </c>
      <c r="I1932">
        <v>20</v>
      </c>
      <c r="J1932" t="s">
        <v>45</v>
      </c>
      <c r="K1932">
        <v>5636.17</v>
      </c>
      <c r="L1932">
        <v>28180.85</v>
      </c>
      <c r="M1932">
        <v>22544.68</v>
      </c>
      <c r="N1932" t="s">
        <v>96</v>
      </c>
      <c r="O1932">
        <v>2024</v>
      </c>
    </row>
    <row r="1933" spans="1:15" x14ac:dyDescent="0.3">
      <c r="A1933" t="s">
        <v>2018</v>
      </c>
      <c r="B1933" t="s">
        <v>93</v>
      </c>
      <c r="C1933" t="s">
        <v>90</v>
      </c>
      <c r="D1933" t="s">
        <v>152</v>
      </c>
      <c r="E1933" t="s">
        <v>50</v>
      </c>
      <c r="F1933" s="1">
        <v>45439</v>
      </c>
      <c r="G1933">
        <v>2</v>
      </c>
      <c r="H1933">
        <v>10502.38</v>
      </c>
      <c r="I1933">
        <v>15</v>
      </c>
      <c r="J1933" t="s">
        <v>45</v>
      </c>
      <c r="K1933">
        <v>3150.71</v>
      </c>
      <c r="L1933">
        <v>21004.76</v>
      </c>
      <c r="M1933">
        <v>17854.05</v>
      </c>
      <c r="N1933" t="s">
        <v>101</v>
      </c>
      <c r="O1933">
        <v>2024</v>
      </c>
    </row>
    <row r="1934" spans="1:15" x14ac:dyDescent="0.3">
      <c r="A1934" t="s">
        <v>2019</v>
      </c>
      <c r="B1934" t="s">
        <v>29</v>
      </c>
      <c r="C1934" t="s">
        <v>34</v>
      </c>
      <c r="D1934" t="s">
        <v>35</v>
      </c>
      <c r="E1934" t="s">
        <v>50</v>
      </c>
      <c r="F1934" s="1">
        <v>45653</v>
      </c>
      <c r="G1934">
        <v>7</v>
      </c>
      <c r="H1934">
        <v>26634.720000000001</v>
      </c>
      <c r="I1934">
        <v>10</v>
      </c>
      <c r="J1934" t="s">
        <v>45</v>
      </c>
      <c r="K1934">
        <v>18644.3</v>
      </c>
      <c r="L1934">
        <v>186443.04</v>
      </c>
      <c r="M1934">
        <v>167798.74</v>
      </c>
      <c r="N1934" t="s">
        <v>51</v>
      </c>
      <c r="O1934">
        <v>2024</v>
      </c>
    </row>
    <row r="1935" spans="1:15" x14ac:dyDescent="0.3">
      <c r="A1935" t="s">
        <v>2020</v>
      </c>
      <c r="B1935" t="s">
        <v>93</v>
      </c>
      <c r="C1935" t="s">
        <v>34</v>
      </c>
      <c r="D1935" t="s">
        <v>35</v>
      </c>
      <c r="E1935" t="s">
        <v>56</v>
      </c>
      <c r="F1935" s="1">
        <v>45994</v>
      </c>
      <c r="G1935">
        <v>10</v>
      </c>
      <c r="H1935">
        <v>26428</v>
      </c>
      <c r="I1935">
        <v>0</v>
      </c>
      <c r="J1935" t="s">
        <v>26</v>
      </c>
      <c r="K1935">
        <v>0</v>
      </c>
      <c r="L1935">
        <v>264280</v>
      </c>
      <c r="M1935">
        <v>264280</v>
      </c>
      <c r="N1935" t="s">
        <v>51</v>
      </c>
      <c r="O1935">
        <v>2025</v>
      </c>
    </row>
    <row r="1936" spans="1:15" x14ac:dyDescent="0.3">
      <c r="A1936" t="s">
        <v>2021</v>
      </c>
      <c r="B1936" t="s">
        <v>23</v>
      </c>
      <c r="C1936" t="s">
        <v>90</v>
      </c>
      <c r="D1936" t="s">
        <v>105</v>
      </c>
      <c r="E1936" t="s">
        <v>81</v>
      </c>
      <c r="F1936" s="1">
        <v>45660</v>
      </c>
      <c r="G1936">
        <v>7</v>
      </c>
      <c r="H1936">
        <v>3167.93</v>
      </c>
      <c r="I1936">
        <v>15</v>
      </c>
      <c r="J1936" t="s">
        <v>45</v>
      </c>
      <c r="K1936">
        <v>3326.33</v>
      </c>
      <c r="L1936">
        <v>22175.51</v>
      </c>
      <c r="M1936">
        <v>18849.18</v>
      </c>
      <c r="N1936" t="s">
        <v>116</v>
      </c>
      <c r="O1936">
        <v>2025</v>
      </c>
    </row>
    <row r="1937" spans="1:15" x14ac:dyDescent="0.3">
      <c r="A1937" t="s">
        <v>2022</v>
      </c>
      <c r="B1937" t="s">
        <v>47</v>
      </c>
      <c r="C1937" t="s">
        <v>90</v>
      </c>
      <c r="D1937" t="s">
        <v>152</v>
      </c>
      <c r="E1937" t="s">
        <v>56</v>
      </c>
      <c r="F1937" s="1">
        <v>45648</v>
      </c>
      <c r="G1937">
        <v>4</v>
      </c>
      <c r="H1937">
        <v>10640.08</v>
      </c>
      <c r="I1937">
        <v>10</v>
      </c>
      <c r="J1937" t="s">
        <v>40</v>
      </c>
      <c r="K1937">
        <v>4256.03</v>
      </c>
      <c r="L1937">
        <v>42560.32</v>
      </c>
      <c r="M1937">
        <v>38304.29</v>
      </c>
      <c r="N1937" t="s">
        <v>51</v>
      </c>
      <c r="O1937">
        <v>2024</v>
      </c>
    </row>
    <row r="1938" spans="1:15" x14ac:dyDescent="0.3">
      <c r="A1938" t="s">
        <v>2023</v>
      </c>
      <c r="B1938" t="s">
        <v>53</v>
      </c>
      <c r="C1938" t="s">
        <v>90</v>
      </c>
      <c r="D1938" t="s">
        <v>107</v>
      </c>
      <c r="E1938" t="s">
        <v>50</v>
      </c>
      <c r="F1938" s="1">
        <v>45329</v>
      </c>
      <c r="G1938">
        <v>7</v>
      </c>
      <c r="H1938">
        <v>11893.72</v>
      </c>
      <c r="I1938">
        <v>5</v>
      </c>
      <c r="J1938" t="s">
        <v>20</v>
      </c>
      <c r="K1938">
        <v>4162.8</v>
      </c>
      <c r="L1938">
        <v>83256.039999999994</v>
      </c>
      <c r="M1938">
        <v>79093.240000000005</v>
      </c>
      <c r="N1938" t="s">
        <v>41</v>
      </c>
      <c r="O1938">
        <v>2024</v>
      </c>
    </row>
    <row r="1939" spans="1:15" x14ac:dyDescent="0.3">
      <c r="A1939" t="s">
        <v>2024</v>
      </c>
      <c r="B1939" t="s">
        <v>47</v>
      </c>
      <c r="C1939" t="s">
        <v>17</v>
      </c>
      <c r="D1939" t="s">
        <v>59</v>
      </c>
      <c r="E1939" t="s">
        <v>81</v>
      </c>
      <c r="F1939" s="1">
        <v>45548</v>
      </c>
      <c r="G1939">
        <v>2</v>
      </c>
      <c r="H1939">
        <v>25782.84</v>
      </c>
      <c r="I1939">
        <v>10</v>
      </c>
      <c r="J1939" t="s">
        <v>26</v>
      </c>
      <c r="K1939">
        <v>5156.57</v>
      </c>
      <c r="L1939">
        <v>51565.68</v>
      </c>
      <c r="M1939">
        <v>46409.11</v>
      </c>
      <c r="N1939" t="s">
        <v>86</v>
      </c>
      <c r="O1939">
        <v>2024</v>
      </c>
    </row>
    <row r="1940" spans="1:15" x14ac:dyDescent="0.3">
      <c r="A1940" t="s">
        <v>2025</v>
      </c>
      <c r="B1940" t="s">
        <v>43</v>
      </c>
      <c r="C1940" t="s">
        <v>90</v>
      </c>
      <c r="D1940" t="s">
        <v>107</v>
      </c>
      <c r="E1940" t="s">
        <v>50</v>
      </c>
      <c r="F1940" s="1">
        <v>45577</v>
      </c>
      <c r="G1940">
        <v>3</v>
      </c>
      <c r="H1940">
        <v>12635.99</v>
      </c>
      <c r="I1940">
        <v>10</v>
      </c>
      <c r="J1940" t="s">
        <v>31</v>
      </c>
      <c r="K1940">
        <v>3790.8</v>
      </c>
      <c r="L1940">
        <v>37907.97</v>
      </c>
      <c r="M1940">
        <v>34117.17</v>
      </c>
      <c r="N1940" t="s">
        <v>57</v>
      </c>
      <c r="O1940">
        <v>2024</v>
      </c>
    </row>
    <row r="1941" spans="1:15" x14ac:dyDescent="0.3">
      <c r="A1941" t="s">
        <v>2026</v>
      </c>
      <c r="B1941" t="s">
        <v>47</v>
      </c>
      <c r="C1941" t="s">
        <v>34</v>
      </c>
      <c r="D1941" t="s">
        <v>66</v>
      </c>
      <c r="E1941" t="s">
        <v>50</v>
      </c>
      <c r="F1941" s="1">
        <v>45927</v>
      </c>
      <c r="G1941">
        <v>1</v>
      </c>
      <c r="H1941">
        <v>41726.089999999997</v>
      </c>
      <c r="I1941">
        <v>5</v>
      </c>
      <c r="J1941" t="s">
        <v>82</v>
      </c>
      <c r="K1941">
        <v>2086.3000000000002</v>
      </c>
      <c r="L1941">
        <v>41726.089999999997</v>
      </c>
      <c r="M1941">
        <v>39639.79</v>
      </c>
      <c r="N1941" t="s">
        <v>86</v>
      </c>
      <c r="O1941">
        <v>2025</v>
      </c>
    </row>
    <row r="1942" spans="1:15" x14ac:dyDescent="0.3">
      <c r="A1942" t="s">
        <v>2027</v>
      </c>
      <c r="B1942" t="s">
        <v>89</v>
      </c>
      <c r="C1942" t="s">
        <v>62</v>
      </c>
      <c r="D1942" t="s">
        <v>132</v>
      </c>
      <c r="E1942" t="s">
        <v>56</v>
      </c>
      <c r="F1942" s="1">
        <v>45533</v>
      </c>
      <c r="G1942">
        <v>1</v>
      </c>
      <c r="H1942">
        <v>2754.83</v>
      </c>
      <c r="I1942">
        <v>5</v>
      </c>
      <c r="J1942" t="s">
        <v>36</v>
      </c>
      <c r="K1942">
        <v>137.74</v>
      </c>
      <c r="L1942">
        <v>2754.83</v>
      </c>
      <c r="M1942">
        <v>2617.09</v>
      </c>
      <c r="N1942" t="s">
        <v>21</v>
      </c>
      <c r="O1942">
        <v>2024</v>
      </c>
    </row>
    <row r="1943" spans="1:15" x14ac:dyDescent="0.3">
      <c r="A1943" t="s">
        <v>2028</v>
      </c>
      <c r="B1943" t="s">
        <v>47</v>
      </c>
      <c r="C1943" t="s">
        <v>54</v>
      </c>
      <c r="D1943" t="s">
        <v>70</v>
      </c>
      <c r="E1943" t="s">
        <v>44</v>
      </c>
      <c r="F1943" s="1">
        <v>45567</v>
      </c>
      <c r="G1943">
        <v>3</v>
      </c>
      <c r="H1943">
        <v>2842.09</v>
      </c>
      <c r="I1943">
        <v>15</v>
      </c>
      <c r="J1943" t="s">
        <v>82</v>
      </c>
      <c r="K1943">
        <v>1278.94</v>
      </c>
      <c r="L1943">
        <v>8526.27</v>
      </c>
      <c r="M1943">
        <v>7247.33</v>
      </c>
      <c r="N1943" t="s">
        <v>57</v>
      </c>
      <c r="O1943">
        <v>2024</v>
      </c>
    </row>
    <row r="1944" spans="1:15" x14ac:dyDescent="0.3">
      <c r="A1944" t="s">
        <v>2029</v>
      </c>
      <c r="B1944" t="s">
        <v>16</v>
      </c>
      <c r="C1944" t="s">
        <v>54</v>
      </c>
      <c r="D1944" t="s">
        <v>137</v>
      </c>
      <c r="E1944" t="s">
        <v>50</v>
      </c>
      <c r="F1944" s="1">
        <v>45838</v>
      </c>
      <c r="G1944">
        <v>3</v>
      </c>
      <c r="H1944">
        <v>865.27</v>
      </c>
      <c r="I1944">
        <v>0</v>
      </c>
      <c r="J1944" t="s">
        <v>36</v>
      </c>
      <c r="K1944">
        <v>0</v>
      </c>
      <c r="L1944">
        <v>2595.81</v>
      </c>
      <c r="M1944">
        <v>2595.81</v>
      </c>
      <c r="N1944" t="s">
        <v>72</v>
      </c>
      <c r="O1944">
        <v>2025</v>
      </c>
    </row>
    <row r="1945" spans="1:15" x14ac:dyDescent="0.3">
      <c r="A1945" t="s">
        <v>2030</v>
      </c>
      <c r="B1945" t="s">
        <v>74</v>
      </c>
      <c r="C1945" t="s">
        <v>62</v>
      </c>
      <c r="D1945" t="s">
        <v>63</v>
      </c>
      <c r="E1945" t="s">
        <v>19</v>
      </c>
      <c r="F1945" s="1">
        <v>45804</v>
      </c>
      <c r="G1945">
        <v>9</v>
      </c>
      <c r="H1945">
        <v>2022.68</v>
      </c>
      <c r="I1945">
        <v>15</v>
      </c>
      <c r="J1945" t="s">
        <v>26</v>
      </c>
      <c r="K1945">
        <v>2730.62</v>
      </c>
      <c r="L1945">
        <v>18204.12</v>
      </c>
      <c r="M1945">
        <v>15473.5</v>
      </c>
      <c r="N1945" t="s">
        <v>101</v>
      </c>
      <c r="O1945">
        <v>2025</v>
      </c>
    </row>
    <row r="1946" spans="1:15" x14ac:dyDescent="0.3">
      <c r="A1946" t="s">
        <v>2031</v>
      </c>
      <c r="B1946" t="s">
        <v>109</v>
      </c>
      <c r="C1946" t="s">
        <v>34</v>
      </c>
      <c r="D1946" t="s">
        <v>85</v>
      </c>
      <c r="E1946" t="s">
        <v>56</v>
      </c>
      <c r="F1946" s="1">
        <v>45427</v>
      </c>
      <c r="G1946">
        <v>4</v>
      </c>
      <c r="H1946">
        <v>13385.06</v>
      </c>
      <c r="I1946">
        <v>10</v>
      </c>
      <c r="J1946" t="s">
        <v>36</v>
      </c>
      <c r="K1946">
        <v>5354.02</v>
      </c>
      <c r="L1946">
        <v>53540.24</v>
      </c>
      <c r="M1946">
        <v>48186.22</v>
      </c>
      <c r="N1946" t="s">
        <v>101</v>
      </c>
      <c r="O1946">
        <v>2024</v>
      </c>
    </row>
    <row r="1947" spans="1:15" x14ac:dyDescent="0.3">
      <c r="A1947" t="s">
        <v>2032</v>
      </c>
      <c r="B1947" t="s">
        <v>89</v>
      </c>
      <c r="C1947" t="s">
        <v>54</v>
      </c>
      <c r="D1947" t="s">
        <v>137</v>
      </c>
      <c r="E1947" t="s">
        <v>50</v>
      </c>
      <c r="F1947" s="1">
        <v>45471</v>
      </c>
      <c r="G1947">
        <v>2</v>
      </c>
      <c r="H1947">
        <v>970.52</v>
      </c>
      <c r="I1947">
        <v>5</v>
      </c>
      <c r="J1947" t="s">
        <v>71</v>
      </c>
      <c r="K1947">
        <v>97.05</v>
      </c>
      <c r="L1947">
        <v>1941.04</v>
      </c>
      <c r="M1947">
        <v>1843.99</v>
      </c>
      <c r="N1947" t="s">
        <v>72</v>
      </c>
      <c r="O1947">
        <v>2024</v>
      </c>
    </row>
    <row r="1948" spans="1:15" x14ac:dyDescent="0.3">
      <c r="A1948" t="s">
        <v>2033</v>
      </c>
      <c r="B1948" t="s">
        <v>47</v>
      </c>
      <c r="C1948" t="s">
        <v>54</v>
      </c>
      <c r="D1948" t="s">
        <v>70</v>
      </c>
      <c r="E1948" t="s">
        <v>56</v>
      </c>
      <c r="F1948" s="1">
        <v>45292</v>
      </c>
      <c r="G1948">
        <v>5</v>
      </c>
      <c r="H1948">
        <v>2537.98</v>
      </c>
      <c r="I1948">
        <v>15</v>
      </c>
      <c r="J1948" t="s">
        <v>36</v>
      </c>
      <c r="K1948">
        <v>1903.48</v>
      </c>
      <c r="L1948">
        <v>12689.9</v>
      </c>
      <c r="M1948">
        <v>10786.42</v>
      </c>
      <c r="N1948" t="s">
        <v>116</v>
      </c>
      <c r="O1948">
        <v>2024</v>
      </c>
    </row>
    <row r="1949" spans="1:15" x14ac:dyDescent="0.3">
      <c r="A1949" t="s">
        <v>2034</v>
      </c>
      <c r="B1949" t="s">
        <v>65</v>
      </c>
      <c r="C1949" t="s">
        <v>90</v>
      </c>
      <c r="D1949" t="s">
        <v>91</v>
      </c>
      <c r="E1949" t="s">
        <v>30</v>
      </c>
      <c r="F1949" s="1">
        <v>45829</v>
      </c>
      <c r="G1949">
        <v>8</v>
      </c>
      <c r="H1949">
        <v>1710.79</v>
      </c>
      <c r="I1949">
        <v>20</v>
      </c>
      <c r="J1949" t="s">
        <v>31</v>
      </c>
      <c r="K1949">
        <v>2737.26</v>
      </c>
      <c r="L1949">
        <v>13686.32</v>
      </c>
      <c r="M1949">
        <v>10949.06</v>
      </c>
      <c r="N1949" t="s">
        <v>72</v>
      </c>
      <c r="O1949">
        <v>2025</v>
      </c>
    </row>
    <row r="1950" spans="1:15" x14ac:dyDescent="0.3">
      <c r="A1950" t="s">
        <v>2035</v>
      </c>
      <c r="B1950" t="s">
        <v>93</v>
      </c>
      <c r="C1950" t="s">
        <v>62</v>
      </c>
      <c r="D1950" t="s">
        <v>132</v>
      </c>
      <c r="E1950" t="s">
        <v>30</v>
      </c>
      <c r="F1950" s="1">
        <v>45549</v>
      </c>
      <c r="G1950">
        <v>9</v>
      </c>
      <c r="H1950">
        <v>2835.54</v>
      </c>
      <c r="I1950">
        <v>5</v>
      </c>
      <c r="J1950" t="s">
        <v>31</v>
      </c>
      <c r="K1950">
        <v>1275.99</v>
      </c>
      <c r="L1950">
        <v>25519.86</v>
      </c>
      <c r="M1950">
        <v>24243.87</v>
      </c>
      <c r="N1950" t="s">
        <v>86</v>
      </c>
      <c r="O1950">
        <v>2024</v>
      </c>
    </row>
    <row r="1951" spans="1:15" x14ac:dyDescent="0.3">
      <c r="A1951" t="s">
        <v>2036</v>
      </c>
      <c r="B1951" t="s">
        <v>53</v>
      </c>
      <c r="C1951" t="s">
        <v>54</v>
      </c>
      <c r="D1951" t="s">
        <v>68</v>
      </c>
      <c r="E1951" t="s">
        <v>44</v>
      </c>
      <c r="F1951" s="1">
        <v>45503</v>
      </c>
      <c r="G1951">
        <v>2</v>
      </c>
      <c r="H1951">
        <v>4724.7700000000004</v>
      </c>
      <c r="I1951">
        <v>10</v>
      </c>
      <c r="J1951" t="s">
        <v>26</v>
      </c>
      <c r="K1951">
        <v>944.95</v>
      </c>
      <c r="L1951">
        <v>9449.5400000000009</v>
      </c>
      <c r="M1951">
        <v>8504.59</v>
      </c>
      <c r="N1951" t="s">
        <v>122</v>
      </c>
      <c r="O1951">
        <v>2024</v>
      </c>
    </row>
    <row r="1952" spans="1:15" x14ac:dyDescent="0.3">
      <c r="A1952" t="s">
        <v>2037</v>
      </c>
      <c r="B1952" t="s">
        <v>93</v>
      </c>
      <c r="C1952" t="s">
        <v>62</v>
      </c>
      <c r="D1952" t="s">
        <v>95</v>
      </c>
      <c r="E1952" t="s">
        <v>56</v>
      </c>
      <c r="F1952" s="1">
        <v>45676</v>
      </c>
      <c r="G1952">
        <v>5</v>
      </c>
      <c r="H1952">
        <v>794.72</v>
      </c>
      <c r="I1952">
        <v>10</v>
      </c>
      <c r="J1952" t="s">
        <v>31</v>
      </c>
      <c r="K1952">
        <v>397.36</v>
      </c>
      <c r="L1952">
        <v>3973.6</v>
      </c>
      <c r="M1952">
        <v>3576.24</v>
      </c>
      <c r="N1952" t="s">
        <v>116</v>
      </c>
      <c r="O1952">
        <v>2025</v>
      </c>
    </row>
    <row r="1953" spans="1:15" x14ac:dyDescent="0.3">
      <c r="A1953" t="s">
        <v>2038</v>
      </c>
      <c r="B1953" t="s">
        <v>74</v>
      </c>
      <c r="C1953" t="s">
        <v>90</v>
      </c>
      <c r="D1953" t="s">
        <v>107</v>
      </c>
      <c r="E1953" t="s">
        <v>25</v>
      </c>
      <c r="F1953" s="1">
        <v>45737</v>
      </c>
      <c r="G1953">
        <v>3</v>
      </c>
      <c r="H1953">
        <v>12149.82</v>
      </c>
      <c r="I1953">
        <v>20</v>
      </c>
      <c r="J1953" t="s">
        <v>20</v>
      </c>
      <c r="K1953">
        <v>7289.89</v>
      </c>
      <c r="L1953">
        <v>36449.46</v>
      </c>
      <c r="M1953">
        <v>29159.57</v>
      </c>
      <c r="N1953" t="s">
        <v>83</v>
      </c>
      <c r="O1953">
        <v>2025</v>
      </c>
    </row>
    <row r="1954" spans="1:15" x14ac:dyDescent="0.3">
      <c r="A1954" t="s">
        <v>2039</v>
      </c>
      <c r="B1954" t="s">
        <v>23</v>
      </c>
      <c r="C1954" t="s">
        <v>34</v>
      </c>
      <c r="D1954" t="s">
        <v>48</v>
      </c>
      <c r="E1954" t="s">
        <v>50</v>
      </c>
      <c r="F1954" s="1">
        <v>45308</v>
      </c>
      <c r="G1954">
        <v>4</v>
      </c>
      <c r="H1954">
        <v>9007.33</v>
      </c>
      <c r="I1954">
        <v>10</v>
      </c>
      <c r="J1954" t="s">
        <v>36</v>
      </c>
      <c r="K1954">
        <v>3602.93</v>
      </c>
      <c r="L1954">
        <v>36029.32</v>
      </c>
      <c r="M1954">
        <v>32426.39</v>
      </c>
      <c r="N1954" t="s">
        <v>116</v>
      </c>
      <c r="O1954">
        <v>2024</v>
      </c>
    </row>
    <row r="1955" spans="1:15" x14ac:dyDescent="0.3">
      <c r="A1955" t="s">
        <v>2040</v>
      </c>
      <c r="B1955" t="s">
        <v>89</v>
      </c>
      <c r="C1955" t="s">
        <v>90</v>
      </c>
      <c r="D1955" t="s">
        <v>152</v>
      </c>
      <c r="E1955" t="s">
        <v>30</v>
      </c>
      <c r="F1955" s="1">
        <v>45672</v>
      </c>
      <c r="G1955">
        <v>4</v>
      </c>
      <c r="H1955">
        <v>10158.25</v>
      </c>
      <c r="I1955">
        <v>15</v>
      </c>
      <c r="J1955" t="s">
        <v>71</v>
      </c>
      <c r="K1955">
        <v>6094.95</v>
      </c>
      <c r="L1955">
        <v>40633</v>
      </c>
      <c r="M1955">
        <v>34538.050000000003</v>
      </c>
      <c r="N1955" t="s">
        <v>116</v>
      </c>
      <c r="O1955">
        <v>2025</v>
      </c>
    </row>
    <row r="1956" spans="1:15" x14ac:dyDescent="0.3">
      <c r="A1956" t="s">
        <v>2041</v>
      </c>
      <c r="B1956" t="s">
        <v>53</v>
      </c>
      <c r="C1956" t="s">
        <v>17</v>
      </c>
      <c r="D1956" t="s">
        <v>59</v>
      </c>
      <c r="E1956" t="s">
        <v>30</v>
      </c>
      <c r="F1956" s="1">
        <v>45594</v>
      </c>
      <c r="G1956">
        <v>6</v>
      </c>
      <c r="H1956">
        <v>25115.200000000001</v>
      </c>
      <c r="I1956">
        <v>15</v>
      </c>
      <c r="J1956" t="s">
        <v>82</v>
      </c>
      <c r="K1956">
        <v>22603.68</v>
      </c>
      <c r="L1956">
        <v>150691.20000000001</v>
      </c>
      <c r="M1956">
        <v>128087.52</v>
      </c>
      <c r="N1956" t="s">
        <v>57</v>
      </c>
      <c r="O1956">
        <v>2024</v>
      </c>
    </row>
    <row r="1957" spans="1:15" x14ac:dyDescent="0.3">
      <c r="A1957" t="s">
        <v>2042</v>
      </c>
      <c r="B1957" t="s">
        <v>47</v>
      </c>
      <c r="C1957" t="s">
        <v>90</v>
      </c>
      <c r="D1957" t="s">
        <v>152</v>
      </c>
      <c r="E1957" t="s">
        <v>81</v>
      </c>
      <c r="F1957" s="1">
        <v>45655</v>
      </c>
      <c r="G1957">
        <v>9</v>
      </c>
      <c r="H1957">
        <v>11416.92</v>
      </c>
      <c r="I1957">
        <v>0</v>
      </c>
      <c r="J1957" t="s">
        <v>40</v>
      </c>
      <c r="K1957">
        <v>0</v>
      </c>
      <c r="L1957">
        <v>102752.28</v>
      </c>
      <c r="M1957">
        <v>102752.28</v>
      </c>
      <c r="N1957" t="s">
        <v>51</v>
      </c>
      <c r="O1957">
        <v>2024</v>
      </c>
    </row>
    <row r="1958" spans="1:15" x14ac:dyDescent="0.3">
      <c r="A1958" t="s">
        <v>2043</v>
      </c>
      <c r="B1958" t="s">
        <v>33</v>
      </c>
      <c r="C1958" t="s">
        <v>90</v>
      </c>
      <c r="D1958" t="s">
        <v>105</v>
      </c>
      <c r="E1958" t="s">
        <v>19</v>
      </c>
      <c r="F1958" s="1">
        <v>45609</v>
      </c>
      <c r="G1958">
        <v>9</v>
      </c>
      <c r="H1958">
        <v>3624.72</v>
      </c>
      <c r="I1958">
        <v>0</v>
      </c>
      <c r="J1958" t="s">
        <v>20</v>
      </c>
      <c r="K1958">
        <v>0</v>
      </c>
      <c r="L1958">
        <v>32622.48</v>
      </c>
      <c r="M1958">
        <v>32622.48</v>
      </c>
      <c r="N1958" t="s">
        <v>96</v>
      </c>
      <c r="O1958">
        <v>2024</v>
      </c>
    </row>
    <row r="1959" spans="1:15" x14ac:dyDescent="0.3">
      <c r="A1959" t="s">
        <v>2044</v>
      </c>
      <c r="B1959" t="s">
        <v>43</v>
      </c>
      <c r="C1959" t="s">
        <v>34</v>
      </c>
      <c r="D1959" t="s">
        <v>66</v>
      </c>
      <c r="E1959" t="s">
        <v>25</v>
      </c>
      <c r="F1959" s="1">
        <v>45813</v>
      </c>
      <c r="G1959">
        <v>4</v>
      </c>
      <c r="H1959">
        <v>42306.75</v>
      </c>
      <c r="I1959">
        <v>10</v>
      </c>
      <c r="J1959" t="s">
        <v>26</v>
      </c>
      <c r="K1959">
        <v>16922.7</v>
      </c>
      <c r="L1959">
        <v>169227</v>
      </c>
      <c r="M1959">
        <v>152304.29999999999</v>
      </c>
      <c r="N1959" t="s">
        <v>72</v>
      </c>
      <c r="O1959">
        <v>2025</v>
      </c>
    </row>
    <row r="1960" spans="1:15" x14ac:dyDescent="0.3">
      <c r="A1960" t="s">
        <v>2045</v>
      </c>
      <c r="B1960" t="s">
        <v>23</v>
      </c>
      <c r="C1960" t="s">
        <v>17</v>
      </c>
      <c r="D1960" t="s">
        <v>157</v>
      </c>
      <c r="E1960" t="s">
        <v>19</v>
      </c>
      <c r="F1960" s="1">
        <v>45647</v>
      </c>
      <c r="G1960">
        <v>10</v>
      </c>
      <c r="H1960">
        <v>7558.6</v>
      </c>
      <c r="I1960">
        <v>10</v>
      </c>
      <c r="J1960" t="s">
        <v>71</v>
      </c>
      <c r="K1960">
        <v>7558.6</v>
      </c>
      <c r="L1960">
        <v>75586</v>
      </c>
      <c r="M1960">
        <v>68027.399999999994</v>
      </c>
      <c r="N1960" t="s">
        <v>51</v>
      </c>
      <c r="O1960">
        <v>2024</v>
      </c>
    </row>
    <row r="1961" spans="1:15" x14ac:dyDescent="0.3">
      <c r="A1961" t="s">
        <v>2046</v>
      </c>
      <c r="B1961" t="s">
        <v>93</v>
      </c>
      <c r="C1961" t="s">
        <v>17</v>
      </c>
      <c r="D1961" t="s">
        <v>24</v>
      </c>
      <c r="E1961" t="s">
        <v>25</v>
      </c>
      <c r="F1961" s="1">
        <v>45791</v>
      </c>
      <c r="G1961">
        <v>7</v>
      </c>
      <c r="H1961">
        <v>3272.73</v>
      </c>
      <c r="I1961">
        <v>0</v>
      </c>
      <c r="J1961" t="s">
        <v>71</v>
      </c>
      <c r="K1961">
        <v>0</v>
      </c>
      <c r="L1961">
        <v>22909.11</v>
      </c>
      <c r="M1961">
        <v>22909.11</v>
      </c>
      <c r="N1961" t="s">
        <v>101</v>
      </c>
      <c r="O1961">
        <v>2025</v>
      </c>
    </row>
    <row r="1962" spans="1:15" x14ac:dyDescent="0.3">
      <c r="A1962" t="s">
        <v>2047</v>
      </c>
      <c r="B1962" t="s">
        <v>65</v>
      </c>
      <c r="C1962" t="s">
        <v>54</v>
      </c>
      <c r="D1962" t="s">
        <v>77</v>
      </c>
      <c r="E1962" t="s">
        <v>25</v>
      </c>
      <c r="F1962" s="1">
        <v>45678</v>
      </c>
      <c r="G1962">
        <v>6</v>
      </c>
      <c r="H1962">
        <v>5325.77</v>
      </c>
      <c r="I1962">
        <v>15</v>
      </c>
      <c r="J1962" t="s">
        <v>36</v>
      </c>
      <c r="K1962">
        <v>4793.1899999999996</v>
      </c>
      <c r="L1962">
        <v>31954.62</v>
      </c>
      <c r="M1962">
        <v>27161.43</v>
      </c>
      <c r="N1962" t="s">
        <v>116</v>
      </c>
      <c r="O1962">
        <v>2025</v>
      </c>
    </row>
    <row r="1963" spans="1:15" x14ac:dyDescent="0.3">
      <c r="A1963" t="s">
        <v>2048</v>
      </c>
      <c r="B1963" t="s">
        <v>53</v>
      </c>
      <c r="C1963" t="s">
        <v>62</v>
      </c>
      <c r="D1963" t="s">
        <v>63</v>
      </c>
      <c r="E1963" t="s">
        <v>44</v>
      </c>
      <c r="F1963" s="1">
        <v>45387</v>
      </c>
      <c r="G1963">
        <v>10</v>
      </c>
      <c r="H1963">
        <v>1792.75</v>
      </c>
      <c r="I1963">
        <v>15</v>
      </c>
      <c r="J1963" t="s">
        <v>20</v>
      </c>
      <c r="K1963">
        <v>2689.12</v>
      </c>
      <c r="L1963">
        <v>17927.5</v>
      </c>
      <c r="M1963">
        <v>15238.38</v>
      </c>
      <c r="N1963" t="s">
        <v>27</v>
      </c>
      <c r="O1963">
        <v>2024</v>
      </c>
    </row>
    <row r="1964" spans="1:15" x14ac:dyDescent="0.3">
      <c r="A1964" t="s">
        <v>2049</v>
      </c>
      <c r="B1964" t="s">
        <v>109</v>
      </c>
      <c r="C1964" t="s">
        <v>34</v>
      </c>
      <c r="D1964" t="s">
        <v>80</v>
      </c>
      <c r="E1964" t="s">
        <v>19</v>
      </c>
      <c r="F1964" s="1">
        <v>45428</v>
      </c>
      <c r="G1964">
        <v>4</v>
      </c>
      <c r="H1964">
        <v>6027.56</v>
      </c>
      <c r="I1964">
        <v>5</v>
      </c>
      <c r="J1964" t="s">
        <v>26</v>
      </c>
      <c r="K1964">
        <v>1205.51</v>
      </c>
      <c r="L1964">
        <v>24110.240000000002</v>
      </c>
      <c r="M1964">
        <v>22904.73</v>
      </c>
      <c r="N1964" t="s">
        <v>101</v>
      </c>
      <c r="O1964">
        <v>2024</v>
      </c>
    </row>
    <row r="1965" spans="1:15" x14ac:dyDescent="0.3">
      <c r="A1965" t="s">
        <v>2050</v>
      </c>
      <c r="B1965" t="s">
        <v>23</v>
      </c>
      <c r="C1965" t="s">
        <v>90</v>
      </c>
      <c r="D1965" t="s">
        <v>107</v>
      </c>
      <c r="E1965" t="s">
        <v>81</v>
      </c>
      <c r="F1965" s="1">
        <v>45507</v>
      </c>
      <c r="G1965">
        <v>1</v>
      </c>
      <c r="H1965">
        <v>13773.08</v>
      </c>
      <c r="I1965">
        <v>5</v>
      </c>
      <c r="J1965" t="s">
        <v>40</v>
      </c>
      <c r="K1965">
        <v>688.65</v>
      </c>
      <c r="L1965">
        <v>13773.08</v>
      </c>
      <c r="M1965">
        <v>13084.43</v>
      </c>
      <c r="N1965" t="s">
        <v>21</v>
      </c>
      <c r="O1965">
        <v>2024</v>
      </c>
    </row>
    <row r="1966" spans="1:15" x14ac:dyDescent="0.3">
      <c r="A1966" t="s">
        <v>2051</v>
      </c>
      <c r="B1966" t="s">
        <v>16</v>
      </c>
      <c r="C1966" t="s">
        <v>17</v>
      </c>
      <c r="D1966" t="s">
        <v>39</v>
      </c>
      <c r="E1966" t="s">
        <v>56</v>
      </c>
      <c r="F1966" s="1">
        <v>45516</v>
      </c>
      <c r="G1966">
        <v>8</v>
      </c>
      <c r="H1966">
        <v>20318.099999999999</v>
      </c>
      <c r="I1966">
        <v>5</v>
      </c>
      <c r="J1966" t="s">
        <v>82</v>
      </c>
      <c r="K1966">
        <v>8127.24</v>
      </c>
      <c r="L1966">
        <v>162544.79999999999</v>
      </c>
      <c r="M1966">
        <v>154417.56</v>
      </c>
      <c r="N1966" t="s">
        <v>21</v>
      </c>
      <c r="O1966">
        <v>2024</v>
      </c>
    </row>
    <row r="1967" spans="1:15" x14ac:dyDescent="0.3">
      <c r="A1967" t="s">
        <v>2052</v>
      </c>
      <c r="B1967" t="s">
        <v>47</v>
      </c>
      <c r="C1967" t="s">
        <v>90</v>
      </c>
      <c r="D1967" t="s">
        <v>105</v>
      </c>
      <c r="E1967" t="s">
        <v>30</v>
      </c>
      <c r="F1967" s="1">
        <v>45642</v>
      </c>
      <c r="G1967">
        <v>10</v>
      </c>
      <c r="H1967">
        <v>4165.62</v>
      </c>
      <c r="I1967">
        <v>10</v>
      </c>
      <c r="J1967" t="s">
        <v>71</v>
      </c>
      <c r="K1967">
        <v>4165.62</v>
      </c>
      <c r="L1967">
        <v>41656.199999999997</v>
      </c>
      <c r="M1967">
        <v>37490.58</v>
      </c>
      <c r="N1967" t="s">
        <v>51</v>
      </c>
      <c r="O1967">
        <v>2024</v>
      </c>
    </row>
    <row r="1968" spans="1:15" x14ac:dyDescent="0.3">
      <c r="A1968" t="s">
        <v>2053</v>
      </c>
      <c r="B1968" t="s">
        <v>93</v>
      </c>
      <c r="C1968" t="s">
        <v>90</v>
      </c>
      <c r="D1968" t="s">
        <v>115</v>
      </c>
      <c r="E1968" t="s">
        <v>81</v>
      </c>
      <c r="F1968" s="1">
        <v>45938</v>
      </c>
      <c r="G1968">
        <v>6</v>
      </c>
      <c r="H1968">
        <v>9078.76</v>
      </c>
      <c r="I1968">
        <v>20</v>
      </c>
      <c r="J1968" t="s">
        <v>45</v>
      </c>
      <c r="K1968">
        <v>10894.51</v>
      </c>
      <c r="L1968">
        <v>54472.56</v>
      </c>
      <c r="M1968">
        <v>43578.05</v>
      </c>
      <c r="N1968" t="s">
        <v>57</v>
      </c>
      <c r="O1968">
        <v>2025</v>
      </c>
    </row>
    <row r="1969" spans="1:15" x14ac:dyDescent="0.3">
      <c r="A1969" t="s">
        <v>2054</v>
      </c>
      <c r="B1969" t="s">
        <v>74</v>
      </c>
      <c r="C1969" t="s">
        <v>54</v>
      </c>
      <c r="D1969" t="s">
        <v>137</v>
      </c>
      <c r="E1969" t="s">
        <v>81</v>
      </c>
      <c r="F1969" s="1">
        <v>45523</v>
      </c>
      <c r="G1969">
        <v>1</v>
      </c>
      <c r="H1969">
        <v>907.62</v>
      </c>
      <c r="I1969">
        <v>10</v>
      </c>
      <c r="J1969" t="s">
        <v>20</v>
      </c>
      <c r="K1969">
        <v>90.76</v>
      </c>
      <c r="L1969">
        <v>907.62</v>
      </c>
      <c r="M1969">
        <v>816.86</v>
      </c>
      <c r="N1969" t="s">
        <v>21</v>
      </c>
      <c r="O1969">
        <v>2024</v>
      </c>
    </row>
    <row r="1970" spans="1:15" x14ac:dyDescent="0.3">
      <c r="A1970" t="s">
        <v>2055</v>
      </c>
      <c r="B1970" t="s">
        <v>43</v>
      </c>
      <c r="C1970" t="s">
        <v>62</v>
      </c>
      <c r="D1970" t="s">
        <v>132</v>
      </c>
      <c r="E1970" t="s">
        <v>56</v>
      </c>
      <c r="F1970" s="1">
        <v>45344</v>
      </c>
      <c r="G1970">
        <v>10</v>
      </c>
      <c r="H1970">
        <v>2437.71</v>
      </c>
      <c r="I1970">
        <v>10</v>
      </c>
      <c r="J1970" t="s">
        <v>31</v>
      </c>
      <c r="K1970">
        <v>2437.71</v>
      </c>
      <c r="L1970">
        <v>24377.1</v>
      </c>
      <c r="M1970">
        <v>21939.39</v>
      </c>
      <c r="N1970" t="s">
        <v>41</v>
      </c>
      <c r="O1970">
        <v>2024</v>
      </c>
    </row>
    <row r="1971" spans="1:15" x14ac:dyDescent="0.3">
      <c r="A1971" t="s">
        <v>2056</v>
      </c>
      <c r="B1971" t="s">
        <v>65</v>
      </c>
      <c r="C1971" t="s">
        <v>17</v>
      </c>
      <c r="D1971" t="s">
        <v>59</v>
      </c>
      <c r="E1971" t="s">
        <v>50</v>
      </c>
      <c r="F1971" s="1">
        <v>45546</v>
      </c>
      <c r="G1971">
        <v>8</v>
      </c>
      <c r="H1971">
        <v>28157.34</v>
      </c>
      <c r="I1971">
        <v>0</v>
      </c>
      <c r="J1971" t="s">
        <v>20</v>
      </c>
      <c r="K1971">
        <v>0</v>
      </c>
      <c r="L1971">
        <v>225258.72</v>
      </c>
      <c r="M1971">
        <v>225258.72</v>
      </c>
      <c r="N1971" t="s">
        <v>86</v>
      </c>
      <c r="O1971">
        <v>2024</v>
      </c>
    </row>
    <row r="1972" spans="1:15" x14ac:dyDescent="0.3">
      <c r="A1972" t="s">
        <v>2057</v>
      </c>
      <c r="B1972" t="s">
        <v>33</v>
      </c>
      <c r="C1972" t="s">
        <v>54</v>
      </c>
      <c r="D1972" t="s">
        <v>77</v>
      </c>
      <c r="E1972" t="s">
        <v>56</v>
      </c>
      <c r="F1972" s="1">
        <v>45721</v>
      </c>
      <c r="G1972">
        <v>10</v>
      </c>
      <c r="H1972">
        <v>4914.0200000000004</v>
      </c>
      <c r="I1972">
        <v>0</v>
      </c>
      <c r="J1972" t="s">
        <v>31</v>
      </c>
      <c r="K1972">
        <v>0</v>
      </c>
      <c r="L1972">
        <v>49140.2</v>
      </c>
      <c r="M1972">
        <v>49140.2</v>
      </c>
      <c r="N1972" t="s">
        <v>83</v>
      </c>
      <c r="O1972">
        <v>2025</v>
      </c>
    </row>
    <row r="1973" spans="1:15" x14ac:dyDescent="0.3">
      <c r="A1973" t="s">
        <v>2058</v>
      </c>
      <c r="B1973" t="s">
        <v>93</v>
      </c>
      <c r="C1973" t="s">
        <v>34</v>
      </c>
      <c r="D1973" t="s">
        <v>85</v>
      </c>
      <c r="E1973" t="s">
        <v>56</v>
      </c>
      <c r="F1973" s="1">
        <v>45613</v>
      </c>
      <c r="G1973">
        <v>1</v>
      </c>
      <c r="H1973">
        <v>13317.56</v>
      </c>
      <c r="I1973">
        <v>15</v>
      </c>
      <c r="J1973" t="s">
        <v>82</v>
      </c>
      <c r="K1973">
        <v>1997.63</v>
      </c>
      <c r="L1973">
        <v>13317.56</v>
      </c>
      <c r="M1973">
        <v>11319.93</v>
      </c>
      <c r="N1973" t="s">
        <v>96</v>
      </c>
      <c r="O1973">
        <v>2024</v>
      </c>
    </row>
    <row r="1974" spans="1:15" x14ac:dyDescent="0.3">
      <c r="A1974" t="s">
        <v>2059</v>
      </c>
      <c r="B1974" t="s">
        <v>89</v>
      </c>
      <c r="C1974" t="s">
        <v>34</v>
      </c>
      <c r="D1974" t="s">
        <v>35</v>
      </c>
      <c r="E1974" t="s">
        <v>25</v>
      </c>
      <c r="F1974" s="1">
        <v>45671</v>
      </c>
      <c r="G1974">
        <v>2</v>
      </c>
      <c r="H1974">
        <v>24425.05</v>
      </c>
      <c r="I1974">
        <v>15</v>
      </c>
      <c r="J1974" t="s">
        <v>45</v>
      </c>
      <c r="K1974">
        <v>7327.51</v>
      </c>
      <c r="L1974">
        <v>48850.1</v>
      </c>
      <c r="M1974">
        <v>41522.589999999997</v>
      </c>
      <c r="N1974" t="s">
        <v>116</v>
      </c>
      <c r="O1974">
        <v>2025</v>
      </c>
    </row>
    <row r="1975" spans="1:15" x14ac:dyDescent="0.3">
      <c r="A1975" t="s">
        <v>2060</v>
      </c>
      <c r="B1975" t="s">
        <v>93</v>
      </c>
      <c r="C1975" t="s">
        <v>90</v>
      </c>
      <c r="D1975" t="s">
        <v>152</v>
      </c>
      <c r="E1975" t="s">
        <v>50</v>
      </c>
      <c r="F1975" s="1">
        <v>45732</v>
      </c>
      <c r="G1975">
        <v>4</v>
      </c>
      <c r="H1975">
        <v>9716.17</v>
      </c>
      <c r="I1975">
        <v>20</v>
      </c>
      <c r="J1975" t="s">
        <v>31</v>
      </c>
      <c r="K1975">
        <v>7772.94</v>
      </c>
      <c r="L1975">
        <v>38864.68</v>
      </c>
      <c r="M1975">
        <v>31091.74</v>
      </c>
      <c r="N1975" t="s">
        <v>83</v>
      </c>
      <c r="O1975">
        <v>2025</v>
      </c>
    </row>
    <row r="1976" spans="1:15" x14ac:dyDescent="0.3">
      <c r="A1976" t="s">
        <v>2061</v>
      </c>
      <c r="B1976" t="s">
        <v>53</v>
      </c>
      <c r="C1976" t="s">
        <v>34</v>
      </c>
      <c r="D1976" t="s">
        <v>48</v>
      </c>
      <c r="E1976" t="s">
        <v>81</v>
      </c>
      <c r="F1976" s="1">
        <v>45899</v>
      </c>
      <c r="G1976">
        <v>7</v>
      </c>
      <c r="H1976">
        <v>8906.4</v>
      </c>
      <c r="I1976">
        <v>0</v>
      </c>
      <c r="J1976" t="s">
        <v>45</v>
      </c>
      <c r="K1976">
        <v>0</v>
      </c>
      <c r="L1976">
        <v>62344.800000000003</v>
      </c>
      <c r="M1976">
        <v>62344.800000000003</v>
      </c>
      <c r="N1976" t="s">
        <v>21</v>
      </c>
      <c r="O1976">
        <v>2025</v>
      </c>
    </row>
    <row r="1977" spans="1:15" x14ac:dyDescent="0.3">
      <c r="A1977" t="s">
        <v>2062</v>
      </c>
      <c r="B1977" t="s">
        <v>74</v>
      </c>
      <c r="C1977" t="s">
        <v>17</v>
      </c>
      <c r="D1977" t="s">
        <v>18</v>
      </c>
      <c r="E1977" t="s">
        <v>30</v>
      </c>
      <c r="F1977" s="1">
        <v>45445</v>
      </c>
      <c r="G1977">
        <v>9</v>
      </c>
      <c r="H1977">
        <v>65463.82</v>
      </c>
      <c r="I1977">
        <v>0</v>
      </c>
      <c r="J1977" t="s">
        <v>26</v>
      </c>
      <c r="K1977">
        <v>0</v>
      </c>
      <c r="L1977">
        <v>589174.38</v>
      </c>
      <c r="M1977">
        <v>589174.38</v>
      </c>
      <c r="N1977" t="s">
        <v>72</v>
      </c>
      <c r="O1977">
        <v>2024</v>
      </c>
    </row>
    <row r="1978" spans="1:15" x14ac:dyDescent="0.3">
      <c r="A1978" t="s">
        <v>2063</v>
      </c>
      <c r="B1978" t="s">
        <v>109</v>
      </c>
      <c r="C1978" t="s">
        <v>34</v>
      </c>
      <c r="D1978" t="s">
        <v>80</v>
      </c>
      <c r="E1978" t="s">
        <v>56</v>
      </c>
      <c r="F1978" s="1">
        <v>45325</v>
      </c>
      <c r="G1978">
        <v>3</v>
      </c>
      <c r="H1978">
        <v>5837.13</v>
      </c>
      <c r="I1978">
        <v>10</v>
      </c>
      <c r="J1978" t="s">
        <v>36</v>
      </c>
      <c r="K1978">
        <v>1751.14</v>
      </c>
      <c r="L1978">
        <v>17511.39</v>
      </c>
      <c r="M1978">
        <v>15760.25</v>
      </c>
      <c r="N1978" t="s">
        <v>41</v>
      </c>
      <c r="O1978">
        <v>2024</v>
      </c>
    </row>
    <row r="1979" spans="1:15" x14ac:dyDescent="0.3">
      <c r="A1979" t="s">
        <v>2064</v>
      </c>
      <c r="B1979" t="s">
        <v>47</v>
      </c>
      <c r="C1979" t="s">
        <v>62</v>
      </c>
      <c r="D1979" t="s">
        <v>132</v>
      </c>
      <c r="E1979" t="s">
        <v>25</v>
      </c>
      <c r="F1979" s="1">
        <v>45609</v>
      </c>
      <c r="G1979">
        <v>6</v>
      </c>
      <c r="H1979">
        <v>2543.73</v>
      </c>
      <c r="I1979">
        <v>20</v>
      </c>
      <c r="J1979" t="s">
        <v>36</v>
      </c>
      <c r="K1979">
        <v>3052.48</v>
      </c>
      <c r="L1979">
        <v>15262.38</v>
      </c>
      <c r="M1979">
        <v>12209.9</v>
      </c>
      <c r="N1979" t="s">
        <v>96</v>
      </c>
      <c r="O1979">
        <v>2024</v>
      </c>
    </row>
    <row r="1980" spans="1:15" x14ac:dyDescent="0.3">
      <c r="A1980" t="s">
        <v>2065</v>
      </c>
      <c r="B1980" t="s">
        <v>93</v>
      </c>
      <c r="C1980" t="s">
        <v>17</v>
      </c>
      <c r="D1980" t="s">
        <v>18</v>
      </c>
      <c r="E1980" t="s">
        <v>25</v>
      </c>
      <c r="F1980" s="1">
        <v>45466</v>
      </c>
      <c r="G1980">
        <v>7</v>
      </c>
      <c r="H1980">
        <v>71893.100000000006</v>
      </c>
      <c r="I1980">
        <v>15</v>
      </c>
      <c r="J1980" t="s">
        <v>20</v>
      </c>
      <c r="K1980">
        <v>75487.759999999995</v>
      </c>
      <c r="L1980">
        <v>503251.7</v>
      </c>
      <c r="M1980">
        <v>427763.94</v>
      </c>
      <c r="N1980" t="s">
        <v>72</v>
      </c>
      <c r="O1980">
        <v>2024</v>
      </c>
    </row>
    <row r="1981" spans="1:15" x14ac:dyDescent="0.3">
      <c r="A1981" t="s">
        <v>2066</v>
      </c>
      <c r="B1981" t="s">
        <v>93</v>
      </c>
      <c r="C1981" t="s">
        <v>17</v>
      </c>
      <c r="D1981" t="s">
        <v>39</v>
      </c>
      <c r="E1981" t="s">
        <v>19</v>
      </c>
      <c r="F1981" s="1">
        <v>45919</v>
      </c>
      <c r="G1981">
        <v>5</v>
      </c>
      <c r="H1981">
        <v>16823.77</v>
      </c>
      <c r="I1981">
        <v>15</v>
      </c>
      <c r="J1981" t="s">
        <v>82</v>
      </c>
      <c r="K1981">
        <v>12617.83</v>
      </c>
      <c r="L1981">
        <v>84118.85</v>
      </c>
      <c r="M1981">
        <v>71501.02</v>
      </c>
      <c r="N1981" t="s">
        <v>86</v>
      </c>
      <c r="O1981">
        <v>2025</v>
      </c>
    </row>
    <row r="1982" spans="1:15" x14ac:dyDescent="0.3">
      <c r="A1982" t="s">
        <v>2067</v>
      </c>
      <c r="B1982" t="s">
        <v>53</v>
      </c>
      <c r="C1982" t="s">
        <v>54</v>
      </c>
      <c r="D1982" t="s">
        <v>137</v>
      </c>
      <c r="E1982" t="s">
        <v>30</v>
      </c>
      <c r="F1982" s="1">
        <v>45800</v>
      </c>
      <c r="G1982">
        <v>10</v>
      </c>
      <c r="H1982">
        <v>860.35</v>
      </c>
      <c r="I1982">
        <v>10</v>
      </c>
      <c r="J1982" t="s">
        <v>82</v>
      </c>
      <c r="K1982">
        <v>860.35</v>
      </c>
      <c r="L1982">
        <v>8603.5</v>
      </c>
      <c r="M1982">
        <v>7743.15</v>
      </c>
      <c r="N1982" t="s">
        <v>101</v>
      </c>
      <c r="O1982">
        <v>2025</v>
      </c>
    </row>
    <row r="1983" spans="1:15" x14ac:dyDescent="0.3">
      <c r="A1983" t="s">
        <v>2068</v>
      </c>
      <c r="B1983" t="s">
        <v>38</v>
      </c>
      <c r="C1983" t="s">
        <v>17</v>
      </c>
      <c r="D1983" t="s">
        <v>157</v>
      </c>
      <c r="E1983" t="s">
        <v>19</v>
      </c>
      <c r="F1983" s="1">
        <v>46003</v>
      </c>
      <c r="G1983">
        <v>8</v>
      </c>
      <c r="H1983">
        <v>8489.77</v>
      </c>
      <c r="I1983">
        <v>10</v>
      </c>
      <c r="J1983" t="s">
        <v>36</v>
      </c>
      <c r="K1983">
        <v>6791.82</v>
      </c>
      <c r="L1983">
        <v>67918.16</v>
      </c>
      <c r="M1983">
        <v>61126.34</v>
      </c>
      <c r="N1983" t="s">
        <v>51</v>
      </c>
      <c r="O1983">
        <v>2025</v>
      </c>
    </row>
    <row r="1984" spans="1:15" x14ac:dyDescent="0.3">
      <c r="A1984" t="s">
        <v>2069</v>
      </c>
      <c r="B1984" t="s">
        <v>43</v>
      </c>
      <c r="C1984" t="s">
        <v>54</v>
      </c>
      <c r="D1984" t="s">
        <v>137</v>
      </c>
      <c r="E1984" t="s">
        <v>30</v>
      </c>
      <c r="F1984" s="1">
        <v>45720</v>
      </c>
      <c r="G1984">
        <v>4</v>
      </c>
      <c r="H1984">
        <v>988.71</v>
      </c>
      <c r="I1984">
        <v>10</v>
      </c>
      <c r="J1984" t="s">
        <v>31</v>
      </c>
      <c r="K1984">
        <v>395.48</v>
      </c>
      <c r="L1984">
        <v>3954.84</v>
      </c>
      <c r="M1984">
        <v>3559.36</v>
      </c>
      <c r="N1984" t="s">
        <v>83</v>
      </c>
      <c r="O1984">
        <v>2025</v>
      </c>
    </row>
    <row r="1985" spans="1:15" x14ac:dyDescent="0.3">
      <c r="A1985" t="s">
        <v>2070</v>
      </c>
      <c r="B1985" t="s">
        <v>29</v>
      </c>
      <c r="C1985" t="s">
        <v>62</v>
      </c>
      <c r="D1985" t="s">
        <v>63</v>
      </c>
      <c r="E1985" t="s">
        <v>56</v>
      </c>
      <c r="F1985" s="1">
        <v>46012</v>
      </c>
      <c r="G1985">
        <v>3</v>
      </c>
      <c r="H1985">
        <v>1800.21</v>
      </c>
      <c r="I1985">
        <v>0</v>
      </c>
      <c r="J1985" t="s">
        <v>36</v>
      </c>
      <c r="K1985">
        <v>0</v>
      </c>
      <c r="L1985">
        <v>5400.63</v>
      </c>
      <c r="M1985">
        <v>5400.63</v>
      </c>
      <c r="N1985" t="s">
        <v>51</v>
      </c>
      <c r="O1985">
        <v>2025</v>
      </c>
    </row>
    <row r="1986" spans="1:15" x14ac:dyDescent="0.3">
      <c r="A1986" t="s">
        <v>2071</v>
      </c>
      <c r="B1986" t="s">
        <v>53</v>
      </c>
      <c r="C1986" t="s">
        <v>54</v>
      </c>
      <c r="D1986" t="s">
        <v>70</v>
      </c>
      <c r="E1986" t="s">
        <v>25</v>
      </c>
      <c r="F1986" s="1">
        <v>45421</v>
      </c>
      <c r="G1986">
        <v>3</v>
      </c>
      <c r="H1986">
        <v>2701.73</v>
      </c>
      <c r="I1986">
        <v>10</v>
      </c>
      <c r="J1986" t="s">
        <v>71</v>
      </c>
      <c r="K1986">
        <v>810.52</v>
      </c>
      <c r="L1986">
        <v>8105.19</v>
      </c>
      <c r="M1986">
        <v>7294.67</v>
      </c>
      <c r="N1986" t="s">
        <v>101</v>
      </c>
      <c r="O1986">
        <v>2024</v>
      </c>
    </row>
    <row r="1987" spans="1:15" x14ac:dyDescent="0.3">
      <c r="A1987" t="s">
        <v>2072</v>
      </c>
      <c r="B1987" t="s">
        <v>93</v>
      </c>
      <c r="C1987" t="s">
        <v>62</v>
      </c>
      <c r="D1987" t="s">
        <v>119</v>
      </c>
      <c r="E1987" t="s">
        <v>50</v>
      </c>
      <c r="F1987" s="1">
        <v>45737</v>
      </c>
      <c r="G1987">
        <v>7</v>
      </c>
      <c r="H1987">
        <v>3257.29</v>
      </c>
      <c r="I1987">
        <v>20</v>
      </c>
      <c r="J1987" t="s">
        <v>71</v>
      </c>
      <c r="K1987">
        <v>4560.21</v>
      </c>
      <c r="L1987">
        <v>22801.03</v>
      </c>
      <c r="M1987">
        <v>18240.82</v>
      </c>
      <c r="N1987" t="s">
        <v>83</v>
      </c>
      <c r="O1987">
        <v>2025</v>
      </c>
    </row>
    <row r="1988" spans="1:15" x14ac:dyDescent="0.3">
      <c r="A1988" t="s">
        <v>2073</v>
      </c>
      <c r="B1988" t="s">
        <v>114</v>
      </c>
      <c r="C1988" t="s">
        <v>54</v>
      </c>
      <c r="D1988" t="s">
        <v>137</v>
      </c>
      <c r="E1988" t="s">
        <v>30</v>
      </c>
      <c r="F1988" s="1">
        <v>45776</v>
      </c>
      <c r="G1988">
        <v>1</v>
      </c>
      <c r="H1988">
        <v>891.95</v>
      </c>
      <c r="I1988">
        <v>15</v>
      </c>
      <c r="J1988" t="s">
        <v>20</v>
      </c>
      <c r="K1988">
        <v>133.79</v>
      </c>
      <c r="L1988">
        <v>891.95</v>
      </c>
      <c r="M1988">
        <v>758.16</v>
      </c>
      <c r="N1988" t="s">
        <v>27</v>
      </c>
      <c r="O1988">
        <v>2025</v>
      </c>
    </row>
    <row r="1989" spans="1:15" x14ac:dyDescent="0.3">
      <c r="A1989" t="s">
        <v>2074</v>
      </c>
      <c r="B1989" t="s">
        <v>47</v>
      </c>
      <c r="C1989" t="s">
        <v>34</v>
      </c>
      <c r="D1989" t="s">
        <v>48</v>
      </c>
      <c r="E1989" t="s">
        <v>25</v>
      </c>
      <c r="F1989" s="1">
        <v>45550</v>
      </c>
      <c r="G1989">
        <v>7</v>
      </c>
      <c r="H1989">
        <v>7573.12</v>
      </c>
      <c r="I1989">
        <v>15</v>
      </c>
      <c r="J1989" t="s">
        <v>26</v>
      </c>
      <c r="K1989">
        <v>7951.78</v>
      </c>
      <c r="L1989">
        <v>53011.839999999997</v>
      </c>
      <c r="M1989">
        <v>45060.06</v>
      </c>
      <c r="N1989" t="s">
        <v>86</v>
      </c>
      <c r="O1989">
        <v>2024</v>
      </c>
    </row>
    <row r="1990" spans="1:15" x14ac:dyDescent="0.3">
      <c r="A1990" t="s">
        <v>2075</v>
      </c>
      <c r="B1990" t="s">
        <v>74</v>
      </c>
      <c r="C1990" t="s">
        <v>90</v>
      </c>
      <c r="D1990" t="s">
        <v>152</v>
      </c>
      <c r="E1990" t="s">
        <v>30</v>
      </c>
      <c r="F1990" s="1">
        <v>45752</v>
      </c>
      <c r="G1990">
        <v>3</v>
      </c>
      <c r="H1990">
        <v>11039.45</v>
      </c>
      <c r="I1990">
        <v>15</v>
      </c>
      <c r="J1990" t="s">
        <v>45</v>
      </c>
      <c r="K1990">
        <v>4967.75</v>
      </c>
      <c r="L1990">
        <v>33118.35</v>
      </c>
      <c r="M1990">
        <v>28150.6</v>
      </c>
      <c r="N1990" t="s">
        <v>27</v>
      </c>
      <c r="O1990">
        <v>2025</v>
      </c>
    </row>
    <row r="1991" spans="1:15" x14ac:dyDescent="0.3">
      <c r="A1991" t="s">
        <v>2076</v>
      </c>
      <c r="B1991" t="s">
        <v>38</v>
      </c>
      <c r="C1991" t="s">
        <v>62</v>
      </c>
      <c r="D1991" t="s">
        <v>132</v>
      </c>
      <c r="E1991" t="s">
        <v>30</v>
      </c>
      <c r="F1991" s="1">
        <v>45299</v>
      </c>
      <c r="G1991">
        <v>3</v>
      </c>
      <c r="H1991">
        <v>2846.43</v>
      </c>
      <c r="I1991">
        <v>15</v>
      </c>
      <c r="J1991" t="s">
        <v>36</v>
      </c>
      <c r="K1991">
        <v>1280.8900000000001</v>
      </c>
      <c r="L1991">
        <v>8539.2900000000009</v>
      </c>
      <c r="M1991">
        <v>7258.4</v>
      </c>
      <c r="N1991" t="s">
        <v>116</v>
      </c>
      <c r="O1991">
        <v>2024</v>
      </c>
    </row>
    <row r="1992" spans="1:15" x14ac:dyDescent="0.3">
      <c r="A1992" t="s">
        <v>2077</v>
      </c>
      <c r="B1992" t="s">
        <v>114</v>
      </c>
      <c r="C1992" t="s">
        <v>17</v>
      </c>
      <c r="D1992" t="s">
        <v>157</v>
      </c>
      <c r="E1992" t="s">
        <v>19</v>
      </c>
      <c r="F1992" s="1">
        <v>45335</v>
      </c>
      <c r="G1992">
        <v>3</v>
      </c>
      <c r="H1992">
        <v>6720.04</v>
      </c>
      <c r="I1992">
        <v>20</v>
      </c>
      <c r="J1992" t="s">
        <v>36</v>
      </c>
      <c r="K1992">
        <v>4032.02</v>
      </c>
      <c r="L1992">
        <v>20160.12</v>
      </c>
      <c r="M1992">
        <v>16128.1</v>
      </c>
      <c r="N1992" t="s">
        <v>41</v>
      </c>
      <c r="O1992">
        <v>2024</v>
      </c>
    </row>
    <row r="1993" spans="1:15" x14ac:dyDescent="0.3">
      <c r="A1993" t="s">
        <v>2078</v>
      </c>
      <c r="B1993" t="s">
        <v>114</v>
      </c>
      <c r="C1993" t="s">
        <v>90</v>
      </c>
      <c r="D1993" t="s">
        <v>115</v>
      </c>
      <c r="E1993" t="s">
        <v>50</v>
      </c>
      <c r="F1993" s="1">
        <v>45719</v>
      </c>
      <c r="G1993">
        <v>1</v>
      </c>
      <c r="H1993">
        <v>8741.7199999999993</v>
      </c>
      <c r="I1993">
        <v>10</v>
      </c>
      <c r="J1993" t="s">
        <v>36</v>
      </c>
      <c r="K1993">
        <v>874.17</v>
      </c>
      <c r="L1993">
        <v>8741.7199999999993</v>
      </c>
      <c r="M1993">
        <v>7867.55</v>
      </c>
      <c r="N1993" t="s">
        <v>83</v>
      </c>
      <c r="O1993">
        <v>2025</v>
      </c>
    </row>
    <row r="1994" spans="1:15" x14ac:dyDescent="0.3">
      <c r="A1994" t="s">
        <v>2079</v>
      </c>
      <c r="B1994" t="s">
        <v>33</v>
      </c>
      <c r="C1994" t="s">
        <v>62</v>
      </c>
      <c r="D1994" t="s">
        <v>132</v>
      </c>
      <c r="E1994" t="s">
        <v>19</v>
      </c>
      <c r="F1994" s="1">
        <v>45399</v>
      </c>
      <c r="G1994">
        <v>8</v>
      </c>
      <c r="H1994">
        <v>2732.23</v>
      </c>
      <c r="I1994">
        <v>20</v>
      </c>
      <c r="J1994" t="s">
        <v>26</v>
      </c>
      <c r="K1994">
        <v>4371.57</v>
      </c>
      <c r="L1994">
        <v>21857.84</v>
      </c>
      <c r="M1994">
        <v>17486.27</v>
      </c>
      <c r="N1994" t="s">
        <v>27</v>
      </c>
      <c r="O1994">
        <v>2024</v>
      </c>
    </row>
    <row r="1995" spans="1:15" x14ac:dyDescent="0.3">
      <c r="A1995" t="s">
        <v>2080</v>
      </c>
      <c r="B1995" t="s">
        <v>53</v>
      </c>
      <c r="C1995" t="s">
        <v>34</v>
      </c>
      <c r="D1995" t="s">
        <v>85</v>
      </c>
      <c r="E1995" t="s">
        <v>19</v>
      </c>
      <c r="F1995" s="1">
        <v>45835</v>
      </c>
      <c r="G1995">
        <v>7</v>
      </c>
      <c r="H1995">
        <v>13468.76</v>
      </c>
      <c r="I1995">
        <v>20</v>
      </c>
      <c r="J1995" t="s">
        <v>40</v>
      </c>
      <c r="K1995">
        <v>18856.259999999998</v>
      </c>
      <c r="L1995">
        <v>94281.32</v>
      </c>
      <c r="M1995">
        <v>75425.06</v>
      </c>
      <c r="N1995" t="s">
        <v>72</v>
      </c>
      <c r="O1995">
        <v>2025</v>
      </c>
    </row>
    <row r="1996" spans="1:15" x14ac:dyDescent="0.3">
      <c r="A1996" t="s">
        <v>2081</v>
      </c>
      <c r="B1996" t="s">
        <v>29</v>
      </c>
      <c r="C1996" t="s">
        <v>54</v>
      </c>
      <c r="D1996" t="s">
        <v>77</v>
      </c>
      <c r="E1996" t="s">
        <v>56</v>
      </c>
      <c r="F1996" s="1">
        <v>45757</v>
      </c>
      <c r="G1996">
        <v>10</v>
      </c>
      <c r="H1996">
        <v>5183.8999999999996</v>
      </c>
      <c r="I1996">
        <v>20</v>
      </c>
      <c r="J1996" t="s">
        <v>26</v>
      </c>
      <c r="K1996">
        <v>10367.799999999999</v>
      </c>
      <c r="L1996">
        <v>51839</v>
      </c>
      <c r="M1996">
        <v>41471.199999999997</v>
      </c>
      <c r="N1996" t="s">
        <v>27</v>
      </c>
      <c r="O1996">
        <v>2025</v>
      </c>
    </row>
    <row r="1997" spans="1:15" x14ac:dyDescent="0.3">
      <c r="A1997" t="s">
        <v>2082</v>
      </c>
      <c r="B1997" t="s">
        <v>43</v>
      </c>
      <c r="C1997" t="s">
        <v>90</v>
      </c>
      <c r="D1997" t="s">
        <v>105</v>
      </c>
      <c r="E1997" t="s">
        <v>19</v>
      </c>
      <c r="F1997" s="1">
        <v>45709</v>
      </c>
      <c r="G1997">
        <v>10</v>
      </c>
      <c r="H1997">
        <v>3698.66</v>
      </c>
      <c r="I1997">
        <v>0</v>
      </c>
      <c r="J1997" t="s">
        <v>26</v>
      </c>
      <c r="K1997">
        <v>0</v>
      </c>
      <c r="L1997">
        <v>36986.6</v>
      </c>
      <c r="M1997">
        <v>36986.6</v>
      </c>
      <c r="N1997" t="s">
        <v>41</v>
      </c>
      <c r="O1997">
        <v>2025</v>
      </c>
    </row>
    <row r="1998" spans="1:15" x14ac:dyDescent="0.3">
      <c r="A1998" t="s">
        <v>2083</v>
      </c>
      <c r="B1998" t="s">
        <v>114</v>
      </c>
      <c r="C1998" t="s">
        <v>90</v>
      </c>
      <c r="D1998" t="s">
        <v>152</v>
      </c>
      <c r="E1998" t="s">
        <v>56</v>
      </c>
      <c r="F1998" s="1">
        <v>45614</v>
      </c>
      <c r="G1998">
        <v>10</v>
      </c>
      <c r="H1998">
        <v>10512.97</v>
      </c>
      <c r="I1998">
        <v>10</v>
      </c>
      <c r="J1998" t="s">
        <v>20</v>
      </c>
      <c r="K1998">
        <v>10512.97</v>
      </c>
      <c r="L1998">
        <v>105129.7</v>
      </c>
      <c r="M1998">
        <v>94616.73</v>
      </c>
      <c r="N1998" t="s">
        <v>96</v>
      </c>
      <c r="O1998">
        <v>2024</v>
      </c>
    </row>
    <row r="1999" spans="1:15" x14ac:dyDescent="0.3">
      <c r="A1999" t="s">
        <v>2084</v>
      </c>
      <c r="B1999" t="s">
        <v>38</v>
      </c>
      <c r="C1999" t="s">
        <v>62</v>
      </c>
      <c r="D1999" t="s">
        <v>95</v>
      </c>
      <c r="E1999" t="s">
        <v>50</v>
      </c>
      <c r="F1999" s="1">
        <v>45696</v>
      </c>
      <c r="G1999">
        <v>5</v>
      </c>
      <c r="H1999">
        <v>720.86</v>
      </c>
      <c r="I1999">
        <v>5</v>
      </c>
      <c r="J1999" t="s">
        <v>40</v>
      </c>
      <c r="K1999">
        <v>180.22</v>
      </c>
      <c r="L1999">
        <v>3604.3</v>
      </c>
      <c r="M1999">
        <v>3424.08</v>
      </c>
      <c r="N1999" t="s">
        <v>41</v>
      </c>
      <c r="O1999">
        <v>2025</v>
      </c>
    </row>
    <row r="2000" spans="1:15" x14ac:dyDescent="0.3">
      <c r="A2000" t="s">
        <v>2085</v>
      </c>
      <c r="B2000" t="s">
        <v>38</v>
      </c>
      <c r="C2000" t="s">
        <v>17</v>
      </c>
      <c r="D2000" t="s">
        <v>59</v>
      </c>
      <c r="E2000" t="s">
        <v>56</v>
      </c>
      <c r="F2000" s="1">
        <v>45698</v>
      </c>
      <c r="G2000">
        <v>1</v>
      </c>
      <c r="H2000">
        <v>25187.57</v>
      </c>
      <c r="I2000">
        <v>0</v>
      </c>
      <c r="J2000" t="s">
        <v>20</v>
      </c>
      <c r="K2000">
        <v>0</v>
      </c>
      <c r="L2000">
        <v>25187.57</v>
      </c>
      <c r="M2000">
        <v>25187.57</v>
      </c>
      <c r="N2000" t="s">
        <v>41</v>
      </c>
      <c r="O2000">
        <v>2025</v>
      </c>
    </row>
    <row r="2001" spans="1:15" x14ac:dyDescent="0.3">
      <c r="A2001" t="s">
        <v>2086</v>
      </c>
      <c r="B2001" t="s">
        <v>38</v>
      </c>
      <c r="C2001" t="s">
        <v>62</v>
      </c>
      <c r="D2001" t="s">
        <v>132</v>
      </c>
      <c r="E2001" t="s">
        <v>81</v>
      </c>
      <c r="F2001" s="1">
        <v>45308</v>
      </c>
      <c r="G2001">
        <v>9</v>
      </c>
      <c r="H2001">
        <v>2792.84</v>
      </c>
      <c r="I2001">
        <v>10</v>
      </c>
      <c r="J2001" t="s">
        <v>31</v>
      </c>
      <c r="K2001">
        <v>2513.56</v>
      </c>
      <c r="L2001">
        <v>25135.56</v>
      </c>
      <c r="M2001">
        <v>22622</v>
      </c>
      <c r="N2001" t="s">
        <v>116</v>
      </c>
      <c r="O2001">
        <v>2024</v>
      </c>
    </row>
    <row r="2002" spans="1:15" x14ac:dyDescent="0.3">
      <c r="A2002" t="s">
        <v>2087</v>
      </c>
      <c r="B2002" t="s">
        <v>89</v>
      </c>
      <c r="C2002" t="s">
        <v>54</v>
      </c>
      <c r="D2002" t="s">
        <v>70</v>
      </c>
      <c r="E2002" t="s">
        <v>81</v>
      </c>
      <c r="F2002" s="1">
        <v>45838</v>
      </c>
      <c r="G2002">
        <v>9</v>
      </c>
      <c r="H2002">
        <v>2429.7199999999998</v>
      </c>
      <c r="I2002">
        <v>0</v>
      </c>
      <c r="J2002" t="s">
        <v>20</v>
      </c>
      <c r="K2002">
        <v>0</v>
      </c>
      <c r="L2002">
        <v>21867.48</v>
      </c>
      <c r="M2002">
        <v>21867.48</v>
      </c>
      <c r="N2002" t="s">
        <v>72</v>
      </c>
      <c r="O2002">
        <v>2025</v>
      </c>
    </row>
    <row r="2003" spans="1:15" x14ac:dyDescent="0.3">
      <c r="A2003" t="s">
        <v>2088</v>
      </c>
      <c r="B2003" t="s">
        <v>65</v>
      </c>
      <c r="C2003" t="s">
        <v>34</v>
      </c>
      <c r="D2003" t="s">
        <v>35</v>
      </c>
      <c r="E2003" t="s">
        <v>30</v>
      </c>
      <c r="F2003" s="1">
        <v>45473</v>
      </c>
      <c r="G2003">
        <v>9</v>
      </c>
      <c r="H2003">
        <v>26600.639999999999</v>
      </c>
      <c r="I2003">
        <v>0</v>
      </c>
      <c r="J2003" t="s">
        <v>45</v>
      </c>
      <c r="K2003">
        <v>0</v>
      </c>
      <c r="L2003">
        <v>239405.76</v>
      </c>
      <c r="M2003">
        <v>239405.76</v>
      </c>
      <c r="N2003" t="s">
        <v>72</v>
      </c>
      <c r="O2003">
        <v>2024</v>
      </c>
    </row>
    <row r="2004" spans="1:15" x14ac:dyDescent="0.3">
      <c r="A2004" t="s">
        <v>2089</v>
      </c>
      <c r="B2004" t="s">
        <v>33</v>
      </c>
      <c r="C2004" t="s">
        <v>90</v>
      </c>
      <c r="D2004" t="s">
        <v>105</v>
      </c>
      <c r="E2004" t="s">
        <v>30</v>
      </c>
      <c r="F2004" s="1">
        <v>45783</v>
      </c>
      <c r="G2004">
        <v>1</v>
      </c>
      <c r="H2004">
        <v>3237.03</v>
      </c>
      <c r="I2004">
        <v>10</v>
      </c>
      <c r="J2004" t="s">
        <v>20</v>
      </c>
      <c r="K2004">
        <v>323.7</v>
      </c>
      <c r="L2004">
        <v>3237.03</v>
      </c>
      <c r="M2004">
        <v>2913.33</v>
      </c>
      <c r="N2004" t="s">
        <v>101</v>
      </c>
      <c r="O2004">
        <v>2025</v>
      </c>
    </row>
    <row r="2005" spans="1:15" x14ac:dyDescent="0.3">
      <c r="A2005" t="s">
        <v>2090</v>
      </c>
      <c r="B2005" t="s">
        <v>61</v>
      </c>
      <c r="C2005" t="s">
        <v>34</v>
      </c>
      <c r="D2005" t="s">
        <v>48</v>
      </c>
      <c r="E2005" t="s">
        <v>19</v>
      </c>
      <c r="F2005" s="1">
        <v>45457</v>
      </c>
      <c r="G2005">
        <v>7</v>
      </c>
      <c r="H2005">
        <v>7608.19</v>
      </c>
      <c r="I2005">
        <v>5</v>
      </c>
      <c r="J2005" t="s">
        <v>31</v>
      </c>
      <c r="K2005">
        <v>2662.87</v>
      </c>
      <c r="L2005">
        <v>53257.33</v>
      </c>
      <c r="M2005">
        <v>50594.46</v>
      </c>
      <c r="N2005" t="s">
        <v>72</v>
      </c>
      <c r="O2005">
        <v>2024</v>
      </c>
    </row>
    <row r="2006" spans="1:15" x14ac:dyDescent="0.3">
      <c r="A2006" t="s">
        <v>2091</v>
      </c>
      <c r="B2006" t="s">
        <v>74</v>
      </c>
      <c r="C2006" t="s">
        <v>62</v>
      </c>
      <c r="D2006" t="s">
        <v>95</v>
      </c>
      <c r="E2006" t="s">
        <v>19</v>
      </c>
      <c r="F2006" s="1">
        <v>45847</v>
      </c>
      <c r="G2006">
        <v>9</v>
      </c>
      <c r="H2006">
        <v>847.8</v>
      </c>
      <c r="I2006">
        <v>0</v>
      </c>
      <c r="J2006" t="s">
        <v>40</v>
      </c>
      <c r="K2006">
        <v>0</v>
      </c>
      <c r="L2006">
        <v>7630.2</v>
      </c>
      <c r="M2006">
        <v>7630.2</v>
      </c>
      <c r="N2006" t="s">
        <v>122</v>
      </c>
      <c r="O2006">
        <v>2025</v>
      </c>
    </row>
    <row r="2007" spans="1:15" x14ac:dyDescent="0.3">
      <c r="A2007" t="s">
        <v>2092</v>
      </c>
      <c r="B2007" t="s">
        <v>38</v>
      </c>
      <c r="C2007" t="s">
        <v>34</v>
      </c>
      <c r="D2007" t="s">
        <v>80</v>
      </c>
      <c r="E2007" t="s">
        <v>25</v>
      </c>
      <c r="F2007" s="1">
        <v>45359</v>
      </c>
      <c r="G2007">
        <v>5</v>
      </c>
      <c r="H2007">
        <v>6847.72</v>
      </c>
      <c r="I2007">
        <v>0</v>
      </c>
      <c r="J2007" t="s">
        <v>20</v>
      </c>
      <c r="K2007">
        <v>0</v>
      </c>
      <c r="L2007">
        <v>34238.6</v>
      </c>
      <c r="M2007">
        <v>34238.6</v>
      </c>
      <c r="N2007" t="s">
        <v>83</v>
      </c>
      <c r="O2007">
        <v>2024</v>
      </c>
    </row>
    <row r="2008" spans="1:15" x14ac:dyDescent="0.3">
      <c r="A2008" t="s">
        <v>2093</v>
      </c>
      <c r="B2008" t="s">
        <v>47</v>
      </c>
      <c r="C2008" t="s">
        <v>90</v>
      </c>
      <c r="D2008" t="s">
        <v>115</v>
      </c>
      <c r="E2008" t="s">
        <v>81</v>
      </c>
      <c r="F2008" s="1">
        <v>45815</v>
      </c>
      <c r="G2008">
        <v>2</v>
      </c>
      <c r="H2008">
        <v>8162.48</v>
      </c>
      <c r="I2008">
        <v>20</v>
      </c>
      <c r="J2008" t="s">
        <v>71</v>
      </c>
      <c r="K2008">
        <v>3264.99</v>
      </c>
      <c r="L2008">
        <v>16324.96</v>
      </c>
      <c r="M2008">
        <v>13059.97</v>
      </c>
      <c r="N2008" t="s">
        <v>72</v>
      </c>
      <c r="O2008">
        <v>2025</v>
      </c>
    </row>
    <row r="2009" spans="1:15" x14ac:dyDescent="0.3">
      <c r="A2009" t="s">
        <v>2094</v>
      </c>
      <c r="B2009" t="s">
        <v>33</v>
      </c>
      <c r="C2009" t="s">
        <v>62</v>
      </c>
      <c r="D2009" t="s">
        <v>95</v>
      </c>
      <c r="E2009" t="s">
        <v>44</v>
      </c>
      <c r="F2009" s="1">
        <v>45653</v>
      </c>
      <c r="G2009">
        <v>3</v>
      </c>
      <c r="H2009">
        <v>877.33</v>
      </c>
      <c r="I2009">
        <v>5</v>
      </c>
      <c r="J2009" t="s">
        <v>82</v>
      </c>
      <c r="K2009">
        <v>131.6</v>
      </c>
      <c r="L2009">
        <v>2631.99</v>
      </c>
      <c r="M2009">
        <v>2500.39</v>
      </c>
      <c r="N2009" t="s">
        <v>51</v>
      </c>
      <c r="O2009">
        <v>2024</v>
      </c>
    </row>
    <row r="2010" spans="1:15" x14ac:dyDescent="0.3">
      <c r="A2010" t="s">
        <v>2095</v>
      </c>
      <c r="B2010" t="s">
        <v>16</v>
      </c>
      <c r="C2010" t="s">
        <v>54</v>
      </c>
      <c r="D2010" t="s">
        <v>137</v>
      </c>
      <c r="E2010" t="s">
        <v>25</v>
      </c>
      <c r="F2010" s="1">
        <v>45356</v>
      </c>
      <c r="G2010">
        <v>3</v>
      </c>
      <c r="H2010">
        <v>842.81</v>
      </c>
      <c r="I2010">
        <v>5</v>
      </c>
      <c r="J2010" t="s">
        <v>82</v>
      </c>
      <c r="K2010">
        <v>126.42</v>
      </c>
      <c r="L2010">
        <v>2528.4299999999998</v>
      </c>
      <c r="M2010">
        <v>2402.0100000000002</v>
      </c>
      <c r="N2010" t="s">
        <v>83</v>
      </c>
      <c r="O2010">
        <v>2024</v>
      </c>
    </row>
    <row r="2011" spans="1:15" x14ac:dyDescent="0.3">
      <c r="A2011" t="s">
        <v>2096</v>
      </c>
      <c r="B2011" t="s">
        <v>29</v>
      </c>
      <c r="C2011" t="s">
        <v>54</v>
      </c>
      <c r="D2011" t="s">
        <v>77</v>
      </c>
      <c r="E2011" t="s">
        <v>56</v>
      </c>
      <c r="F2011" s="1">
        <v>45322</v>
      </c>
      <c r="G2011">
        <v>6</v>
      </c>
      <c r="H2011">
        <v>5566.88</v>
      </c>
      <c r="I2011">
        <v>15</v>
      </c>
      <c r="J2011" t="s">
        <v>45</v>
      </c>
      <c r="K2011">
        <v>5010.1899999999996</v>
      </c>
      <c r="L2011">
        <v>33401.279999999999</v>
      </c>
      <c r="M2011">
        <v>28391.09</v>
      </c>
      <c r="N2011" t="s">
        <v>116</v>
      </c>
      <c r="O2011">
        <v>2024</v>
      </c>
    </row>
    <row r="2012" spans="1:15" x14ac:dyDescent="0.3">
      <c r="A2012" t="s">
        <v>2097</v>
      </c>
      <c r="B2012" t="s">
        <v>74</v>
      </c>
      <c r="C2012" t="s">
        <v>17</v>
      </c>
      <c r="D2012" t="s">
        <v>24</v>
      </c>
      <c r="E2012" t="s">
        <v>44</v>
      </c>
      <c r="F2012" s="1">
        <v>45509</v>
      </c>
      <c r="G2012">
        <v>3</v>
      </c>
      <c r="H2012">
        <v>2842.61</v>
      </c>
      <c r="I2012">
        <v>15</v>
      </c>
      <c r="J2012" t="s">
        <v>31</v>
      </c>
      <c r="K2012">
        <v>1279.17</v>
      </c>
      <c r="L2012">
        <v>8527.83</v>
      </c>
      <c r="M2012">
        <v>7248.66</v>
      </c>
      <c r="N2012" t="s">
        <v>21</v>
      </c>
      <c r="O2012">
        <v>2024</v>
      </c>
    </row>
    <row r="2013" spans="1:15" x14ac:dyDescent="0.3">
      <c r="A2013" t="s">
        <v>2098</v>
      </c>
      <c r="B2013" t="s">
        <v>16</v>
      </c>
      <c r="C2013" t="s">
        <v>54</v>
      </c>
      <c r="D2013" t="s">
        <v>70</v>
      </c>
      <c r="E2013" t="s">
        <v>50</v>
      </c>
      <c r="F2013" s="1">
        <v>45862</v>
      </c>
      <c r="G2013">
        <v>8</v>
      </c>
      <c r="H2013">
        <v>2492.0500000000002</v>
      </c>
      <c r="I2013">
        <v>10</v>
      </c>
      <c r="J2013" t="s">
        <v>71</v>
      </c>
      <c r="K2013">
        <v>1993.64</v>
      </c>
      <c r="L2013">
        <v>19936.400000000001</v>
      </c>
      <c r="M2013">
        <v>17942.759999999998</v>
      </c>
      <c r="N2013" t="s">
        <v>122</v>
      </c>
      <c r="O2013">
        <v>2025</v>
      </c>
    </row>
    <row r="2014" spans="1:15" x14ac:dyDescent="0.3">
      <c r="A2014" t="s">
        <v>2099</v>
      </c>
      <c r="B2014" t="s">
        <v>109</v>
      </c>
      <c r="C2014" t="s">
        <v>34</v>
      </c>
      <c r="D2014" t="s">
        <v>80</v>
      </c>
      <c r="E2014" t="s">
        <v>56</v>
      </c>
      <c r="F2014" s="1">
        <v>45295</v>
      </c>
      <c r="G2014">
        <v>10</v>
      </c>
      <c r="H2014">
        <v>5933.13</v>
      </c>
      <c r="I2014">
        <v>10</v>
      </c>
      <c r="J2014" t="s">
        <v>20</v>
      </c>
      <c r="K2014">
        <v>5933.13</v>
      </c>
      <c r="L2014">
        <v>59331.3</v>
      </c>
      <c r="M2014">
        <v>53398.17</v>
      </c>
      <c r="N2014" t="s">
        <v>116</v>
      </c>
      <c r="O2014">
        <v>2024</v>
      </c>
    </row>
    <row r="2015" spans="1:15" x14ac:dyDescent="0.3">
      <c r="A2015" t="s">
        <v>2100</v>
      </c>
      <c r="B2015" t="s">
        <v>16</v>
      </c>
      <c r="C2015" t="s">
        <v>62</v>
      </c>
      <c r="D2015" t="s">
        <v>99</v>
      </c>
      <c r="E2015" t="s">
        <v>44</v>
      </c>
      <c r="F2015" s="1">
        <v>45614</v>
      </c>
      <c r="G2015">
        <v>8</v>
      </c>
      <c r="H2015">
        <v>1520.16</v>
      </c>
      <c r="I2015">
        <v>0</v>
      </c>
      <c r="J2015" t="s">
        <v>26</v>
      </c>
      <c r="K2015">
        <v>0</v>
      </c>
      <c r="L2015">
        <v>12161.28</v>
      </c>
      <c r="M2015">
        <v>12161.28</v>
      </c>
      <c r="N2015" t="s">
        <v>96</v>
      </c>
      <c r="O2015">
        <v>2024</v>
      </c>
    </row>
    <row r="2016" spans="1:15" x14ac:dyDescent="0.3">
      <c r="A2016" t="s">
        <v>2101</v>
      </c>
      <c r="B2016" t="s">
        <v>65</v>
      </c>
      <c r="C2016" t="s">
        <v>54</v>
      </c>
      <c r="D2016" t="s">
        <v>77</v>
      </c>
      <c r="E2016" t="s">
        <v>44</v>
      </c>
      <c r="F2016" s="1">
        <v>45899</v>
      </c>
      <c r="G2016">
        <v>3</v>
      </c>
      <c r="H2016">
        <v>5091.79</v>
      </c>
      <c r="I2016">
        <v>20</v>
      </c>
      <c r="J2016" t="s">
        <v>82</v>
      </c>
      <c r="K2016">
        <v>3055.07</v>
      </c>
      <c r="L2016">
        <v>15275.37</v>
      </c>
      <c r="M2016">
        <v>12220.3</v>
      </c>
      <c r="N2016" t="s">
        <v>21</v>
      </c>
      <c r="O2016">
        <v>2025</v>
      </c>
    </row>
    <row r="2017" spans="1:15" x14ac:dyDescent="0.3">
      <c r="A2017" t="s">
        <v>2102</v>
      </c>
      <c r="B2017" t="s">
        <v>47</v>
      </c>
      <c r="C2017" t="s">
        <v>54</v>
      </c>
      <c r="D2017" t="s">
        <v>137</v>
      </c>
      <c r="E2017" t="s">
        <v>81</v>
      </c>
      <c r="F2017" s="1">
        <v>45945</v>
      </c>
      <c r="G2017">
        <v>6</v>
      </c>
      <c r="H2017">
        <v>951.89</v>
      </c>
      <c r="I2017">
        <v>20</v>
      </c>
      <c r="J2017" t="s">
        <v>26</v>
      </c>
      <c r="K2017">
        <v>1142.27</v>
      </c>
      <c r="L2017">
        <v>5711.34</v>
      </c>
      <c r="M2017">
        <v>4569.07</v>
      </c>
      <c r="N2017" t="s">
        <v>57</v>
      </c>
      <c r="O2017">
        <v>2025</v>
      </c>
    </row>
    <row r="2018" spans="1:15" x14ac:dyDescent="0.3">
      <c r="A2018" t="s">
        <v>2103</v>
      </c>
      <c r="B2018" t="s">
        <v>109</v>
      </c>
      <c r="C2018" t="s">
        <v>90</v>
      </c>
      <c r="D2018" t="s">
        <v>115</v>
      </c>
      <c r="E2018" t="s">
        <v>44</v>
      </c>
      <c r="F2018" s="1">
        <v>45348</v>
      </c>
      <c r="G2018">
        <v>5</v>
      </c>
      <c r="H2018">
        <v>8529.65</v>
      </c>
      <c r="I2018">
        <v>5</v>
      </c>
      <c r="J2018" t="s">
        <v>82</v>
      </c>
      <c r="K2018">
        <v>2132.41</v>
      </c>
      <c r="L2018">
        <v>42648.25</v>
      </c>
      <c r="M2018">
        <v>40515.839999999997</v>
      </c>
      <c r="N2018" t="s">
        <v>41</v>
      </c>
      <c r="O2018">
        <v>2024</v>
      </c>
    </row>
    <row r="2019" spans="1:15" x14ac:dyDescent="0.3">
      <c r="A2019" t="s">
        <v>2104</v>
      </c>
      <c r="B2019" t="s">
        <v>53</v>
      </c>
      <c r="C2019" t="s">
        <v>62</v>
      </c>
      <c r="D2019" t="s">
        <v>99</v>
      </c>
      <c r="E2019" t="s">
        <v>19</v>
      </c>
      <c r="F2019" s="1">
        <v>45713</v>
      </c>
      <c r="G2019">
        <v>2</v>
      </c>
      <c r="H2019">
        <v>1715.67</v>
      </c>
      <c r="I2019">
        <v>10</v>
      </c>
      <c r="J2019" t="s">
        <v>45</v>
      </c>
      <c r="K2019">
        <v>343.13</v>
      </c>
      <c r="L2019">
        <v>3431.34</v>
      </c>
      <c r="M2019">
        <v>3088.21</v>
      </c>
      <c r="N2019" t="s">
        <v>41</v>
      </c>
      <c r="O2019">
        <v>2025</v>
      </c>
    </row>
    <row r="2020" spans="1:15" x14ac:dyDescent="0.3">
      <c r="A2020" t="s">
        <v>2105</v>
      </c>
      <c r="B2020" t="s">
        <v>43</v>
      </c>
      <c r="C2020" t="s">
        <v>17</v>
      </c>
      <c r="D2020" t="s">
        <v>157</v>
      </c>
      <c r="E2020" t="s">
        <v>30</v>
      </c>
      <c r="F2020" s="1">
        <v>45708</v>
      </c>
      <c r="G2020">
        <v>1</v>
      </c>
      <c r="H2020">
        <v>6345.76</v>
      </c>
      <c r="I2020">
        <v>10</v>
      </c>
      <c r="J2020" t="s">
        <v>40</v>
      </c>
      <c r="K2020">
        <v>634.58000000000004</v>
      </c>
      <c r="L2020">
        <v>6345.76</v>
      </c>
      <c r="M2020">
        <v>5711.18</v>
      </c>
      <c r="N2020" t="s">
        <v>41</v>
      </c>
      <c r="O2020">
        <v>2025</v>
      </c>
    </row>
    <row r="2021" spans="1:15" x14ac:dyDescent="0.3">
      <c r="A2021" t="s">
        <v>2106</v>
      </c>
      <c r="B2021" t="s">
        <v>16</v>
      </c>
      <c r="C2021" t="s">
        <v>62</v>
      </c>
      <c r="D2021" t="s">
        <v>63</v>
      </c>
      <c r="E2021" t="s">
        <v>25</v>
      </c>
      <c r="F2021" s="1">
        <v>45829</v>
      </c>
      <c r="G2021">
        <v>10</v>
      </c>
      <c r="H2021">
        <v>1889.8</v>
      </c>
      <c r="I2021">
        <v>0</v>
      </c>
      <c r="J2021" t="s">
        <v>36</v>
      </c>
      <c r="K2021">
        <v>0</v>
      </c>
      <c r="L2021">
        <v>18898</v>
      </c>
      <c r="M2021">
        <v>18898</v>
      </c>
      <c r="N2021" t="s">
        <v>72</v>
      </c>
      <c r="O2021">
        <v>2025</v>
      </c>
    </row>
    <row r="2022" spans="1:15" x14ac:dyDescent="0.3">
      <c r="A2022" t="s">
        <v>2107</v>
      </c>
      <c r="B2022" t="s">
        <v>47</v>
      </c>
      <c r="C2022" t="s">
        <v>62</v>
      </c>
      <c r="D2022" t="s">
        <v>95</v>
      </c>
      <c r="E2022" t="s">
        <v>19</v>
      </c>
      <c r="F2022" s="1">
        <v>45617</v>
      </c>
      <c r="G2022">
        <v>2</v>
      </c>
      <c r="H2022">
        <v>832.18</v>
      </c>
      <c r="I2022">
        <v>5</v>
      </c>
      <c r="J2022" t="s">
        <v>45</v>
      </c>
      <c r="K2022">
        <v>83.22</v>
      </c>
      <c r="L2022">
        <v>1664.36</v>
      </c>
      <c r="M2022">
        <v>1581.14</v>
      </c>
      <c r="N2022" t="s">
        <v>96</v>
      </c>
      <c r="O2022">
        <v>2024</v>
      </c>
    </row>
    <row r="2023" spans="1:15" x14ac:dyDescent="0.3">
      <c r="A2023" t="s">
        <v>2108</v>
      </c>
      <c r="B2023" t="s">
        <v>29</v>
      </c>
      <c r="C2023" t="s">
        <v>54</v>
      </c>
      <c r="D2023" t="s">
        <v>70</v>
      </c>
      <c r="E2023" t="s">
        <v>25</v>
      </c>
      <c r="F2023" s="1">
        <v>45610</v>
      </c>
      <c r="G2023">
        <v>9</v>
      </c>
      <c r="H2023">
        <v>2993.95</v>
      </c>
      <c r="I2023">
        <v>0</v>
      </c>
      <c r="J2023" t="s">
        <v>40</v>
      </c>
      <c r="K2023">
        <v>0</v>
      </c>
      <c r="L2023">
        <v>26945.55</v>
      </c>
      <c r="M2023">
        <v>26945.55</v>
      </c>
      <c r="N2023" t="s">
        <v>96</v>
      </c>
      <c r="O2023">
        <v>2024</v>
      </c>
    </row>
    <row r="2024" spans="1:15" x14ac:dyDescent="0.3">
      <c r="A2024" t="s">
        <v>2109</v>
      </c>
      <c r="B2024" t="s">
        <v>38</v>
      </c>
      <c r="C2024" t="s">
        <v>54</v>
      </c>
      <c r="D2024" t="s">
        <v>77</v>
      </c>
      <c r="E2024" t="s">
        <v>30</v>
      </c>
      <c r="F2024" s="1">
        <v>45857</v>
      </c>
      <c r="G2024">
        <v>5</v>
      </c>
      <c r="H2024">
        <v>4625.54</v>
      </c>
      <c r="I2024">
        <v>15</v>
      </c>
      <c r="J2024" t="s">
        <v>40</v>
      </c>
      <c r="K2024">
        <v>3469.16</v>
      </c>
      <c r="L2024">
        <v>23127.7</v>
      </c>
      <c r="M2024">
        <v>19658.54</v>
      </c>
      <c r="N2024" t="s">
        <v>122</v>
      </c>
      <c r="O2024">
        <v>2025</v>
      </c>
    </row>
    <row r="2025" spans="1:15" x14ac:dyDescent="0.3">
      <c r="A2025" t="s">
        <v>2110</v>
      </c>
      <c r="B2025" t="s">
        <v>114</v>
      </c>
      <c r="C2025" t="s">
        <v>17</v>
      </c>
      <c r="D2025" t="s">
        <v>39</v>
      </c>
      <c r="E2025" t="s">
        <v>56</v>
      </c>
      <c r="F2025" s="1">
        <v>45965</v>
      </c>
      <c r="G2025">
        <v>6</v>
      </c>
      <c r="H2025">
        <v>19151.79</v>
      </c>
      <c r="I2025">
        <v>0</v>
      </c>
      <c r="J2025" t="s">
        <v>82</v>
      </c>
      <c r="K2025">
        <v>0</v>
      </c>
      <c r="L2025">
        <v>114910.74</v>
      </c>
      <c r="M2025">
        <v>114910.74</v>
      </c>
      <c r="N2025" t="s">
        <v>96</v>
      </c>
      <c r="O2025">
        <v>2025</v>
      </c>
    </row>
    <row r="2026" spans="1:15" x14ac:dyDescent="0.3">
      <c r="A2026" t="s">
        <v>2111</v>
      </c>
      <c r="B2026" t="s">
        <v>47</v>
      </c>
      <c r="C2026" t="s">
        <v>34</v>
      </c>
      <c r="D2026" t="s">
        <v>80</v>
      </c>
      <c r="E2026" t="s">
        <v>81</v>
      </c>
      <c r="F2026" s="1">
        <v>45401</v>
      </c>
      <c r="G2026">
        <v>8</v>
      </c>
      <c r="H2026">
        <v>5463.79</v>
      </c>
      <c r="I2026">
        <v>10</v>
      </c>
      <c r="J2026" t="s">
        <v>26</v>
      </c>
      <c r="K2026">
        <v>4371.03</v>
      </c>
      <c r="L2026">
        <v>43710.32</v>
      </c>
      <c r="M2026">
        <v>39339.29</v>
      </c>
      <c r="N2026" t="s">
        <v>27</v>
      </c>
      <c r="O2026">
        <v>2024</v>
      </c>
    </row>
    <row r="2027" spans="1:15" x14ac:dyDescent="0.3">
      <c r="A2027" t="s">
        <v>2112</v>
      </c>
      <c r="B2027" t="s">
        <v>47</v>
      </c>
      <c r="C2027" t="s">
        <v>90</v>
      </c>
      <c r="D2027" t="s">
        <v>91</v>
      </c>
      <c r="E2027" t="s">
        <v>19</v>
      </c>
      <c r="F2027" s="1">
        <v>45897</v>
      </c>
      <c r="G2027">
        <v>9</v>
      </c>
      <c r="H2027">
        <v>1685.63</v>
      </c>
      <c r="I2027">
        <v>5</v>
      </c>
      <c r="J2027" t="s">
        <v>36</v>
      </c>
      <c r="K2027">
        <v>758.53</v>
      </c>
      <c r="L2027">
        <v>15170.67</v>
      </c>
      <c r="M2027">
        <v>14412.14</v>
      </c>
      <c r="N2027" t="s">
        <v>21</v>
      </c>
      <c r="O2027">
        <v>2025</v>
      </c>
    </row>
    <row r="2028" spans="1:15" x14ac:dyDescent="0.3">
      <c r="A2028" t="s">
        <v>2113</v>
      </c>
      <c r="B2028" t="s">
        <v>53</v>
      </c>
      <c r="C2028" t="s">
        <v>17</v>
      </c>
      <c r="D2028" t="s">
        <v>39</v>
      </c>
      <c r="E2028" t="s">
        <v>50</v>
      </c>
      <c r="F2028" s="1">
        <v>45937</v>
      </c>
      <c r="G2028">
        <v>1</v>
      </c>
      <c r="H2028">
        <v>20148.060000000001</v>
      </c>
      <c r="I2028">
        <v>5</v>
      </c>
      <c r="J2028" t="s">
        <v>82</v>
      </c>
      <c r="K2028">
        <v>1007.4</v>
      </c>
      <c r="L2028">
        <v>20148.060000000001</v>
      </c>
      <c r="M2028">
        <v>19140.66</v>
      </c>
      <c r="N2028" t="s">
        <v>57</v>
      </c>
      <c r="O2028">
        <v>2025</v>
      </c>
    </row>
    <row r="2029" spans="1:15" x14ac:dyDescent="0.3">
      <c r="A2029" t="s">
        <v>2114</v>
      </c>
      <c r="B2029" t="s">
        <v>29</v>
      </c>
      <c r="C2029" t="s">
        <v>34</v>
      </c>
      <c r="D2029" t="s">
        <v>66</v>
      </c>
      <c r="E2029" t="s">
        <v>56</v>
      </c>
      <c r="F2029" s="1">
        <v>45989</v>
      </c>
      <c r="G2029">
        <v>9</v>
      </c>
      <c r="H2029">
        <v>49225.8</v>
      </c>
      <c r="I2029">
        <v>20</v>
      </c>
      <c r="J2029" t="s">
        <v>26</v>
      </c>
      <c r="K2029">
        <v>88606.44</v>
      </c>
      <c r="L2029">
        <v>443032.2</v>
      </c>
      <c r="M2029">
        <v>354425.76</v>
      </c>
      <c r="N2029" t="s">
        <v>96</v>
      </c>
      <c r="O2029">
        <v>2025</v>
      </c>
    </row>
    <row r="2030" spans="1:15" x14ac:dyDescent="0.3">
      <c r="A2030" t="s">
        <v>2115</v>
      </c>
      <c r="B2030" t="s">
        <v>65</v>
      </c>
      <c r="C2030" t="s">
        <v>34</v>
      </c>
      <c r="D2030" t="s">
        <v>35</v>
      </c>
      <c r="E2030" t="s">
        <v>50</v>
      </c>
      <c r="F2030" s="1">
        <v>45732</v>
      </c>
      <c r="G2030">
        <v>4</v>
      </c>
      <c r="H2030">
        <v>26332.86</v>
      </c>
      <c r="I2030">
        <v>15</v>
      </c>
      <c r="J2030" t="s">
        <v>26</v>
      </c>
      <c r="K2030">
        <v>15799.72</v>
      </c>
      <c r="L2030">
        <v>105331.44</v>
      </c>
      <c r="M2030">
        <v>89531.72</v>
      </c>
      <c r="N2030" t="s">
        <v>83</v>
      </c>
      <c r="O2030">
        <v>2025</v>
      </c>
    </row>
    <row r="2031" spans="1:15" x14ac:dyDescent="0.3">
      <c r="A2031" t="s">
        <v>2116</v>
      </c>
      <c r="B2031" t="s">
        <v>43</v>
      </c>
      <c r="C2031" t="s">
        <v>34</v>
      </c>
      <c r="D2031" t="s">
        <v>66</v>
      </c>
      <c r="E2031" t="s">
        <v>19</v>
      </c>
      <c r="F2031" s="1">
        <v>45706</v>
      </c>
      <c r="G2031">
        <v>10</v>
      </c>
      <c r="H2031">
        <v>40115.43</v>
      </c>
      <c r="I2031">
        <v>20</v>
      </c>
      <c r="J2031" t="s">
        <v>36</v>
      </c>
      <c r="K2031">
        <v>80230.86</v>
      </c>
      <c r="L2031">
        <v>401154.3</v>
      </c>
      <c r="M2031">
        <v>320923.44</v>
      </c>
      <c r="N2031" t="s">
        <v>41</v>
      </c>
      <c r="O2031">
        <v>2025</v>
      </c>
    </row>
    <row r="2032" spans="1:15" x14ac:dyDescent="0.3">
      <c r="A2032" t="s">
        <v>2117</v>
      </c>
      <c r="B2032" t="s">
        <v>29</v>
      </c>
      <c r="C2032" t="s">
        <v>62</v>
      </c>
      <c r="D2032" t="s">
        <v>119</v>
      </c>
      <c r="E2032" t="s">
        <v>81</v>
      </c>
      <c r="F2032" s="1">
        <v>46015</v>
      </c>
      <c r="G2032">
        <v>7</v>
      </c>
      <c r="H2032">
        <v>3710.44</v>
      </c>
      <c r="I2032">
        <v>20</v>
      </c>
      <c r="J2032" t="s">
        <v>82</v>
      </c>
      <c r="K2032">
        <v>5194.62</v>
      </c>
      <c r="L2032">
        <v>25973.08</v>
      </c>
      <c r="M2032">
        <v>20778.46</v>
      </c>
      <c r="N2032" t="s">
        <v>51</v>
      </c>
      <c r="O2032">
        <v>2025</v>
      </c>
    </row>
    <row r="2033" spans="1:15" x14ac:dyDescent="0.3">
      <c r="A2033" t="s">
        <v>2118</v>
      </c>
      <c r="B2033" t="s">
        <v>47</v>
      </c>
      <c r="C2033" t="s">
        <v>90</v>
      </c>
      <c r="D2033" t="s">
        <v>105</v>
      </c>
      <c r="E2033" t="s">
        <v>56</v>
      </c>
      <c r="F2033" s="1">
        <v>45551</v>
      </c>
      <c r="G2033">
        <v>3</v>
      </c>
      <c r="H2033">
        <v>3654.54</v>
      </c>
      <c r="I2033">
        <v>20</v>
      </c>
      <c r="J2033" t="s">
        <v>20</v>
      </c>
      <c r="K2033">
        <v>2192.7199999999998</v>
      </c>
      <c r="L2033">
        <v>10963.62</v>
      </c>
      <c r="M2033">
        <v>8770.9</v>
      </c>
      <c r="N2033" t="s">
        <v>86</v>
      </c>
      <c r="O2033">
        <v>2024</v>
      </c>
    </row>
    <row r="2034" spans="1:15" x14ac:dyDescent="0.3">
      <c r="A2034" t="s">
        <v>2119</v>
      </c>
      <c r="B2034" t="s">
        <v>53</v>
      </c>
      <c r="C2034" t="s">
        <v>17</v>
      </c>
      <c r="D2034" t="s">
        <v>59</v>
      </c>
      <c r="E2034" t="s">
        <v>30</v>
      </c>
      <c r="F2034" s="1">
        <v>45528</v>
      </c>
      <c r="G2034">
        <v>4</v>
      </c>
      <c r="H2034">
        <v>27155.5</v>
      </c>
      <c r="I2034">
        <v>0</v>
      </c>
      <c r="J2034" t="s">
        <v>26</v>
      </c>
      <c r="K2034">
        <v>0</v>
      </c>
      <c r="L2034">
        <v>108622</v>
      </c>
      <c r="M2034">
        <v>108622</v>
      </c>
      <c r="N2034" t="s">
        <v>21</v>
      </c>
      <c r="O2034">
        <v>2024</v>
      </c>
    </row>
    <row r="2035" spans="1:15" x14ac:dyDescent="0.3">
      <c r="A2035" t="s">
        <v>2120</v>
      </c>
      <c r="B2035" t="s">
        <v>29</v>
      </c>
      <c r="C2035" t="s">
        <v>90</v>
      </c>
      <c r="D2035" t="s">
        <v>107</v>
      </c>
      <c r="E2035" t="s">
        <v>19</v>
      </c>
      <c r="F2035" s="1">
        <v>45880</v>
      </c>
      <c r="G2035">
        <v>1</v>
      </c>
      <c r="H2035">
        <v>12755.56</v>
      </c>
      <c r="I2035">
        <v>0</v>
      </c>
      <c r="J2035" t="s">
        <v>82</v>
      </c>
      <c r="K2035">
        <v>0</v>
      </c>
      <c r="L2035">
        <v>12755.56</v>
      </c>
      <c r="M2035">
        <v>12755.56</v>
      </c>
      <c r="N2035" t="s">
        <v>21</v>
      </c>
      <c r="O2035">
        <v>2025</v>
      </c>
    </row>
    <row r="2036" spans="1:15" x14ac:dyDescent="0.3">
      <c r="A2036" t="s">
        <v>2121</v>
      </c>
      <c r="B2036" t="s">
        <v>47</v>
      </c>
      <c r="C2036" t="s">
        <v>17</v>
      </c>
      <c r="D2036" t="s">
        <v>157</v>
      </c>
      <c r="E2036" t="s">
        <v>19</v>
      </c>
      <c r="F2036" s="1">
        <v>45749</v>
      </c>
      <c r="G2036">
        <v>3</v>
      </c>
      <c r="H2036">
        <v>6557.23</v>
      </c>
      <c r="I2036">
        <v>0</v>
      </c>
      <c r="J2036" t="s">
        <v>20</v>
      </c>
      <c r="K2036">
        <v>0</v>
      </c>
      <c r="L2036">
        <v>19671.689999999999</v>
      </c>
      <c r="M2036">
        <v>19671.689999999999</v>
      </c>
      <c r="N2036" t="s">
        <v>27</v>
      </c>
      <c r="O2036">
        <v>2025</v>
      </c>
    </row>
    <row r="2037" spans="1:15" x14ac:dyDescent="0.3">
      <c r="A2037" t="s">
        <v>2122</v>
      </c>
      <c r="B2037" t="s">
        <v>23</v>
      </c>
      <c r="C2037" t="s">
        <v>62</v>
      </c>
      <c r="D2037" t="s">
        <v>119</v>
      </c>
      <c r="E2037" t="s">
        <v>56</v>
      </c>
      <c r="F2037" s="1">
        <v>45746</v>
      </c>
      <c r="G2037">
        <v>4</v>
      </c>
      <c r="H2037">
        <v>3900.54</v>
      </c>
      <c r="I2037">
        <v>5</v>
      </c>
      <c r="J2037" t="s">
        <v>40</v>
      </c>
      <c r="K2037">
        <v>780.11</v>
      </c>
      <c r="L2037">
        <v>15602.16</v>
      </c>
      <c r="M2037">
        <v>14822.05</v>
      </c>
      <c r="N2037" t="s">
        <v>83</v>
      </c>
      <c r="O2037">
        <v>2025</v>
      </c>
    </row>
    <row r="2038" spans="1:15" x14ac:dyDescent="0.3">
      <c r="A2038" t="s">
        <v>2123</v>
      </c>
      <c r="B2038" t="s">
        <v>33</v>
      </c>
      <c r="C2038" t="s">
        <v>34</v>
      </c>
      <c r="D2038" t="s">
        <v>35</v>
      </c>
      <c r="E2038" t="s">
        <v>50</v>
      </c>
      <c r="F2038" s="1">
        <v>45793</v>
      </c>
      <c r="G2038">
        <v>8</v>
      </c>
      <c r="H2038">
        <v>28432.14</v>
      </c>
      <c r="I2038">
        <v>15</v>
      </c>
      <c r="J2038" t="s">
        <v>20</v>
      </c>
      <c r="K2038">
        <v>34118.57</v>
      </c>
      <c r="L2038">
        <v>227457.12</v>
      </c>
      <c r="M2038">
        <v>193338.55</v>
      </c>
      <c r="N2038" t="s">
        <v>101</v>
      </c>
      <c r="O2038">
        <v>2025</v>
      </c>
    </row>
    <row r="2039" spans="1:15" x14ac:dyDescent="0.3">
      <c r="A2039" t="s">
        <v>2124</v>
      </c>
      <c r="B2039" t="s">
        <v>109</v>
      </c>
      <c r="C2039" t="s">
        <v>17</v>
      </c>
      <c r="D2039" t="s">
        <v>39</v>
      </c>
      <c r="E2039" t="s">
        <v>56</v>
      </c>
      <c r="F2039" s="1">
        <v>45454</v>
      </c>
      <c r="G2039">
        <v>1</v>
      </c>
      <c r="H2039">
        <v>19716.27</v>
      </c>
      <c r="I2039">
        <v>0</v>
      </c>
      <c r="J2039" t="s">
        <v>71</v>
      </c>
      <c r="K2039">
        <v>0</v>
      </c>
      <c r="L2039">
        <v>19716.27</v>
      </c>
      <c r="M2039">
        <v>19716.27</v>
      </c>
      <c r="N2039" t="s">
        <v>72</v>
      </c>
      <c r="O2039">
        <v>2024</v>
      </c>
    </row>
    <row r="2040" spans="1:15" x14ac:dyDescent="0.3">
      <c r="A2040" t="s">
        <v>2125</v>
      </c>
      <c r="B2040" t="s">
        <v>43</v>
      </c>
      <c r="C2040" t="s">
        <v>90</v>
      </c>
      <c r="D2040" t="s">
        <v>91</v>
      </c>
      <c r="E2040" t="s">
        <v>50</v>
      </c>
      <c r="F2040" s="1">
        <v>45405</v>
      </c>
      <c r="G2040">
        <v>5</v>
      </c>
      <c r="H2040">
        <v>1402.76</v>
      </c>
      <c r="I2040">
        <v>10</v>
      </c>
      <c r="J2040" t="s">
        <v>31</v>
      </c>
      <c r="K2040">
        <v>701.38</v>
      </c>
      <c r="L2040">
        <v>7013.8</v>
      </c>
      <c r="M2040">
        <v>6312.42</v>
      </c>
      <c r="N2040" t="s">
        <v>27</v>
      </c>
      <c r="O2040">
        <v>2024</v>
      </c>
    </row>
    <row r="2041" spans="1:15" x14ac:dyDescent="0.3">
      <c r="A2041" t="s">
        <v>2126</v>
      </c>
      <c r="B2041" t="s">
        <v>74</v>
      </c>
      <c r="C2041" t="s">
        <v>34</v>
      </c>
      <c r="D2041" t="s">
        <v>35</v>
      </c>
      <c r="E2041" t="s">
        <v>25</v>
      </c>
      <c r="F2041" s="1">
        <v>45834</v>
      </c>
      <c r="G2041">
        <v>2</v>
      </c>
      <c r="H2041">
        <v>26165.53</v>
      </c>
      <c r="I2041">
        <v>10</v>
      </c>
      <c r="J2041" t="s">
        <v>71</v>
      </c>
      <c r="K2041">
        <v>5233.1099999999997</v>
      </c>
      <c r="L2041">
        <v>52331.06</v>
      </c>
      <c r="M2041">
        <v>47097.95</v>
      </c>
      <c r="N2041" t="s">
        <v>72</v>
      </c>
      <c r="O2041">
        <v>2025</v>
      </c>
    </row>
    <row r="2042" spans="1:15" x14ac:dyDescent="0.3">
      <c r="A2042" t="s">
        <v>2127</v>
      </c>
      <c r="B2042" t="s">
        <v>89</v>
      </c>
      <c r="C2042" t="s">
        <v>62</v>
      </c>
      <c r="D2042" t="s">
        <v>63</v>
      </c>
      <c r="E2042" t="s">
        <v>50</v>
      </c>
      <c r="F2042" s="1">
        <v>45780</v>
      </c>
      <c r="G2042">
        <v>7</v>
      </c>
      <c r="H2042">
        <v>1741.34</v>
      </c>
      <c r="I2042">
        <v>15</v>
      </c>
      <c r="J2042" t="s">
        <v>40</v>
      </c>
      <c r="K2042">
        <v>1828.41</v>
      </c>
      <c r="L2042">
        <v>12189.38</v>
      </c>
      <c r="M2042">
        <v>10360.969999999999</v>
      </c>
      <c r="N2042" t="s">
        <v>101</v>
      </c>
      <c r="O2042">
        <v>2025</v>
      </c>
    </row>
    <row r="2043" spans="1:15" x14ac:dyDescent="0.3">
      <c r="A2043" t="s">
        <v>2128</v>
      </c>
      <c r="B2043" t="s">
        <v>114</v>
      </c>
      <c r="C2043" t="s">
        <v>34</v>
      </c>
      <c r="D2043" t="s">
        <v>35</v>
      </c>
      <c r="E2043" t="s">
        <v>50</v>
      </c>
      <c r="F2043" s="1">
        <v>45532</v>
      </c>
      <c r="G2043">
        <v>8</v>
      </c>
      <c r="H2043">
        <v>24903.64</v>
      </c>
      <c r="I2043">
        <v>20</v>
      </c>
      <c r="J2043" t="s">
        <v>26</v>
      </c>
      <c r="K2043">
        <v>39845.82</v>
      </c>
      <c r="L2043">
        <v>199229.12</v>
      </c>
      <c r="M2043">
        <v>159383.29999999999</v>
      </c>
      <c r="N2043" t="s">
        <v>21</v>
      </c>
      <c r="O2043">
        <v>2024</v>
      </c>
    </row>
    <row r="2044" spans="1:15" x14ac:dyDescent="0.3">
      <c r="A2044" t="s">
        <v>2129</v>
      </c>
      <c r="B2044" t="s">
        <v>47</v>
      </c>
      <c r="C2044" t="s">
        <v>54</v>
      </c>
      <c r="D2044" t="s">
        <v>55</v>
      </c>
      <c r="E2044" t="s">
        <v>19</v>
      </c>
      <c r="F2044" s="1">
        <v>45826</v>
      </c>
      <c r="G2044">
        <v>5</v>
      </c>
      <c r="H2044">
        <v>1286.97</v>
      </c>
      <c r="I2044">
        <v>10</v>
      </c>
      <c r="J2044" t="s">
        <v>45</v>
      </c>
      <c r="K2044">
        <v>643.49</v>
      </c>
      <c r="L2044">
        <v>6434.85</v>
      </c>
      <c r="M2044">
        <v>5791.36</v>
      </c>
      <c r="N2044" t="s">
        <v>72</v>
      </c>
      <c r="O2044">
        <v>2025</v>
      </c>
    </row>
    <row r="2045" spans="1:15" x14ac:dyDescent="0.3">
      <c r="A2045" t="s">
        <v>2130</v>
      </c>
      <c r="B2045" t="s">
        <v>16</v>
      </c>
      <c r="C2045" t="s">
        <v>54</v>
      </c>
      <c r="D2045" t="s">
        <v>137</v>
      </c>
      <c r="E2045" t="s">
        <v>56</v>
      </c>
      <c r="F2045" s="1">
        <v>45356</v>
      </c>
      <c r="G2045">
        <v>10</v>
      </c>
      <c r="H2045">
        <v>1025.3599999999999</v>
      </c>
      <c r="I2045">
        <v>0</v>
      </c>
      <c r="J2045" t="s">
        <v>26</v>
      </c>
      <c r="K2045">
        <v>0</v>
      </c>
      <c r="L2045">
        <v>10253.6</v>
      </c>
      <c r="M2045">
        <v>10253.6</v>
      </c>
      <c r="N2045" t="s">
        <v>83</v>
      </c>
      <c r="O2045">
        <v>2024</v>
      </c>
    </row>
    <row r="2046" spans="1:15" x14ac:dyDescent="0.3">
      <c r="A2046" t="s">
        <v>2131</v>
      </c>
      <c r="B2046" t="s">
        <v>43</v>
      </c>
      <c r="C2046" t="s">
        <v>34</v>
      </c>
      <c r="D2046" t="s">
        <v>48</v>
      </c>
      <c r="E2046" t="s">
        <v>44</v>
      </c>
      <c r="F2046" s="1">
        <v>45976</v>
      </c>
      <c r="G2046">
        <v>9</v>
      </c>
      <c r="H2046">
        <v>9802.8700000000008</v>
      </c>
      <c r="I2046">
        <v>20</v>
      </c>
      <c r="J2046" t="s">
        <v>20</v>
      </c>
      <c r="K2046">
        <v>17645.169999999998</v>
      </c>
      <c r="L2046">
        <v>88225.83</v>
      </c>
      <c r="M2046">
        <v>70580.66</v>
      </c>
      <c r="N2046" t="s">
        <v>96</v>
      </c>
      <c r="O2046">
        <v>2025</v>
      </c>
    </row>
    <row r="2047" spans="1:15" x14ac:dyDescent="0.3">
      <c r="A2047" t="s">
        <v>2132</v>
      </c>
      <c r="B2047" t="s">
        <v>61</v>
      </c>
      <c r="C2047" t="s">
        <v>54</v>
      </c>
      <c r="D2047" t="s">
        <v>55</v>
      </c>
      <c r="E2047" t="s">
        <v>56</v>
      </c>
      <c r="F2047" s="1">
        <v>45444</v>
      </c>
      <c r="G2047">
        <v>1</v>
      </c>
      <c r="H2047">
        <v>1178.21</v>
      </c>
      <c r="I2047">
        <v>20</v>
      </c>
      <c r="J2047" t="s">
        <v>26</v>
      </c>
      <c r="K2047">
        <v>235.64</v>
      </c>
      <c r="L2047">
        <v>1178.21</v>
      </c>
      <c r="M2047">
        <v>942.57</v>
      </c>
      <c r="N2047" t="s">
        <v>72</v>
      </c>
      <c r="O2047">
        <v>2024</v>
      </c>
    </row>
    <row r="2048" spans="1:15" x14ac:dyDescent="0.3">
      <c r="A2048" t="s">
        <v>2133</v>
      </c>
      <c r="B2048" t="s">
        <v>33</v>
      </c>
      <c r="C2048" t="s">
        <v>90</v>
      </c>
      <c r="D2048" t="s">
        <v>91</v>
      </c>
      <c r="E2048" t="s">
        <v>25</v>
      </c>
      <c r="F2048" s="1">
        <v>45490</v>
      </c>
      <c r="G2048">
        <v>3</v>
      </c>
      <c r="H2048">
        <v>1390.67</v>
      </c>
      <c r="I2048">
        <v>10</v>
      </c>
      <c r="J2048" t="s">
        <v>71</v>
      </c>
      <c r="K2048">
        <v>417.2</v>
      </c>
      <c r="L2048">
        <v>4172.01</v>
      </c>
      <c r="M2048">
        <v>3754.81</v>
      </c>
      <c r="N2048" t="s">
        <v>122</v>
      </c>
      <c r="O2048">
        <v>2024</v>
      </c>
    </row>
    <row r="2049" spans="1:15" x14ac:dyDescent="0.3">
      <c r="A2049" t="s">
        <v>2134</v>
      </c>
      <c r="B2049" t="s">
        <v>16</v>
      </c>
      <c r="C2049" t="s">
        <v>90</v>
      </c>
      <c r="D2049" t="s">
        <v>115</v>
      </c>
      <c r="E2049" t="s">
        <v>44</v>
      </c>
      <c r="F2049" s="1">
        <v>45892</v>
      </c>
      <c r="G2049">
        <v>4</v>
      </c>
      <c r="H2049">
        <v>8457.69</v>
      </c>
      <c r="I2049">
        <v>20</v>
      </c>
      <c r="J2049" t="s">
        <v>40</v>
      </c>
      <c r="K2049">
        <v>6766.15</v>
      </c>
      <c r="L2049">
        <v>33830.76</v>
      </c>
      <c r="M2049">
        <v>27064.61</v>
      </c>
      <c r="N2049" t="s">
        <v>21</v>
      </c>
      <c r="O2049">
        <v>2025</v>
      </c>
    </row>
    <row r="2050" spans="1:15" x14ac:dyDescent="0.3">
      <c r="A2050" t="s">
        <v>2135</v>
      </c>
      <c r="B2050" t="s">
        <v>33</v>
      </c>
      <c r="C2050" t="s">
        <v>54</v>
      </c>
      <c r="D2050" t="s">
        <v>77</v>
      </c>
      <c r="E2050" t="s">
        <v>25</v>
      </c>
      <c r="F2050" s="1">
        <v>45775</v>
      </c>
      <c r="G2050">
        <v>10</v>
      </c>
      <c r="H2050">
        <v>4745.34</v>
      </c>
      <c r="I2050">
        <v>5</v>
      </c>
      <c r="J2050" t="s">
        <v>31</v>
      </c>
      <c r="K2050">
        <v>2372.67</v>
      </c>
      <c r="L2050">
        <v>47453.4</v>
      </c>
      <c r="M2050">
        <v>45080.73</v>
      </c>
      <c r="N2050" t="s">
        <v>27</v>
      </c>
      <c r="O2050">
        <v>2025</v>
      </c>
    </row>
    <row r="2051" spans="1:15" x14ac:dyDescent="0.3">
      <c r="A2051" t="s">
        <v>2136</v>
      </c>
      <c r="B2051" t="s">
        <v>38</v>
      </c>
      <c r="C2051" t="s">
        <v>62</v>
      </c>
      <c r="D2051" t="s">
        <v>95</v>
      </c>
      <c r="E2051" t="s">
        <v>19</v>
      </c>
      <c r="F2051" s="1">
        <v>45774</v>
      </c>
      <c r="G2051">
        <v>4</v>
      </c>
      <c r="H2051">
        <v>826.5</v>
      </c>
      <c r="I2051">
        <v>15</v>
      </c>
      <c r="J2051" t="s">
        <v>45</v>
      </c>
      <c r="K2051">
        <v>495.9</v>
      </c>
      <c r="L2051">
        <v>3306</v>
      </c>
      <c r="M2051">
        <v>2810.1</v>
      </c>
      <c r="N2051" t="s">
        <v>27</v>
      </c>
      <c r="O2051">
        <v>2025</v>
      </c>
    </row>
    <row r="2052" spans="1:15" x14ac:dyDescent="0.3">
      <c r="A2052" t="s">
        <v>2137</v>
      </c>
      <c r="B2052" t="s">
        <v>65</v>
      </c>
      <c r="C2052" t="s">
        <v>34</v>
      </c>
      <c r="D2052" t="s">
        <v>35</v>
      </c>
      <c r="E2052" t="s">
        <v>25</v>
      </c>
      <c r="F2052" s="1">
        <v>45397</v>
      </c>
      <c r="G2052">
        <v>10</v>
      </c>
      <c r="H2052">
        <v>28099.53</v>
      </c>
      <c r="I2052">
        <v>5</v>
      </c>
      <c r="J2052" t="s">
        <v>82</v>
      </c>
      <c r="K2052">
        <v>14049.76</v>
      </c>
      <c r="L2052">
        <v>280995.3</v>
      </c>
      <c r="M2052">
        <v>266945.53999999998</v>
      </c>
      <c r="N2052" t="s">
        <v>27</v>
      </c>
      <c r="O2052">
        <v>2024</v>
      </c>
    </row>
    <row r="2053" spans="1:15" x14ac:dyDescent="0.3">
      <c r="A2053" t="s">
        <v>2138</v>
      </c>
      <c r="B2053" t="s">
        <v>29</v>
      </c>
      <c r="C2053" t="s">
        <v>90</v>
      </c>
      <c r="D2053" t="s">
        <v>105</v>
      </c>
      <c r="E2053" t="s">
        <v>56</v>
      </c>
      <c r="F2053" s="1">
        <v>45839</v>
      </c>
      <c r="G2053">
        <v>2</v>
      </c>
      <c r="H2053">
        <v>3239.79</v>
      </c>
      <c r="I2053">
        <v>20</v>
      </c>
      <c r="J2053" t="s">
        <v>31</v>
      </c>
      <c r="K2053">
        <v>1295.92</v>
      </c>
      <c r="L2053">
        <v>6479.58</v>
      </c>
      <c r="M2053">
        <v>5183.66</v>
      </c>
      <c r="N2053" t="s">
        <v>122</v>
      </c>
      <c r="O2053">
        <v>2025</v>
      </c>
    </row>
    <row r="2054" spans="1:15" x14ac:dyDescent="0.3">
      <c r="A2054" t="s">
        <v>2139</v>
      </c>
      <c r="B2054" t="s">
        <v>29</v>
      </c>
      <c r="C2054" t="s">
        <v>90</v>
      </c>
      <c r="D2054" t="s">
        <v>107</v>
      </c>
      <c r="E2054" t="s">
        <v>30</v>
      </c>
      <c r="F2054" s="1">
        <v>45515</v>
      </c>
      <c r="G2054">
        <v>6</v>
      </c>
      <c r="H2054">
        <v>11090.57</v>
      </c>
      <c r="I2054">
        <v>10</v>
      </c>
      <c r="J2054" t="s">
        <v>20</v>
      </c>
      <c r="K2054">
        <v>6654.34</v>
      </c>
      <c r="L2054">
        <v>66543.42</v>
      </c>
      <c r="M2054">
        <v>59889.08</v>
      </c>
      <c r="N2054" t="s">
        <v>21</v>
      </c>
      <c r="O2054">
        <v>2024</v>
      </c>
    </row>
    <row r="2055" spans="1:15" x14ac:dyDescent="0.3">
      <c r="A2055" t="s">
        <v>2140</v>
      </c>
      <c r="B2055" t="s">
        <v>23</v>
      </c>
      <c r="C2055" t="s">
        <v>17</v>
      </c>
      <c r="D2055" t="s">
        <v>24</v>
      </c>
      <c r="E2055" t="s">
        <v>25</v>
      </c>
      <c r="F2055" s="1">
        <v>45950</v>
      </c>
      <c r="G2055">
        <v>10</v>
      </c>
      <c r="H2055">
        <v>3704.09</v>
      </c>
      <c r="I2055">
        <v>5</v>
      </c>
      <c r="J2055" t="s">
        <v>40</v>
      </c>
      <c r="K2055">
        <v>1852.05</v>
      </c>
      <c r="L2055">
        <v>37040.9</v>
      </c>
      <c r="M2055">
        <v>35188.85</v>
      </c>
      <c r="N2055" t="s">
        <v>57</v>
      </c>
      <c r="O2055">
        <v>2025</v>
      </c>
    </row>
    <row r="2056" spans="1:15" x14ac:dyDescent="0.3">
      <c r="A2056" t="s">
        <v>2141</v>
      </c>
      <c r="B2056" t="s">
        <v>114</v>
      </c>
      <c r="C2056" t="s">
        <v>17</v>
      </c>
      <c r="D2056" t="s">
        <v>39</v>
      </c>
      <c r="E2056" t="s">
        <v>50</v>
      </c>
      <c r="F2056" s="1">
        <v>45387</v>
      </c>
      <c r="G2056">
        <v>5</v>
      </c>
      <c r="H2056">
        <v>19759.95</v>
      </c>
      <c r="I2056">
        <v>20</v>
      </c>
      <c r="J2056" t="s">
        <v>82</v>
      </c>
      <c r="K2056">
        <v>19759.95</v>
      </c>
      <c r="L2056">
        <v>98799.75</v>
      </c>
      <c r="M2056">
        <v>79039.8</v>
      </c>
      <c r="N2056" t="s">
        <v>27</v>
      </c>
      <c r="O2056">
        <v>2024</v>
      </c>
    </row>
    <row r="2057" spans="1:15" x14ac:dyDescent="0.3">
      <c r="A2057" t="s">
        <v>2142</v>
      </c>
      <c r="B2057" t="s">
        <v>89</v>
      </c>
      <c r="C2057" t="s">
        <v>34</v>
      </c>
      <c r="D2057" t="s">
        <v>80</v>
      </c>
      <c r="E2057" t="s">
        <v>30</v>
      </c>
      <c r="F2057" s="1">
        <v>45846</v>
      </c>
      <c r="G2057">
        <v>3</v>
      </c>
      <c r="H2057">
        <v>6385.95</v>
      </c>
      <c r="I2057">
        <v>0</v>
      </c>
      <c r="J2057" t="s">
        <v>40</v>
      </c>
      <c r="K2057">
        <v>0</v>
      </c>
      <c r="L2057">
        <v>19157.849999999999</v>
      </c>
      <c r="M2057">
        <v>19157.849999999999</v>
      </c>
      <c r="N2057" t="s">
        <v>122</v>
      </c>
      <c r="O2057">
        <v>2025</v>
      </c>
    </row>
    <row r="2058" spans="1:15" x14ac:dyDescent="0.3">
      <c r="A2058" t="s">
        <v>2143</v>
      </c>
      <c r="B2058" t="s">
        <v>74</v>
      </c>
      <c r="C2058" t="s">
        <v>90</v>
      </c>
      <c r="D2058" t="s">
        <v>107</v>
      </c>
      <c r="E2058" t="s">
        <v>56</v>
      </c>
      <c r="F2058" s="1">
        <v>45394</v>
      </c>
      <c r="G2058">
        <v>2</v>
      </c>
      <c r="H2058">
        <v>12311.1</v>
      </c>
      <c r="I2058">
        <v>5</v>
      </c>
      <c r="J2058" t="s">
        <v>45</v>
      </c>
      <c r="K2058">
        <v>1231.1099999999999</v>
      </c>
      <c r="L2058">
        <v>24622.2</v>
      </c>
      <c r="M2058">
        <v>23391.09</v>
      </c>
      <c r="N2058" t="s">
        <v>27</v>
      </c>
      <c r="O2058">
        <v>2024</v>
      </c>
    </row>
    <row r="2059" spans="1:15" x14ac:dyDescent="0.3">
      <c r="A2059" t="s">
        <v>2144</v>
      </c>
      <c r="B2059" t="s">
        <v>109</v>
      </c>
      <c r="C2059" t="s">
        <v>54</v>
      </c>
      <c r="D2059" t="s">
        <v>137</v>
      </c>
      <c r="E2059" t="s">
        <v>56</v>
      </c>
      <c r="F2059" s="1">
        <v>45657</v>
      </c>
      <c r="G2059">
        <v>8</v>
      </c>
      <c r="H2059">
        <v>1028.68</v>
      </c>
      <c r="I2059">
        <v>5</v>
      </c>
      <c r="J2059" t="s">
        <v>45</v>
      </c>
      <c r="K2059">
        <v>411.47</v>
      </c>
      <c r="L2059">
        <v>8229.44</v>
      </c>
      <c r="M2059">
        <v>7817.97</v>
      </c>
      <c r="N2059" t="s">
        <v>51</v>
      </c>
      <c r="O2059">
        <v>2024</v>
      </c>
    </row>
    <row r="2060" spans="1:15" x14ac:dyDescent="0.3">
      <c r="A2060" t="s">
        <v>2145</v>
      </c>
      <c r="B2060" t="s">
        <v>61</v>
      </c>
      <c r="C2060" t="s">
        <v>17</v>
      </c>
      <c r="D2060" t="s">
        <v>18</v>
      </c>
      <c r="E2060" t="s">
        <v>81</v>
      </c>
      <c r="F2060" s="1">
        <v>45975</v>
      </c>
      <c r="G2060">
        <v>5</v>
      </c>
      <c r="H2060">
        <v>67791.740000000005</v>
      </c>
      <c r="I2060">
        <v>5</v>
      </c>
      <c r="J2060" t="s">
        <v>26</v>
      </c>
      <c r="K2060">
        <v>16947.939999999999</v>
      </c>
      <c r="L2060">
        <v>338958.7</v>
      </c>
      <c r="M2060">
        <v>322010.76</v>
      </c>
      <c r="N2060" t="s">
        <v>96</v>
      </c>
      <c r="O2060">
        <v>2025</v>
      </c>
    </row>
    <row r="2061" spans="1:15" x14ac:dyDescent="0.3">
      <c r="A2061" t="s">
        <v>2146</v>
      </c>
      <c r="B2061" t="s">
        <v>16</v>
      </c>
      <c r="C2061" t="s">
        <v>34</v>
      </c>
      <c r="D2061" t="s">
        <v>80</v>
      </c>
      <c r="E2061" t="s">
        <v>50</v>
      </c>
      <c r="F2061" s="1">
        <v>45506</v>
      </c>
      <c r="G2061">
        <v>4</v>
      </c>
      <c r="H2061">
        <v>5598.94</v>
      </c>
      <c r="I2061">
        <v>15</v>
      </c>
      <c r="J2061" t="s">
        <v>20</v>
      </c>
      <c r="K2061">
        <v>3359.36</v>
      </c>
      <c r="L2061">
        <v>22395.759999999998</v>
      </c>
      <c r="M2061">
        <v>19036.400000000001</v>
      </c>
      <c r="N2061" t="s">
        <v>21</v>
      </c>
      <c r="O2061">
        <v>2024</v>
      </c>
    </row>
    <row r="2062" spans="1:15" x14ac:dyDescent="0.3">
      <c r="A2062" t="s">
        <v>2147</v>
      </c>
      <c r="B2062" t="s">
        <v>29</v>
      </c>
      <c r="C2062" t="s">
        <v>17</v>
      </c>
      <c r="D2062" t="s">
        <v>157</v>
      </c>
      <c r="E2062" t="s">
        <v>81</v>
      </c>
      <c r="F2062" s="1">
        <v>45324</v>
      </c>
      <c r="G2062">
        <v>2</v>
      </c>
      <c r="H2062">
        <v>7570.05</v>
      </c>
      <c r="I2062">
        <v>5</v>
      </c>
      <c r="J2062" t="s">
        <v>36</v>
      </c>
      <c r="K2062">
        <v>757.01</v>
      </c>
      <c r="L2062">
        <v>15140.1</v>
      </c>
      <c r="M2062">
        <v>14383.09</v>
      </c>
      <c r="N2062" t="s">
        <v>41</v>
      </c>
      <c r="O2062">
        <v>2024</v>
      </c>
    </row>
    <row r="2063" spans="1:15" x14ac:dyDescent="0.3">
      <c r="A2063" t="s">
        <v>2148</v>
      </c>
      <c r="B2063" t="s">
        <v>38</v>
      </c>
      <c r="C2063" t="s">
        <v>62</v>
      </c>
      <c r="D2063" t="s">
        <v>119</v>
      </c>
      <c r="E2063" t="s">
        <v>30</v>
      </c>
      <c r="F2063" s="1">
        <v>45449</v>
      </c>
      <c r="G2063">
        <v>2</v>
      </c>
      <c r="H2063">
        <v>3879.42</v>
      </c>
      <c r="I2063">
        <v>5</v>
      </c>
      <c r="J2063" t="s">
        <v>31</v>
      </c>
      <c r="K2063">
        <v>387.94</v>
      </c>
      <c r="L2063">
        <v>7758.84</v>
      </c>
      <c r="M2063">
        <v>7370.9</v>
      </c>
      <c r="N2063" t="s">
        <v>72</v>
      </c>
      <c r="O2063">
        <v>2024</v>
      </c>
    </row>
    <row r="2064" spans="1:15" x14ac:dyDescent="0.3">
      <c r="A2064" t="s">
        <v>2149</v>
      </c>
      <c r="B2064" t="s">
        <v>109</v>
      </c>
      <c r="C2064" t="s">
        <v>90</v>
      </c>
      <c r="D2064" t="s">
        <v>152</v>
      </c>
      <c r="E2064" t="s">
        <v>50</v>
      </c>
      <c r="F2064" s="1">
        <v>45327</v>
      </c>
      <c r="G2064">
        <v>9</v>
      </c>
      <c r="H2064">
        <v>9437.74</v>
      </c>
      <c r="I2064">
        <v>15</v>
      </c>
      <c r="J2064" t="s">
        <v>45</v>
      </c>
      <c r="K2064">
        <v>12740.95</v>
      </c>
      <c r="L2064">
        <v>84939.66</v>
      </c>
      <c r="M2064">
        <v>72198.710000000006</v>
      </c>
      <c r="N2064" t="s">
        <v>41</v>
      </c>
      <c r="O2064">
        <v>2024</v>
      </c>
    </row>
    <row r="2065" spans="1:15" x14ac:dyDescent="0.3">
      <c r="A2065" t="s">
        <v>2150</v>
      </c>
      <c r="B2065" t="s">
        <v>74</v>
      </c>
      <c r="C2065" t="s">
        <v>17</v>
      </c>
      <c r="D2065" t="s">
        <v>18</v>
      </c>
      <c r="E2065" t="s">
        <v>50</v>
      </c>
      <c r="F2065" s="1">
        <v>45366</v>
      </c>
      <c r="G2065">
        <v>3</v>
      </c>
      <c r="H2065">
        <v>65244.61</v>
      </c>
      <c r="I2065">
        <v>15</v>
      </c>
      <c r="J2065" t="s">
        <v>20</v>
      </c>
      <c r="K2065">
        <v>29360.07</v>
      </c>
      <c r="L2065">
        <v>195733.83</v>
      </c>
      <c r="M2065">
        <v>166373.76000000001</v>
      </c>
      <c r="N2065" t="s">
        <v>83</v>
      </c>
      <c r="O2065">
        <v>2024</v>
      </c>
    </row>
    <row r="2066" spans="1:15" x14ac:dyDescent="0.3">
      <c r="A2066" t="s">
        <v>2151</v>
      </c>
      <c r="B2066" t="s">
        <v>43</v>
      </c>
      <c r="C2066" t="s">
        <v>34</v>
      </c>
      <c r="D2066" t="s">
        <v>85</v>
      </c>
      <c r="E2066" t="s">
        <v>30</v>
      </c>
      <c r="F2066" s="1">
        <v>45755</v>
      </c>
      <c r="G2066">
        <v>3</v>
      </c>
      <c r="H2066">
        <v>13286.33</v>
      </c>
      <c r="I2066">
        <v>20</v>
      </c>
      <c r="J2066" t="s">
        <v>45</v>
      </c>
      <c r="K2066">
        <v>7971.8</v>
      </c>
      <c r="L2066">
        <v>39858.99</v>
      </c>
      <c r="M2066">
        <v>31887.19</v>
      </c>
      <c r="N2066" t="s">
        <v>27</v>
      </c>
      <c r="O2066">
        <v>2025</v>
      </c>
    </row>
    <row r="2067" spans="1:15" x14ac:dyDescent="0.3">
      <c r="A2067" t="s">
        <v>2152</v>
      </c>
      <c r="B2067" t="s">
        <v>29</v>
      </c>
      <c r="C2067" t="s">
        <v>54</v>
      </c>
      <c r="D2067" t="s">
        <v>77</v>
      </c>
      <c r="E2067" t="s">
        <v>56</v>
      </c>
      <c r="F2067" s="1">
        <v>45468</v>
      </c>
      <c r="G2067">
        <v>10</v>
      </c>
      <c r="H2067">
        <v>5545.86</v>
      </c>
      <c r="I2067">
        <v>15</v>
      </c>
      <c r="J2067" t="s">
        <v>31</v>
      </c>
      <c r="K2067">
        <v>8318.7900000000009</v>
      </c>
      <c r="L2067">
        <v>55458.6</v>
      </c>
      <c r="M2067">
        <v>47139.81</v>
      </c>
      <c r="N2067" t="s">
        <v>72</v>
      </c>
      <c r="O2067">
        <v>2024</v>
      </c>
    </row>
    <row r="2068" spans="1:15" x14ac:dyDescent="0.3">
      <c r="A2068" t="s">
        <v>2153</v>
      </c>
      <c r="B2068" t="s">
        <v>43</v>
      </c>
      <c r="C2068" t="s">
        <v>62</v>
      </c>
      <c r="D2068" t="s">
        <v>119</v>
      </c>
      <c r="E2068" t="s">
        <v>81</v>
      </c>
      <c r="F2068" s="1">
        <v>45312</v>
      </c>
      <c r="G2068">
        <v>4</v>
      </c>
      <c r="H2068">
        <v>3505.09</v>
      </c>
      <c r="I2068">
        <v>15</v>
      </c>
      <c r="J2068" t="s">
        <v>20</v>
      </c>
      <c r="K2068">
        <v>2103.0500000000002</v>
      </c>
      <c r="L2068">
        <v>14020.36</v>
      </c>
      <c r="M2068">
        <v>11917.31</v>
      </c>
      <c r="N2068" t="s">
        <v>116</v>
      </c>
      <c r="O2068">
        <v>2024</v>
      </c>
    </row>
    <row r="2069" spans="1:15" x14ac:dyDescent="0.3">
      <c r="A2069" t="s">
        <v>2154</v>
      </c>
      <c r="B2069" t="s">
        <v>114</v>
      </c>
      <c r="C2069" t="s">
        <v>54</v>
      </c>
      <c r="D2069" t="s">
        <v>68</v>
      </c>
      <c r="E2069" t="s">
        <v>25</v>
      </c>
      <c r="F2069" s="1">
        <v>46003</v>
      </c>
      <c r="G2069">
        <v>3</v>
      </c>
      <c r="H2069">
        <v>5569.78</v>
      </c>
      <c r="I2069">
        <v>5</v>
      </c>
      <c r="J2069" t="s">
        <v>82</v>
      </c>
      <c r="K2069">
        <v>835.47</v>
      </c>
      <c r="L2069">
        <v>16709.34</v>
      </c>
      <c r="M2069">
        <v>15873.87</v>
      </c>
      <c r="N2069" t="s">
        <v>51</v>
      </c>
      <c r="O2069">
        <v>2025</v>
      </c>
    </row>
    <row r="2070" spans="1:15" x14ac:dyDescent="0.3">
      <c r="A2070" t="s">
        <v>2155</v>
      </c>
      <c r="B2070" t="s">
        <v>65</v>
      </c>
      <c r="C2070" t="s">
        <v>54</v>
      </c>
      <c r="D2070" t="s">
        <v>70</v>
      </c>
      <c r="E2070" t="s">
        <v>56</v>
      </c>
      <c r="F2070" s="1">
        <v>45957</v>
      </c>
      <c r="G2070">
        <v>10</v>
      </c>
      <c r="H2070">
        <v>2964.81</v>
      </c>
      <c r="I2070">
        <v>5</v>
      </c>
      <c r="J2070" t="s">
        <v>31</v>
      </c>
      <c r="K2070">
        <v>1482.4</v>
      </c>
      <c r="L2070">
        <v>29648.1</v>
      </c>
      <c r="M2070">
        <v>28165.7</v>
      </c>
      <c r="N2070" t="s">
        <v>57</v>
      </c>
      <c r="O2070">
        <v>2025</v>
      </c>
    </row>
    <row r="2071" spans="1:15" x14ac:dyDescent="0.3">
      <c r="A2071" t="s">
        <v>2156</v>
      </c>
      <c r="B2071" t="s">
        <v>53</v>
      </c>
      <c r="C2071" t="s">
        <v>17</v>
      </c>
      <c r="D2071" t="s">
        <v>24</v>
      </c>
      <c r="E2071" t="s">
        <v>81</v>
      </c>
      <c r="F2071" s="1">
        <v>45421</v>
      </c>
      <c r="G2071">
        <v>4</v>
      </c>
      <c r="H2071">
        <v>3381</v>
      </c>
      <c r="I2071">
        <v>20</v>
      </c>
      <c r="J2071" t="s">
        <v>20</v>
      </c>
      <c r="K2071">
        <v>2704.8</v>
      </c>
      <c r="L2071">
        <v>13524</v>
      </c>
      <c r="M2071">
        <v>10819.2</v>
      </c>
      <c r="N2071" t="s">
        <v>101</v>
      </c>
      <c r="O2071">
        <v>2024</v>
      </c>
    </row>
    <row r="2072" spans="1:15" x14ac:dyDescent="0.3">
      <c r="A2072" t="s">
        <v>2157</v>
      </c>
      <c r="B2072" t="s">
        <v>114</v>
      </c>
      <c r="C2072" t="s">
        <v>54</v>
      </c>
      <c r="D2072" t="s">
        <v>77</v>
      </c>
      <c r="E2072" t="s">
        <v>25</v>
      </c>
      <c r="F2072" s="1">
        <v>45843</v>
      </c>
      <c r="G2072">
        <v>9</v>
      </c>
      <c r="H2072">
        <v>4604.46</v>
      </c>
      <c r="I2072">
        <v>20</v>
      </c>
      <c r="J2072" t="s">
        <v>20</v>
      </c>
      <c r="K2072">
        <v>8288.0300000000007</v>
      </c>
      <c r="L2072">
        <v>41440.14</v>
      </c>
      <c r="M2072">
        <v>33152.11</v>
      </c>
      <c r="N2072" t="s">
        <v>122</v>
      </c>
      <c r="O2072">
        <v>2025</v>
      </c>
    </row>
    <row r="2073" spans="1:15" x14ac:dyDescent="0.3">
      <c r="A2073" t="s">
        <v>2158</v>
      </c>
      <c r="B2073" t="s">
        <v>43</v>
      </c>
      <c r="C2073" t="s">
        <v>54</v>
      </c>
      <c r="D2073" t="s">
        <v>70</v>
      </c>
      <c r="E2073" t="s">
        <v>19</v>
      </c>
      <c r="F2073" s="1">
        <v>45854</v>
      </c>
      <c r="G2073">
        <v>3</v>
      </c>
      <c r="H2073">
        <v>2767.57</v>
      </c>
      <c r="I2073">
        <v>0</v>
      </c>
      <c r="J2073" t="s">
        <v>45</v>
      </c>
      <c r="K2073">
        <v>0</v>
      </c>
      <c r="L2073">
        <v>8302.7099999999991</v>
      </c>
      <c r="M2073">
        <v>8302.7099999999991</v>
      </c>
      <c r="N2073" t="s">
        <v>122</v>
      </c>
      <c r="O2073">
        <v>2025</v>
      </c>
    </row>
    <row r="2074" spans="1:15" x14ac:dyDescent="0.3">
      <c r="A2074" t="s">
        <v>2159</v>
      </c>
      <c r="B2074" t="s">
        <v>38</v>
      </c>
      <c r="C2074" t="s">
        <v>90</v>
      </c>
      <c r="D2074" t="s">
        <v>152</v>
      </c>
      <c r="E2074" t="s">
        <v>44</v>
      </c>
      <c r="F2074" s="1">
        <v>45435</v>
      </c>
      <c r="G2074">
        <v>4</v>
      </c>
      <c r="H2074">
        <v>10746.94</v>
      </c>
      <c r="I2074">
        <v>0</v>
      </c>
      <c r="J2074" t="s">
        <v>20</v>
      </c>
      <c r="K2074">
        <v>0</v>
      </c>
      <c r="L2074">
        <v>42987.76</v>
      </c>
      <c r="M2074">
        <v>42987.76</v>
      </c>
      <c r="N2074" t="s">
        <v>101</v>
      </c>
      <c r="O2074">
        <v>2024</v>
      </c>
    </row>
    <row r="2075" spans="1:15" x14ac:dyDescent="0.3">
      <c r="A2075" t="s">
        <v>2160</v>
      </c>
      <c r="B2075" t="s">
        <v>93</v>
      </c>
      <c r="C2075" t="s">
        <v>54</v>
      </c>
      <c r="D2075" t="s">
        <v>55</v>
      </c>
      <c r="E2075" t="s">
        <v>56</v>
      </c>
      <c r="F2075" s="1">
        <v>45724</v>
      </c>
      <c r="G2075">
        <v>9</v>
      </c>
      <c r="H2075">
        <v>1104.05</v>
      </c>
      <c r="I2075">
        <v>10</v>
      </c>
      <c r="J2075" t="s">
        <v>82</v>
      </c>
      <c r="K2075">
        <v>993.65</v>
      </c>
      <c r="L2075">
        <v>9936.4500000000007</v>
      </c>
      <c r="M2075">
        <v>8942.7999999999993</v>
      </c>
      <c r="N2075" t="s">
        <v>83</v>
      </c>
      <c r="O2075">
        <v>2025</v>
      </c>
    </row>
    <row r="2076" spans="1:15" x14ac:dyDescent="0.3">
      <c r="A2076" t="s">
        <v>2161</v>
      </c>
      <c r="B2076" t="s">
        <v>61</v>
      </c>
      <c r="C2076" t="s">
        <v>90</v>
      </c>
      <c r="D2076" t="s">
        <v>107</v>
      </c>
      <c r="E2076" t="s">
        <v>19</v>
      </c>
      <c r="F2076" s="1">
        <v>45322</v>
      </c>
      <c r="G2076">
        <v>1</v>
      </c>
      <c r="H2076">
        <v>13096.44</v>
      </c>
      <c r="I2076">
        <v>0</v>
      </c>
      <c r="J2076" t="s">
        <v>45</v>
      </c>
      <c r="K2076">
        <v>0</v>
      </c>
      <c r="L2076">
        <v>13096.44</v>
      </c>
      <c r="M2076">
        <v>13096.44</v>
      </c>
      <c r="N2076" t="s">
        <v>116</v>
      </c>
      <c r="O2076">
        <v>2024</v>
      </c>
    </row>
    <row r="2077" spans="1:15" x14ac:dyDescent="0.3">
      <c r="A2077" t="s">
        <v>2162</v>
      </c>
      <c r="B2077" t="s">
        <v>47</v>
      </c>
      <c r="C2077" t="s">
        <v>17</v>
      </c>
      <c r="D2077" t="s">
        <v>18</v>
      </c>
      <c r="E2077" t="s">
        <v>19</v>
      </c>
      <c r="F2077" s="1">
        <v>45944</v>
      </c>
      <c r="G2077">
        <v>10</v>
      </c>
      <c r="H2077">
        <v>65799</v>
      </c>
      <c r="I2077">
        <v>5</v>
      </c>
      <c r="J2077" t="s">
        <v>36</v>
      </c>
      <c r="K2077">
        <v>32899.5</v>
      </c>
      <c r="L2077">
        <v>657990</v>
      </c>
      <c r="M2077">
        <v>625090.5</v>
      </c>
      <c r="N2077" t="s">
        <v>57</v>
      </c>
      <c r="O2077">
        <v>2025</v>
      </c>
    </row>
    <row r="2078" spans="1:15" x14ac:dyDescent="0.3">
      <c r="A2078" t="s">
        <v>2163</v>
      </c>
      <c r="B2078" t="s">
        <v>89</v>
      </c>
      <c r="C2078" t="s">
        <v>90</v>
      </c>
      <c r="D2078" t="s">
        <v>105</v>
      </c>
      <c r="E2078" t="s">
        <v>44</v>
      </c>
      <c r="F2078" s="1">
        <v>45350</v>
      </c>
      <c r="G2078">
        <v>10</v>
      </c>
      <c r="H2078">
        <v>3172.61</v>
      </c>
      <c r="I2078">
        <v>5</v>
      </c>
      <c r="J2078" t="s">
        <v>45</v>
      </c>
      <c r="K2078">
        <v>1586.31</v>
      </c>
      <c r="L2078">
        <v>31726.1</v>
      </c>
      <c r="M2078">
        <v>30139.79</v>
      </c>
      <c r="N2078" t="s">
        <v>41</v>
      </c>
      <c r="O2078">
        <v>2024</v>
      </c>
    </row>
    <row r="2079" spans="1:15" x14ac:dyDescent="0.3">
      <c r="A2079" t="s">
        <v>2164</v>
      </c>
      <c r="B2079" t="s">
        <v>23</v>
      </c>
      <c r="C2079" t="s">
        <v>62</v>
      </c>
      <c r="D2079" t="s">
        <v>119</v>
      </c>
      <c r="E2079" t="s">
        <v>30</v>
      </c>
      <c r="F2079" s="1">
        <v>45808</v>
      </c>
      <c r="G2079">
        <v>5</v>
      </c>
      <c r="H2079">
        <v>3808.46</v>
      </c>
      <c r="I2079">
        <v>10</v>
      </c>
      <c r="J2079" t="s">
        <v>82</v>
      </c>
      <c r="K2079">
        <v>1904.23</v>
      </c>
      <c r="L2079">
        <v>19042.3</v>
      </c>
      <c r="M2079">
        <v>17138.07</v>
      </c>
      <c r="N2079" t="s">
        <v>101</v>
      </c>
      <c r="O2079">
        <v>2025</v>
      </c>
    </row>
    <row r="2080" spans="1:15" x14ac:dyDescent="0.3">
      <c r="A2080" t="s">
        <v>2165</v>
      </c>
      <c r="B2080" t="s">
        <v>65</v>
      </c>
      <c r="C2080" t="s">
        <v>34</v>
      </c>
      <c r="D2080" t="s">
        <v>80</v>
      </c>
      <c r="E2080" t="s">
        <v>44</v>
      </c>
      <c r="F2080" s="1">
        <v>45906</v>
      </c>
      <c r="G2080">
        <v>10</v>
      </c>
      <c r="H2080">
        <v>6210.02</v>
      </c>
      <c r="I2080">
        <v>10</v>
      </c>
      <c r="J2080" t="s">
        <v>36</v>
      </c>
      <c r="K2080">
        <v>6210.02</v>
      </c>
      <c r="L2080">
        <v>62100.2</v>
      </c>
      <c r="M2080">
        <v>55890.18</v>
      </c>
      <c r="N2080" t="s">
        <v>86</v>
      </c>
      <c r="O2080">
        <v>2025</v>
      </c>
    </row>
    <row r="2081" spans="1:15" x14ac:dyDescent="0.3">
      <c r="A2081" t="s">
        <v>2166</v>
      </c>
      <c r="B2081" t="s">
        <v>114</v>
      </c>
      <c r="C2081" t="s">
        <v>90</v>
      </c>
      <c r="D2081" t="s">
        <v>91</v>
      </c>
      <c r="E2081" t="s">
        <v>44</v>
      </c>
      <c r="F2081" s="1">
        <v>45446</v>
      </c>
      <c r="G2081">
        <v>3</v>
      </c>
      <c r="H2081">
        <v>1659.13</v>
      </c>
      <c r="I2081">
        <v>10</v>
      </c>
      <c r="J2081" t="s">
        <v>82</v>
      </c>
      <c r="K2081">
        <v>497.74</v>
      </c>
      <c r="L2081">
        <v>4977.3900000000003</v>
      </c>
      <c r="M2081">
        <v>4479.6499999999996</v>
      </c>
      <c r="N2081" t="s">
        <v>72</v>
      </c>
      <c r="O2081">
        <v>2024</v>
      </c>
    </row>
    <row r="2082" spans="1:15" x14ac:dyDescent="0.3">
      <c r="A2082" t="s">
        <v>2167</v>
      </c>
      <c r="B2082" t="s">
        <v>74</v>
      </c>
      <c r="C2082" t="s">
        <v>54</v>
      </c>
      <c r="D2082" t="s">
        <v>77</v>
      </c>
      <c r="E2082" t="s">
        <v>25</v>
      </c>
      <c r="F2082" s="1">
        <v>45680</v>
      </c>
      <c r="G2082">
        <v>8</v>
      </c>
      <c r="H2082">
        <v>4550.4799999999996</v>
      </c>
      <c r="I2082">
        <v>15</v>
      </c>
      <c r="J2082" t="s">
        <v>45</v>
      </c>
      <c r="K2082">
        <v>5460.58</v>
      </c>
      <c r="L2082">
        <v>36403.839999999997</v>
      </c>
      <c r="M2082">
        <v>30943.26</v>
      </c>
      <c r="N2082" t="s">
        <v>116</v>
      </c>
      <c r="O2082">
        <v>2025</v>
      </c>
    </row>
    <row r="2083" spans="1:15" x14ac:dyDescent="0.3">
      <c r="A2083" t="s">
        <v>2168</v>
      </c>
      <c r="B2083" t="s">
        <v>109</v>
      </c>
      <c r="C2083" t="s">
        <v>90</v>
      </c>
      <c r="D2083" t="s">
        <v>105</v>
      </c>
      <c r="E2083" t="s">
        <v>81</v>
      </c>
      <c r="F2083" s="1">
        <v>45294</v>
      </c>
      <c r="G2083">
        <v>5</v>
      </c>
      <c r="H2083">
        <v>3925.07</v>
      </c>
      <c r="I2083">
        <v>15</v>
      </c>
      <c r="J2083" t="s">
        <v>26</v>
      </c>
      <c r="K2083">
        <v>2943.8</v>
      </c>
      <c r="L2083">
        <v>19625.349999999999</v>
      </c>
      <c r="M2083">
        <v>16681.55</v>
      </c>
      <c r="N2083" t="s">
        <v>116</v>
      </c>
      <c r="O2083">
        <v>2024</v>
      </c>
    </row>
    <row r="2084" spans="1:15" x14ac:dyDescent="0.3">
      <c r="A2084" t="s">
        <v>2169</v>
      </c>
      <c r="B2084" t="s">
        <v>47</v>
      </c>
      <c r="C2084" t="s">
        <v>62</v>
      </c>
      <c r="D2084" t="s">
        <v>119</v>
      </c>
      <c r="E2084" t="s">
        <v>19</v>
      </c>
      <c r="F2084" s="1">
        <v>45834</v>
      </c>
      <c r="G2084">
        <v>3</v>
      </c>
      <c r="H2084">
        <v>3504.54</v>
      </c>
      <c r="I2084">
        <v>20</v>
      </c>
      <c r="J2084" t="s">
        <v>40</v>
      </c>
      <c r="K2084">
        <v>2102.7199999999998</v>
      </c>
      <c r="L2084">
        <v>10513.62</v>
      </c>
      <c r="M2084">
        <v>8410.9</v>
      </c>
      <c r="N2084" t="s">
        <v>72</v>
      </c>
      <c r="O2084">
        <v>2025</v>
      </c>
    </row>
    <row r="2085" spans="1:15" x14ac:dyDescent="0.3">
      <c r="A2085" t="s">
        <v>2170</v>
      </c>
      <c r="B2085" t="s">
        <v>23</v>
      </c>
      <c r="C2085" t="s">
        <v>17</v>
      </c>
      <c r="D2085" t="s">
        <v>59</v>
      </c>
      <c r="E2085" t="s">
        <v>50</v>
      </c>
      <c r="F2085" s="1">
        <v>45815</v>
      </c>
      <c r="G2085">
        <v>4</v>
      </c>
      <c r="H2085">
        <v>28691.67</v>
      </c>
      <c r="I2085">
        <v>10</v>
      </c>
      <c r="J2085" t="s">
        <v>40</v>
      </c>
      <c r="K2085">
        <v>11476.67</v>
      </c>
      <c r="L2085">
        <v>114766.68</v>
      </c>
      <c r="M2085">
        <v>103290.01</v>
      </c>
      <c r="N2085" t="s">
        <v>72</v>
      </c>
      <c r="O2085">
        <v>2025</v>
      </c>
    </row>
    <row r="2086" spans="1:15" x14ac:dyDescent="0.3">
      <c r="A2086" t="s">
        <v>2171</v>
      </c>
      <c r="B2086" t="s">
        <v>43</v>
      </c>
      <c r="C2086" t="s">
        <v>17</v>
      </c>
      <c r="D2086" t="s">
        <v>39</v>
      </c>
      <c r="E2086" t="s">
        <v>44</v>
      </c>
      <c r="F2086" s="1">
        <v>45882</v>
      </c>
      <c r="G2086">
        <v>7</v>
      </c>
      <c r="H2086">
        <v>19483.2</v>
      </c>
      <c r="I2086">
        <v>20</v>
      </c>
      <c r="J2086" t="s">
        <v>36</v>
      </c>
      <c r="K2086">
        <v>27276.48</v>
      </c>
      <c r="L2086">
        <v>136382.39999999999</v>
      </c>
      <c r="M2086">
        <v>109105.92</v>
      </c>
      <c r="N2086" t="s">
        <v>21</v>
      </c>
      <c r="O2086">
        <v>2025</v>
      </c>
    </row>
    <row r="2087" spans="1:15" x14ac:dyDescent="0.3">
      <c r="A2087" t="s">
        <v>2172</v>
      </c>
      <c r="B2087" t="s">
        <v>109</v>
      </c>
      <c r="C2087" t="s">
        <v>17</v>
      </c>
      <c r="D2087" t="s">
        <v>157</v>
      </c>
      <c r="E2087" t="s">
        <v>56</v>
      </c>
      <c r="F2087" s="1">
        <v>45538</v>
      </c>
      <c r="G2087">
        <v>7</v>
      </c>
      <c r="H2087">
        <v>7353.68</v>
      </c>
      <c r="I2087">
        <v>20</v>
      </c>
      <c r="J2087" t="s">
        <v>20</v>
      </c>
      <c r="K2087">
        <v>10295.15</v>
      </c>
      <c r="L2087">
        <v>51475.76</v>
      </c>
      <c r="M2087">
        <v>41180.61</v>
      </c>
      <c r="N2087" t="s">
        <v>86</v>
      </c>
      <c r="O2087">
        <v>2024</v>
      </c>
    </row>
    <row r="2088" spans="1:15" x14ac:dyDescent="0.3">
      <c r="A2088" t="s">
        <v>2173</v>
      </c>
      <c r="B2088" t="s">
        <v>93</v>
      </c>
      <c r="C2088" t="s">
        <v>54</v>
      </c>
      <c r="D2088" t="s">
        <v>68</v>
      </c>
      <c r="E2088" t="s">
        <v>19</v>
      </c>
      <c r="F2088" s="1">
        <v>45931</v>
      </c>
      <c r="G2088">
        <v>9</v>
      </c>
      <c r="H2088">
        <v>4683.6499999999996</v>
      </c>
      <c r="I2088">
        <v>0</v>
      </c>
      <c r="J2088" t="s">
        <v>26</v>
      </c>
      <c r="K2088">
        <v>0</v>
      </c>
      <c r="L2088">
        <v>42152.85</v>
      </c>
      <c r="M2088">
        <v>42152.85</v>
      </c>
      <c r="N2088" t="s">
        <v>57</v>
      </c>
      <c r="O2088">
        <v>2025</v>
      </c>
    </row>
    <row r="2089" spans="1:15" x14ac:dyDescent="0.3">
      <c r="A2089" t="s">
        <v>2174</v>
      </c>
      <c r="B2089" t="s">
        <v>74</v>
      </c>
      <c r="C2089" t="s">
        <v>17</v>
      </c>
      <c r="D2089" t="s">
        <v>39</v>
      </c>
      <c r="E2089" t="s">
        <v>25</v>
      </c>
      <c r="F2089" s="1">
        <v>45693</v>
      </c>
      <c r="G2089">
        <v>5</v>
      </c>
      <c r="H2089">
        <v>19957.04</v>
      </c>
      <c r="I2089">
        <v>0</v>
      </c>
      <c r="J2089" t="s">
        <v>82</v>
      </c>
      <c r="K2089">
        <v>0</v>
      </c>
      <c r="L2089">
        <v>99785.2</v>
      </c>
      <c r="M2089">
        <v>99785.2</v>
      </c>
      <c r="N2089" t="s">
        <v>41</v>
      </c>
      <c r="O2089">
        <v>2025</v>
      </c>
    </row>
    <row r="2090" spans="1:15" x14ac:dyDescent="0.3">
      <c r="A2090" t="s">
        <v>2175</v>
      </c>
      <c r="B2090" t="s">
        <v>16</v>
      </c>
      <c r="C2090" t="s">
        <v>54</v>
      </c>
      <c r="D2090" t="s">
        <v>77</v>
      </c>
      <c r="E2090" t="s">
        <v>25</v>
      </c>
      <c r="F2090" s="1">
        <v>45932</v>
      </c>
      <c r="G2090">
        <v>5</v>
      </c>
      <c r="H2090">
        <v>6272.96</v>
      </c>
      <c r="I2090">
        <v>5</v>
      </c>
      <c r="J2090" t="s">
        <v>40</v>
      </c>
      <c r="K2090">
        <v>1568.24</v>
      </c>
      <c r="L2090">
        <v>31364.799999999999</v>
      </c>
      <c r="M2090">
        <v>29796.560000000001</v>
      </c>
      <c r="N2090" t="s">
        <v>57</v>
      </c>
      <c r="O2090">
        <v>2025</v>
      </c>
    </row>
    <row r="2091" spans="1:15" x14ac:dyDescent="0.3">
      <c r="A2091" t="s">
        <v>2176</v>
      </c>
      <c r="B2091" t="s">
        <v>89</v>
      </c>
      <c r="C2091" t="s">
        <v>54</v>
      </c>
      <c r="D2091" t="s">
        <v>68</v>
      </c>
      <c r="E2091" t="s">
        <v>50</v>
      </c>
      <c r="F2091" s="1">
        <v>45679</v>
      </c>
      <c r="G2091">
        <v>4</v>
      </c>
      <c r="H2091">
        <v>4644.3599999999997</v>
      </c>
      <c r="I2091">
        <v>0</v>
      </c>
      <c r="J2091" t="s">
        <v>20</v>
      </c>
      <c r="K2091">
        <v>0</v>
      </c>
      <c r="L2091">
        <v>18577.439999999999</v>
      </c>
      <c r="M2091">
        <v>18577.439999999999</v>
      </c>
      <c r="N2091" t="s">
        <v>116</v>
      </c>
      <c r="O2091">
        <v>2025</v>
      </c>
    </row>
    <row r="2092" spans="1:15" x14ac:dyDescent="0.3">
      <c r="A2092" t="s">
        <v>2177</v>
      </c>
      <c r="B2092" t="s">
        <v>29</v>
      </c>
      <c r="C2092" t="s">
        <v>90</v>
      </c>
      <c r="D2092" t="s">
        <v>115</v>
      </c>
      <c r="E2092" t="s">
        <v>50</v>
      </c>
      <c r="F2092" s="1">
        <v>45436</v>
      </c>
      <c r="G2092">
        <v>7</v>
      </c>
      <c r="H2092">
        <v>8438.15</v>
      </c>
      <c r="I2092">
        <v>10</v>
      </c>
      <c r="J2092" t="s">
        <v>82</v>
      </c>
      <c r="K2092">
        <v>5906.71</v>
      </c>
      <c r="L2092">
        <v>59067.05</v>
      </c>
      <c r="M2092">
        <v>53160.34</v>
      </c>
      <c r="N2092" t="s">
        <v>101</v>
      </c>
      <c r="O2092">
        <v>2024</v>
      </c>
    </row>
    <row r="2093" spans="1:15" x14ac:dyDescent="0.3">
      <c r="A2093" t="s">
        <v>2178</v>
      </c>
      <c r="B2093" t="s">
        <v>93</v>
      </c>
      <c r="C2093" t="s">
        <v>34</v>
      </c>
      <c r="D2093" t="s">
        <v>66</v>
      </c>
      <c r="E2093" t="s">
        <v>30</v>
      </c>
      <c r="F2093" s="1">
        <v>45709</v>
      </c>
      <c r="G2093">
        <v>5</v>
      </c>
      <c r="H2093">
        <v>37585.93</v>
      </c>
      <c r="I2093">
        <v>5</v>
      </c>
      <c r="J2093" t="s">
        <v>40</v>
      </c>
      <c r="K2093">
        <v>9396.48</v>
      </c>
      <c r="L2093">
        <v>187929.65</v>
      </c>
      <c r="M2093">
        <v>178533.17</v>
      </c>
      <c r="N2093" t="s">
        <v>41</v>
      </c>
      <c r="O2093">
        <v>2025</v>
      </c>
    </row>
    <row r="2094" spans="1:15" x14ac:dyDescent="0.3">
      <c r="A2094" t="s">
        <v>2179</v>
      </c>
      <c r="B2094" t="s">
        <v>33</v>
      </c>
      <c r="C2094" t="s">
        <v>90</v>
      </c>
      <c r="D2094" t="s">
        <v>107</v>
      </c>
      <c r="E2094" t="s">
        <v>30</v>
      </c>
      <c r="F2094" s="1">
        <v>45511</v>
      </c>
      <c r="G2094">
        <v>2</v>
      </c>
      <c r="H2094">
        <v>11728.76</v>
      </c>
      <c r="I2094">
        <v>10</v>
      </c>
      <c r="J2094" t="s">
        <v>31</v>
      </c>
      <c r="K2094">
        <v>2345.75</v>
      </c>
      <c r="L2094">
        <v>23457.52</v>
      </c>
      <c r="M2094">
        <v>21111.77</v>
      </c>
      <c r="N2094" t="s">
        <v>21</v>
      </c>
      <c r="O2094">
        <v>2024</v>
      </c>
    </row>
    <row r="2095" spans="1:15" x14ac:dyDescent="0.3">
      <c r="A2095" t="s">
        <v>2180</v>
      </c>
      <c r="B2095" t="s">
        <v>38</v>
      </c>
      <c r="C2095" t="s">
        <v>17</v>
      </c>
      <c r="D2095" t="s">
        <v>157</v>
      </c>
      <c r="E2095" t="s">
        <v>25</v>
      </c>
      <c r="F2095" s="1">
        <v>45590</v>
      </c>
      <c r="G2095">
        <v>7</v>
      </c>
      <c r="H2095">
        <v>7231.59</v>
      </c>
      <c r="I2095">
        <v>10</v>
      </c>
      <c r="J2095" t="s">
        <v>31</v>
      </c>
      <c r="K2095">
        <v>5062.1099999999997</v>
      </c>
      <c r="L2095">
        <v>50621.13</v>
      </c>
      <c r="M2095">
        <v>45559.02</v>
      </c>
      <c r="N2095" t="s">
        <v>57</v>
      </c>
      <c r="O2095">
        <v>2024</v>
      </c>
    </row>
    <row r="2096" spans="1:15" x14ac:dyDescent="0.3">
      <c r="A2096" t="s">
        <v>2181</v>
      </c>
      <c r="B2096" t="s">
        <v>53</v>
      </c>
      <c r="C2096" t="s">
        <v>62</v>
      </c>
      <c r="D2096" t="s">
        <v>95</v>
      </c>
      <c r="E2096" t="s">
        <v>56</v>
      </c>
      <c r="F2096" s="1">
        <v>45983</v>
      </c>
      <c r="G2096">
        <v>6</v>
      </c>
      <c r="H2096">
        <v>866.78</v>
      </c>
      <c r="I2096">
        <v>5</v>
      </c>
      <c r="J2096" t="s">
        <v>20</v>
      </c>
      <c r="K2096">
        <v>260.02999999999997</v>
      </c>
      <c r="L2096">
        <v>5200.68</v>
      </c>
      <c r="M2096">
        <v>4940.6499999999996</v>
      </c>
      <c r="N2096" t="s">
        <v>96</v>
      </c>
      <c r="O2096">
        <v>2025</v>
      </c>
    </row>
    <row r="2097" spans="1:15" x14ac:dyDescent="0.3">
      <c r="A2097" t="s">
        <v>2182</v>
      </c>
      <c r="B2097" t="s">
        <v>38</v>
      </c>
      <c r="C2097" t="s">
        <v>62</v>
      </c>
      <c r="D2097" t="s">
        <v>63</v>
      </c>
      <c r="E2097" t="s">
        <v>30</v>
      </c>
      <c r="F2097" s="1">
        <v>45976</v>
      </c>
      <c r="G2097">
        <v>2</v>
      </c>
      <c r="H2097">
        <v>2014.57</v>
      </c>
      <c r="I2097">
        <v>10</v>
      </c>
      <c r="J2097" t="s">
        <v>26</v>
      </c>
      <c r="K2097">
        <v>402.91</v>
      </c>
      <c r="L2097">
        <v>4029.14</v>
      </c>
      <c r="M2097">
        <v>3626.23</v>
      </c>
      <c r="N2097" t="s">
        <v>96</v>
      </c>
      <c r="O2097">
        <v>2025</v>
      </c>
    </row>
    <row r="2098" spans="1:15" x14ac:dyDescent="0.3">
      <c r="A2098" t="s">
        <v>2183</v>
      </c>
      <c r="B2098" t="s">
        <v>38</v>
      </c>
      <c r="C2098" t="s">
        <v>90</v>
      </c>
      <c r="D2098" t="s">
        <v>115</v>
      </c>
      <c r="E2098" t="s">
        <v>19</v>
      </c>
      <c r="F2098" s="1">
        <v>45523</v>
      </c>
      <c r="G2098">
        <v>2</v>
      </c>
      <c r="H2098">
        <v>7936.74</v>
      </c>
      <c r="I2098">
        <v>20</v>
      </c>
      <c r="J2098" t="s">
        <v>26</v>
      </c>
      <c r="K2098">
        <v>3174.7</v>
      </c>
      <c r="L2098">
        <v>15873.48</v>
      </c>
      <c r="M2098">
        <v>12698.78</v>
      </c>
      <c r="N2098" t="s">
        <v>21</v>
      </c>
      <c r="O2098">
        <v>2024</v>
      </c>
    </row>
    <row r="2099" spans="1:15" x14ac:dyDescent="0.3">
      <c r="A2099" t="s">
        <v>2184</v>
      </c>
      <c r="B2099" t="s">
        <v>53</v>
      </c>
      <c r="C2099" t="s">
        <v>54</v>
      </c>
      <c r="D2099" t="s">
        <v>77</v>
      </c>
      <c r="E2099" t="s">
        <v>44</v>
      </c>
      <c r="F2099" s="1">
        <v>45631</v>
      </c>
      <c r="G2099">
        <v>3</v>
      </c>
      <c r="H2099">
        <v>5590.31</v>
      </c>
      <c r="I2099">
        <v>0</v>
      </c>
      <c r="J2099" t="s">
        <v>40</v>
      </c>
      <c r="K2099">
        <v>0</v>
      </c>
      <c r="L2099">
        <v>16770.93</v>
      </c>
      <c r="M2099">
        <v>16770.93</v>
      </c>
      <c r="N2099" t="s">
        <v>51</v>
      </c>
      <c r="O2099">
        <v>2024</v>
      </c>
    </row>
    <row r="2100" spans="1:15" x14ac:dyDescent="0.3">
      <c r="A2100" t="s">
        <v>2185</v>
      </c>
      <c r="B2100" t="s">
        <v>43</v>
      </c>
      <c r="C2100" t="s">
        <v>62</v>
      </c>
      <c r="D2100" t="s">
        <v>95</v>
      </c>
      <c r="E2100" t="s">
        <v>30</v>
      </c>
      <c r="F2100" s="1">
        <v>45590</v>
      </c>
      <c r="G2100">
        <v>4</v>
      </c>
      <c r="H2100">
        <v>837.02</v>
      </c>
      <c r="I2100">
        <v>5</v>
      </c>
      <c r="J2100" t="s">
        <v>26</v>
      </c>
      <c r="K2100">
        <v>167.4</v>
      </c>
      <c r="L2100">
        <v>3348.08</v>
      </c>
      <c r="M2100">
        <v>3180.68</v>
      </c>
      <c r="N2100" t="s">
        <v>57</v>
      </c>
      <c r="O2100">
        <v>2024</v>
      </c>
    </row>
    <row r="2101" spans="1:15" x14ac:dyDescent="0.3">
      <c r="A2101" t="s">
        <v>2186</v>
      </c>
      <c r="B2101" t="s">
        <v>29</v>
      </c>
      <c r="C2101" t="s">
        <v>34</v>
      </c>
      <c r="D2101" t="s">
        <v>48</v>
      </c>
      <c r="E2101" t="s">
        <v>44</v>
      </c>
      <c r="F2101" s="1">
        <v>45893</v>
      </c>
      <c r="G2101">
        <v>6</v>
      </c>
      <c r="H2101">
        <v>8966.9599999999991</v>
      </c>
      <c r="I2101">
        <v>0</v>
      </c>
      <c r="J2101" t="s">
        <v>40</v>
      </c>
      <c r="K2101">
        <v>0</v>
      </c>
      <c r="L2101">
        <v>53801.760000000002</v>
      </c>
      <c r="M2101">
        <v>53801.760000000002</v>
      </c>
      <c r="N2101" t="s">
        <v>21</v>
      </c>
      <c r="O2101">
        <v>2025</v>
      </c>
    </row>
    <row r="2102" spans="1:15" x14ac:dyDescent="0.3">
      <c r="A2102" t="s">
        <v>2187</v>
      </c>
      <c r="B2102" t="s">
        <v>74</v>
      </c>
      <c r="C2102" t="s">
        <v>90</v>
      </c>
      <c r="D2102" t="s">
        <v>107</v>
      </c>
      <c r="E2102" t="s">
        <v>50</v>
      </c>
      <c r="F2102" s="1">
        <v>45384</v>
      </c>
      <c r="G2102">
        <v>2</v>
      </c>
      <c r="H2102">
        <v>12933.92</v>
      </c>
      <c r="I2102">
        <v>15</v>
      </c>
      <c r="J2102" t="s">
        <v>82</v>
      </c>
      <c r="K2102">
        <v>3880.18</v>
      </c>
      <c r="L2102">
        <v>25867.84</v>
      </c>
      <c r="M2102">
        <v>21987.66</v>
      </c>
      <c r="N2102" t="s">
        <v>27</v>
      </c>
      <c r="O2102">
        <v>2024</v>
      </c>
    </row>
    <row r="2103" spans="1:15" x14ac:dyDescent="0.3">
      <c r="A2103" t="s">
        <v>2188</v>
      </c>
      <c r="B2103" t="s">
        <v>16</v>
      </c>
      <c r="C2103" t="s">
        <v>54</v>
      </c>
      <c r="D2103" t="s">
        <v>68</v>
      </c>
      <c r="E2103" t="s">
        <v>44</v>
      </c>
      <c r="F2103" s="1">
        <v>45849</v>
      </c>
      <c r="G2103">
        <v>1</v>
      </c>
      <c r="H2103">
        <v>4732.26</v>
      </c>
      <c r="I2103">
        <v>5</v>
      </c>
      <c r="J2103" t="s">
        <v>82</v>
      </c>
      <c r="K2103">
        <v>236.61</v>
      </c>
      <c r="L2103">
        <v>4732.26</v>
      </c>
      <c r="M2103">
        <v>4495.6499999999996</v>
      </c>
      <c r="N2103" t="s">
        <v>122</v>
      </c>
      <c r="O2103">
        <v>2025</v>
      </c>
    </row>
    <row r="2104" spans="1:15" x14ac:dyDescent="0.3">
      <c r="A2104" t="s">
        <v>2189</v>
      </c>
      <c r="B2104" t="s">
        <v>47</v>
      </c>
      <c r="C2104" t="s">
        <v>34</v>
      </c>
      <c r="D2104" t="s">
        <v>66</v>
      </c>
      <c r="E2104" t="s">
        <v>30</v>
      </c>
      <c r="F2104" s="1">
        <v>45796</v>
      </c>
      <c r="G2104">
        <v>4</v>
      </c>
      <c r="H2104">
        <v>37347.07</v>
      </c>
      <c r="I2104">
        <v>10</v>
      </c>
      <c r="J2104" t="s">
        <v>20</v>
      </c>
      <c r="K2104">
        <v>14938.83</v>
      </c>
      <c r="L2104">
        <v>149388.28</v>
      </c>
      <c r="M2104">
        <v>134449.45000000001</v>
      </c>
      <c r="N2104" t="s">
        <v>101</v>
      </c>
      <c r="O2104">
        <v>2025</v>
      </c>
    </row>
    <row r="2105" spans="1:15" x14ac:dyDescent="0.3">
      <c r="A2105" t="s">
        <v>2190</v>
      </c>
      <c r="B2105" t="s">
        <v>114</v>
      </c>
      <c r="C2105" t="s">
        <v>34</v>
      </c>
      <c r="D2105" t="s">
        <v>80</v>
      </c>
      <c r="E2105" t="s">
        <v>56</v>
      </c>
      <c r="F2105" s="1">
        <v>45370</v>
      </c>
      <c r="G2105">
        <v>2</v>
      </c>
      <c r="H2105">
        <v>6777.2</v>
      </c>
      <c r="I2105">
        <v>20</v>
      </c>
      <c r="J2105" t="s">
        <v>26</v>
      </c>
      <c r="K2105">
        <v>2710.88</v>
      </c>
      <c r="L2105">
        <v>13554.4</v>
      </c>
      <c r="M2105">
        <v>10843.52</v>
      </c>
      <c r="N2105" t="s">
        <v>83</v>
      </c>
      <c r="O2105">
        <v>2024</v>
      </c>
    </row>
    <row r="2106" spans="1:15" x14ac:dyDescent="0.3">
      <c r="A2106" t="s">
        <v>2191</v>
      </c>
      <c r="B2106" t="s">
        <v>74</v>
      </c>
      <c r="C2106" t="s">
        <v>54</v>
      </c>
      <c r="D2106" t="s">
        <v>68</v>
      </c>
      <c r="E2106" t="s">
        <v>19</v>
      </c>
      <c r="F2106" s="1">
        <v>45389</v>
      </c>
      <c r="G2106">
        <v>8</v>
      </c>
      <c r="H2106">
        <v>5130.83</v>
      </c>
      <c r="I2106">
        <v>15</v>
      </c>
      <c r="J2106" t="s">
        <v>31</v>
      </c>
      <c r="K2106">
        <v>6157</v>
      </c>
      <c r="L2106">
        <v>41046.639999999999</v>
      </c>
      <c r="M2106">
        <v>34889.64</v>
      </c>
      <c r="N2106" t="s">
        <v>27</v>
      </c>
      <c r="O2106">
        <v>2024</v>
      </c>
    </row>
    <row r="2107" spans="1:15" x14ac:dyDescent="0.3">
      <c r="A2107" t="s">
        <v>2192</v>
      </c>
      <c r="B2107" t="s">
        <v>114</v>
      </c>
      <c r="C2107" t="s">
        <v>54</v>
      </c>
      <c r="D2107" t="s">
        <v>77</v>
      </c>
      <c r="E2107" t="s">
        <v>25</v>
      </c>
      <c r="F2107" s="1">
        <v>45481</v>
      </c>
      <c r="G2107">
        <v>4</v>
      </c>
      <c r="H2107">
        <v>5525.44</v>
      </c>
      <c r="I2107">
        <v>0</v>
      </c>
      <c r="J2107" t="s">
        <v>26</v>
      </c>
      <c r="K2107">
        <v>0</v>
      </c>
      <c r="L2107">
        <v>22101.759999999998</v>
      </c>
      <c r="M2107">
        <v>22101.759999999998</v>
      </c>
      <c r="N2107" t="s">
        <v>122</v>
      </c>
      <c r="O2107">
        <v>2024</v>
      </c>
    </row>
    <row r="2108" spans="1:15" x14ac:dyDescent="0.3">
      <c r="A2108" t="s">
        <v>2193</v>
      </c>
      <c r="B2108" t="s">
        <v>33</v>
      </c>
      <c r="C2108" t="s">
        <v>54</v>
      </c>
      <c r="D2108" t="s">
        <v>70</v>
      </c>
      <c r="E2108" t="s">
        <v>44</v>
      </c>
      <c r="F2108" s="1">
        <v>45406</v>
      </c>
      <c r="G2108">
        <v>9</v>
      </c>
      <c r="H2108">
        <v>2329.94</v>
      </c>
      <c r="I2108">
        <v>20</v>
      </c>
      <c r="J2108" t="s">
        <v>31</v>
      </c>
      <c r="K2108">
        <v>4193.8900000000003</v>
      </c>
      <c r="L2108">
        <v>20969.46</v>
      </c>
      <c r="M2108">
        <v>16775.57</v>
      </c>
      <c r="N2108" t="s">
        <v>27</v>
      </c>
      <c r="O2108">
        <v>2024</v>
      </c>
    </row>
    <row r="2109" spans="1:15" x14ac:dyDescent="0.3">
      <c r="A2109" t="s">
        <v>2194</v>
      </c>
      <c r="B2109" t="s">
        <v>29</v>
      </c>
      <c r="C2109" t="s">
        <v>54</v>
      </c>
      <c r="D2109" t="s">
        <v>70</v>
      </c>
      <c r="E2109" t="s">
        <v>30</v>
      </c>
      <c r="F2109" s="1">
        <v>45633</v>
      </c>
      <c r="G2109">
        <v>8</v>
      </c>
      <c r="H2109">
        <v>2912.82</v>
      </c>
      <c r="I2109">
        <v>15</v>
      </c>
      <c r="J2109" t="s">
        <v>31</v>
      </c>
      <c r="K2109">
        <v>3495.38</v>
      </c>
      <c r="L2109">
        <v>23302.560000000001</v>
      </c>
      <c r="M2109">
        <v>19807.18</v>
      </c>
      <c r="N2109" t="s">
        <v>51</v>
      </c>
      <c r="O2109">
        <v>2024</v>
      </c>
    </row>
    <row r="2110" spans="1:15" x14ac:dyDescent="0.3">
      <c r="A2110" t="s">
        <v>2195</v>
      </c>
      <c r="B2110" t="s">
        <v>38</v>
      </c>
      <c r="C2110" t="s">
        <v>62</v>
      </c>
      <c r="D2110" t="s">
        <v>119</v>
      </c>
      <c r="E2110" t="s">
        <v>81</v>
      </c>
      <c r="F2110" s="1">
        <v>45717</v>
      </c>
      <c r="G2110">
        <v>1</v>
      </c>
      <c r="H2110">
        <v>3922</v>
      </c>
      <c r="I2110">
        <v>5</v>
      </c>
      <c r="J2110" t="s">
        <v>82</v>
      </c>
      <c r="K2110">
        <v>196.1</v>
      </c>
      <c r="L2110">
        <v>3922</v>
      </c>
      <c r="M2110">
        <v>3725.9</v>
      </c>
      <c r="N2110" t="s">
        <v>83</v>
      </c>
      <c r="O2110">
        <v>2025</v>
      </c>
    </row>
    <row r="2111" spans="1:15" x14ac:dyDescent="0.3">
      <c r="A2111" t="s">
        <v>2196</v>
      </c>
      <c r="B2111" t="s">
        <v>93</v>
      </c>
      <c r="C2111" t="s">
        <v>90</v>
      </c>
      <c r="D2111" t="s">
        <v>115</v>
      </c>
      <c r="E2111" t="s">
        <v>44</v>
      </c>
      <c r="F2111" s="1">
        <v>45429</v>
      </c>
      <c r="G2111">
        <v>1</v>
      </c>
      <c r="H2111">
        <v>7352.5</v>
      </c>
      <c r="I2111">
        <v>20</v>
      </c>
      <c r="J2111" t="s">
        <v>45</v>
      </c>
      <c r="K2111">
        <v>1470.5</v>
      </c>
      <c r="L2111">
        <v>7352.5</v>
      </c>
      <c r="M2111">
        <v>5882</v>
      </c>
      <c r="N2111" t="s">
        <v>101</v>
      </c>
      <c r="O2111">
        <v>2024</v>
      </c>
    </row>
    <row r="2112" spans="1:15" x14ac:dyDescent="0.3">
      <c r="A2112" t="s">
        <v>2197</v>
      </c>
      <c r="B2112" t="s">
        <v>38</v>
      </c>
      <c r="C2112" t="s">
        <v>17</v>
      </c>
      <c r="D2112" t="s">
        <v>18</v>
      </c>
      <c r="E2112" t="s">
        <v>81</v>
      </c>
      <c r="F2112" s="1">
        <v>45403</v>
      </c>
      <c r="G2112">
        <v>9</v>
      </c>
      <c r="H2112">
        <v>63248.959999999999</v>
      </c>
      <c r="I2112">
        <v>5</v>
      </c>
      <c r="J2112" t="s">
        <v>40</v>
      </c>
      <c r="K2112">
        <v>28462.03</v>
      </c>
      <c r="L2112">
        <v>569240.64</v>
      </c>
      <c r="M2112">
        <v>540778.61</v>
      </c>
      <c r="N2112" t="s">
        <v>27</v>
      </c>
      <c r="O2112">
        <v>2024</v>
      </c>
    </row>
    <row r="2113" spans="1:15" x14ac:dyDescent="0.3">
      <c r="A2113" t="s">
        <v>2198</v>
      </c>
      <c r="B2113" t="s">
        <v>89</v>
      </c>
      <c r="C2113" t="s">
        <v>90</v>
      </c>
      <c r="D2113" t="s">
        <v>91</v>
      </c>
      <c r="E2113" t="s">
        <v>19</v>
      </c>
      <c r="F2113" s="1">
        <v>45892</v>
      </c>
      <c r="G2113">
        <v>3</v>
      </c>
      <c r="H2113">
        <v>1633.7</v>
      </c>
      <c r="I2113">
        <v>15</v>
      </c>
      <c r="J2113" t="s">
        <v>26</v>
      </c>
      <c r="K2113">
        <v>735.17</v>
      </c>
      <c r="L2113">
        <v>4901.1000000000004</v>
      </c>
      <c r="M2113">
        <v>4165.93</v>
      </c>
      <c r="N2113" t="s">
        <v>21</v>
      </c>
      <c r="O2113">
        <v>2025</v>
      </c>
    </row>
    <row r="2114" spans="1:15" x14ac:dyDescent="0.3">
      <c r="A2114" t="s">
        <v>2199</v>
      </c>
      <c r="B2114" t="s">
        <v>38</v>
      </c>
      <c r="C2114" t="s">
        <v>34</v>
      </c>
      <c r="D2114" t="s">
        <v>85</v>
      </c>
      <c r="E2114" t="s">
        <v>30</v>
      </c>
      <c r="F2114" s="1">
        <v>45512</v>
      </c>
      <c r="G2114">
        <v>10</v>
      </c>
      <c r="H2114">
        <v>12605.89</v>
      </c>
      <c r="I2114">
        <v>5</v>
      </c>
      <c r="J2114" t="s">
        <v>36</v>
      </c>
      <c r="K2114">
        <v>6302.94</v>
      </c>
      <c r="L2114">
        <v>126058.9</v>
      </c>
      <c r="M2114">
        <v>119755.96</v>
      </c>
      <c r="N2114" t="s">
        <v>21</v>
      </c>
      <c r="O2114">
        <v>2024</v>
      </c>
    </row>
    <row r="2115" spans="1:15" x14ac:dyDescent="0.3">
      <c r="A2115" t="s">
        <v>2200</v>
      </c>
      <c r="B2115" t="s">
        <v>89</v>
      </c>
      <c r="C2115" t="s">
        <v>17</v>
      </c>
      <c r="D2115" t="s">
        <v>59</v>
      </c>
      <c r="E2115" t="s">
        <v>19</v>
      </c>
      <c r="F2115" s="1">
        <v>45637</v>
      </c>
      <c r="G2115">
        <v>7</v>
      </c>
      <c r="H2115">
        <v>25277.62</v>
      </c>
      <c r="I2115">
        <v>10</v>
      </c>
      <c r="J2115" t="s">
        <v>45</v>
      </c>
      <c r="K2115">
        <v>17694.330000000002</v>
      </c>
      <c r="L2115">
        <v>176943.34</v>
      </c>
      <c r="M2115">
        <v>159249.01</v>
      </c>
      <c r="N2115" t="s">
        <v>51</v>
      </c>
      <c r="O2115">
        <v>2024</v>
      </c>
    </row>
    <row r="2116" spans="1:15" x14ac:dyDescent="0.3">
      <c r="A2116" t="s">
        <v>2201</v>
      </c>
      <c r="B2116" t="s">
        <v>53</v>
      </c>
      <c r="C2116" t="s">
        <v>17</v>
      </c>
      <c r="D2116" t="s">
        <v>39</v>
      </c>
      <c r="E2116" t="s">
        <v>81</v>
      </c>
      <c r="F2116" s="1">
        <v>45335</v>
      </c>
      <c r="G2116">
        <v>6</v>
      </c>
      <c r="H2116">
        <v>19037.150000000001</v>
      </c>
      <c r="I2116">
        <v>10</v>
      </c>
      <c r="J2116" t="s">
        <v>31</v>
      </c>
      <c r="K2116">
        <v>11422.29</v>
      </c>
      <c r="L2116">
        <v>114222.9</v>
      </c>
      <c r="M2116">
        <v>102800.61</v>
      </c>
      <c r="N2116" t="s">
        <v>41</v>
      </c>
      <c r="O2116">
        <v>2024</v>
      </c>
    </row>
    <row r="2117" spans="1:15" x14ac:dyDescent="0.3">
      <c r="A2117" t="s">
        <v>2202</v>
      </c>
      <c r="B2117" t="s">
        <v>114</v>
      </c>
      <c r="C2117" t="s">
        <v>34</v>
      </c>
      <c r="D2117" t="s">
        <v>35</v>
      </c>
      <c r="E2117" t="s">
        <v>56</v>
      </c>
      <c r="F2117" s="1">
        <v>45737</v>
      </c>
      <c r="G2117">
        <v>1</v>
      </c>
      <c r="H2117">
        <v>25745.87</v>
      </c>
      <c r="I2117">
        <v>0</v>
      </c>
      <c r="J2117" t="s">
        <v>31</v>
      </c>
      <c r="K2117">
        <v>0</v>
      </c>
      <c r="L2117">
        <v>25745.87</v>
      </c>
      <c r="M2117">
        <v>25745.87</v>
      </c>
      <c r="N2117" t="s">
        <v>83</v>
      </c>
      <c r="O2117">
        <v>2025</v>
      </c>
    </row>
    <row r="2118" spans="1:15" x14ac:dyDescent="0.3">
      <c r="A2118" t="s">
        <v>2203</v>
      </c>
      <c r="B2118" t="s">
        <v>23</v>
      </c>
      <c r="C2118" t="s">
        <v>17</v>
      </c>
      <c r="D2118" t="s">
        <v>59</v>
      </c>
      <c r="E2118" t="s">
        <v>44</v>
      </c>
      <c r="F2118" s="1">
        <v>45335</v>
      </c>
      <c r="G2118">
        <v>4</v>
      </c>
      <c r="H2118">
        <v>27967.68</v>
      </c>
      <c r="I2118">
        <v>0</v>
      </c>
      <c r="J2118" t="s">
        <v>26</v>
      </c>
      <c r="K2118">
        <v>0</v>
      </c>
      <c r="L2118">
        <v>111870.72</v>
      </c>
      <c r="M2118">
        <v>111870.72</v>
      </c>
      <c r="N2118" t="s">
        <v>41</v>
      </c>
      <c r="O2118">
        <v>2024</v>
      </c>
    </row>
    <row r="2119" spans="1:15" x14ac:dyDescent="0.3">
      <c r="A2119" t="s">
        <v>2204</v>
      </c>
      <c r="B2119" t="s">
        <v>33</v>
      </c>
      <c r="C2119" t="s">
        <v>54</v>
      </c>
      <c r="D2119" t="s">
        <v>55</v>
      </c>
      <c r="E2119" t="s">
        <v>56</v>
      </c>
      <c r="F2119" s="1">
        <v>45914</v>
      </c>
      <c r="G2119">
        <v>2</v>
      </c>
      <c r="H2119">
        <v>1325.45</v>
      </c>
      <c r="I2119">
        <v>0</v>
      </c>
      <c r="J2119" t="s">
        <v>31</v>
      </c>
      <c r="K2119">
        <v>0</v>
      </c>
      <c r="L2119">
        <v>2650.9</v>
      </c>
      <c r="M2119">
        <v>2650.9</v>
      </c>
      <c r="N2119" t="s">
        <v>86</v>
      </c>
      <c r="O2119">
        <v>2025</v>
      </c>
    </row>
    <row r="2120" spans="1:15" x14ac:dyDescent="0.3">
      <c r="A2120" t="s">
        <v>2205</v>
      </c>
      <c r="B2120" t="s">
        <v>61</v>
      </c>
      <c r="C2120" t="s">
        <v>90</v>
      </c>
      <c r="D2120" t="s">
        <v>107</v>
      </c>
      <c r="E2120" t="s">
        <v>56</v>
      </c>
      <c r="F2120" s="1">
        <v>45620</v>
      </c>
      <c r="G2120">
        <v>4</v>
      </c>
      <c r="H2120">
        <v>12209.82</v>
      </c>
      <c r="I2120">
        <v>5</v>
      </c>
      <c r="J2120" t="s">
        <v>82</v>
      </c>
      <c r="K2120">
        <v>2441.96</v>
      </c>
      <c r="L2120">
        <v>48839.28</v>
      </c>
      <c r="M2120">
        <v>46397.32</v>
      </c>
      <c r="N2120" t="s">
        <v>96</v>
      </c>
      <c r="O2120">
        <v>2024</v>
      </c>
    </row>
    <row r="2121" spans="1:15" x14ac:dyDescent="0.3">
      <c r="A2121" t="s">
        <v>2206</v>
      </c>
      <c r="B2121" t="s">
        <v>114</v>
      </c>
      <c r="C2121" t="s">
        <v>34</v>
      </c>
      <c r="D2121" t="s">
        <v>48</v>
      </c>
      <c r="E2121" t="s">
        <v>19</v>
      </c>
      <c r="F2121" s="1">
        <v>45345</v>
      </c>
      <c r="G2121">
        <v>7</v>
      </c>
      <c r="H2121">
        <v>8218.15</v>
      </c>
      <c r="I2121">
        <v>5</v>
      </c>
      <c r="J2121" t="s">
        <v>45</v>
      </c>
      <c r="K2121">
        <v>2876.35</v>
      </c>
      <c r="L2121">
        <v>57527.05</v>
      </c>
      <c r="M2121">
        <v>54650.7</v>
      </c>
      <c r="N2121" t="s">
        <v>41</v>
      </c>
      <c r="O2121">
        <v>2024</v>
      </c>
    </row>
    <row r="2122" spans="1:15" x14ac:dyDescent="0.3">
      <c r="A2122" t="s">
        <v>2207</v>
      </c>
      <c r="B2122" t="s">
        <v>47</v>
      </c>
      <c r="C2122" t="s">
        <v>90</v>
      </c>
      <c r="D2122" t="s">
        <v>91</v>
      </c>
      <c r="E2122" t="s">
        <v>56</v>
      </c>
      <c r="F2122" s="1">
        <v>45726</v>
      </c>
      <c r="G2122">
        <v>9</v>
      </c>
      <c r="H2122">
        <v>1591.56</v>
      </c>
      <c r="I2122">
        <v>5</v>
      </c>
      <c r="J2122" t="s">
        <v>71</v>
      </c>
      <c r="K2122">
        <v>716.2</v>
      </c>
      <c r="L2122">
        <v>14324.04</v>
      </c>
      <c r="M2122">
        <v>13607.84</v>
      </c>
      <c r="N2122" t="s">
        <v>83</v>
      </c>
      <c r="O2122">
        <v>2025</v>
      </c>
    </row>
    <row r="2123" spans="1:15" x14ac:dyDescent="0.3">
      <c r="A2123" t="s">
        <v>2208</v>
      </c>
      <c r="B2123" t="s">
        <v>65</v>
      </c>
      <c r="C2123" t="s">
        <v>54</v>
      </c>
      <c r="D2123" t="s">
        <v>55</v>
      </c>
      <c r="E2123" t="s">
        <v>44</v>
      </c>
      <c r="F2123" s="1">
        <v>45589</v>
      </c>
      <c r="G2123">
        <v>1</v>
      </c>
      <c r="H2123">
        <v>1226.22</v>
      </c>
      <c r="I2123">
        <v>10</v>
      </c>
      <c r="J2123" t="s">
        <v>40</v>
      </c>
      <c r="K2123">
        <v>122.62</v>
      </c>
      <c r="L2123">
        <v>1226.22</v>
      </c>
      <c r="M2123">
        <v>1103.5999999999999</v>
      </c>
      <c r="N2123" t="s">
        <v>57</v>
      </c>
      <c r="O2123">
        <v>2024</v>
      </c>
    </row>
    <row r="2124" spans="1:15" x14ac:dyDescent="0.3">
      <c r="A2124" t="s">
        <v>2209</v>
      </c>
      <c r="B2124" t="s">
        <v>74</v>
      </c>
      <c r="C2124" t="s">
        <v>54</v>
      </c>
      <c r="D2124" t="s">
        <v>70</v>
      </c>
      <c r="E2124" t="s">
        <v>81</v>
      </c>
      <c r="F2124" s="1">
        <v>45490</v>
      </c>
      <c r="G2124">
        <v>6</v>
      </c>
      <c r="H2124">
        <v>2436.5300000000002</v>
      </c>
      <c r="I2124">
        <v>15</v>
      </c>
      <c r="J2124" t="s">
        <v>71</v>
      </c>
      <c r="K2124">
        <v>2192.88</v>
      </c>
      <c r="L2124">
        <v>14619.18</v>
      </c>
      <c r="M2124">
        <v>12426.3</v>
      </c>
      <c r="N2124" t="s">
        <v>122</v>
      </c>
      <c r="O2124">
        <v>2024</v>
      </c>
    </row>
    <row r="2125" spans="1:15" x14ac:dyDescent="0.3">
      <c r="A2125" t="s">
        <v>2210</v>
      </c>
      <c r="B2125" t="s">
        <v>53</v>
      </c>
      <c r="C2125" t="s">
        <v>54</v>
      </c>
      <c r="D2125" t="s">
        <v>77</v>
      </c>
      <c r="E2125" t="s">
        <v>56</v>
      </c>
      <c r="F2125" s="1">
        <v>45509</v>
      </c>
      <c r="G2125">
        <v>4</v>
      </c>
      <c r="H2125">
        <v>5306.42</v>
      </c>
      <c r="I2125">
        <v>20</v>
      </c>
      <c r="J2125" t="s">
        <v>26</v>
      </c>
      <c r="K2125">
        <v>4245.1400000000003</v>
      </c>
      <c r="L2125">
        <v>21225.68</v>
      </c>
      <c r="M2125">
        <v>16980.54</v>
      </c>
      <c r="N2125" t="s">
        <v>21</v>
      </c>
      <c r="O2125">
        <v>2024</v>
      </c>
    </row>
    <row r="2126" spans="1:15" x14ac:dyDescent="0.3">
      <c r="A2126" t="s">
        <v>2211</v>
      </c>
      <c r="B2126" t="s">
        <v>47</v>
      </c>
      <c r="C2126" t="s">
        <v>17</v>
      </c>
      <c r="D2126" t="s">
        <v>18</v>
      </c>
      <c r="E2126" t="s">
        <v>30</v>
      </c>
      <c r="F2126" s="1">
        <v>45754</v>
      </c>
      <c r="G2126">
        <v>1</v>
      </c>
      <c r="H2126">
        <v>68342.33</v>
      </c>
      <c r="I2126">
        <v>0</v>
      </c>
      <c r="J2126" t="s">
        <v>45</v>
      </c>
      <c r="K2126">
        <v>0</v>
      </c>
      <c r="L2126">
        <v>68342.33</v>
      </c>
      <c r="M2126">
        <v>68342.33</v>
      </c>
      <c r="N2126" t="s">
        <v>27</v>
      </c>
      <c r="O2126">
        <v>2025</v>
      </c>
    </row>
    <row r="2127" spans="1:15" x14ac:dyDescent="0.3">
      <c r="A2127" t="s">
        <v>2212</v>
      </c>
      <c r="B2127" t="s">
        <v>93</v>
      </c>
      <c r="C2127" t="s">
        <v>54</v>
      </c>
      <c r="D2127" t="s">
        <v>137</v>
      </c>
      <c r="E2127" t="s">
        <v>81</v>
      </c>
      <c r="F2127" s="1">
        <v>45588</v>
      </c>
      <c r="G2127">
        <v>5</v>
      </c>
      <c r="H2127">
        <v>1033.0899999999999</v>
      </c>
      <c r="I2127">
        <v>0</v>
      </c>
      <c r="J2127" t="s">
        <v>82</v>
      </c>
      <c r="K2127">
        <v>0</v>
      </c>
      <c r="L2127">
        <v>5165.45</v>
      </c>
      <c r="M2127">
        <v>5165.45</v>
      </c>
      <c r="N2127" t="s">
        <v>57</v>
      </c>
      <c r="O2127">
        <v>2024</v>
      </c>
    </row>
    <row r="2128" spans="1:15" x14ac:dyDescent="0.3">
      <c r="A2128" t="s">
        <v>2213</v>
      </c>
      <c r="B2128" t="s">
        <v>93</v>
      </c>
      <c r="C2128" t="s">
        <v>90</v>
      </c>
      <c r="D2128" t="s">
        <v>115</v>
      </c>
      <c r="E2128" t="s">
        <v>44</v>
      </c>
      <c r="F2128" s="1">
        <v>45704</v>
      </c>
      <c r="G2128">
        <v>10</v>
      </c>
      <c r="H2128">
        <v>8612.32</v>
      </c>
      <c r="I2128">
        <v>20</v>
      </c>
      <c r="J2128" t="s">
        <v>36</v>
      </c>
      <c r="K2128">
        <v>17224.64</v>
      </c>
      <c r="L2128">
        <v>86123.199999999997</v>
      </c>
      <c r="M2128">
        <v>68898.559999999998</v>
      </c>
      <c r="N2128" t="s">
        <v>41</v>
      </c>
      <c r="O2128">
        <v>2025</v>
      </c>
    </row>
    <row r="2129" spans="1:15" x14ac:dyDescent="0.3">
      <c r="A2129" t="s">
        <v>2214</v>
      </c>
      <c r="B2129" t="s">
        <v>93</v>
      </c>
      <c r="C2129" t="s">
        <v>90</v>
      </c>
      <c r="D2129" t="s">
        <v>91</v>
      </c>
      <c r="E2129" t="s">
        <v>44</v>
      </c>
      <c r="F2129" s="1">
        <v>45964</v>
      </c>
      <c r="G2129">
        <v>5</v>
      </c>
      <c r="H2129">
        <v>1827.49</v>
      </c>
      <c r="I2129">
        <v>20</v>
      </c>
      <c r="J2129" t="s">
        <v>31</v>
      </c>
      <c r="K2129">
        <v>1827.49</v>
      </c>
      <c r="L2129">
        <v>9137.4500000000007</v>
      </c>
      <c r="M2129">
        <v>7309.96</v>
      </c>
      <c r="N2129" t="s">
        <v>96</v>
      </c>
      <c r="O2129">
        <v>2025</v>
      </c>
    </row>
    <row r="2130" spans="1:15" x14ac:dyDescent="0.3">
      <c r="A2130" t="s">
        <v>2215</v>
      </c>
      <c r="B2130" t="s">
        <v>47</v>
      </c>
      <c r="C2130" t="s">
        <v>54</v>
      </c>
      <c r="D2130" t="s">
        <v>68</v>
      </c>
      <c r="E2130" t="s">
        <v>81</v>
      </c>
      <c r="F2130" s="1">
        <v>45440</v>
      </c>
      <c r="G2130">
        <v>9</v>
      </c>
      <c r="H2130">
        <v>4931.47</v>
      </c>
      <c r="I2130">
        <v>20</v>
      </c>
      <c r="J2130" t="s">
        <v>40</v>
      </c>
      <c r="K2130">
        <v>8876.65</v>
      </c>
      <c r="L2130">
        <v>44383.23</v>
      </c>
      <c r="M2130">
        <v>35506.58</v>
      </c>
      <c r="N2130" t="s">
        <v>101</v>
      </c>
      <c r="O2130">
        <v>2024</v>
      </c>
    </row>
    <row r="2131" spans="1:15" x14ac:dyDescent="0.3">
      <c r="A2131" t="s">
        <v>2216</v>
      </c>
      <c r="B2131" t="s">
        <v>29</v>
      </c>
      <c r="C2131" t="s">
        <v>90</v>
      </c>
      <c r="D2131" t="s">
        <v>91</v>
      </c>
      <c r="E2131" t="s">
        <v>50</v>
      </c>
      <c r="F2131" s="1">
        <v>45870</v>
      </c>
      <c r="G2131">
        <v>2</v>
      </c>
      <c r="H2131">
        <v>1460.4</v>
      </c>
      <c r="I2131">
        <v>20</v>
      </c>
      <c r="J2131" t="s">
        <v>45</v>
      </c>
      <c r="K2131">
        <v>584.16</v>
      </c>
      <c r="L2131">
        <v>2920.8</v>
      </c>
      <c r="M2131">
        <v>2336.64</v>
      </c>
      <c r="N2131" t="s">
        <v>21</v>
      </c>
      <c r="O2131">
        <v>2025</v>
      </c>
    </row>
    <row r="2132" spans="1:15" x14ac:dyDescent="0.3">
      <c r="A2132" t="s">
        <v>2217</v>
      </c>
      <c r="B2132" t="s">
        <v>93</v>
      </c>
      <c r="C2132" t="s">
        <v>62</v>
      </c>
      <c r="D2132" t="s">
        <v>132</v>
      </c>
      <c r="E2132" t="s">
        <v>44</v>
      </c>
      <c r="F2132" s="1">
        <v>45471</v>
      </c>
      <c r="G2132">
        <v>4</v>
      </c>
      <c r="H2132">
        <v>2317.7199999999998</v>
      </c>
      <c r="I2132">
        <v>5</v>
      </c>
      <c r="J2132" t="s">
        <v>20</v>
      </c>
      <c r="K2132">
        <v>463.54</v>
      </c>
      <c r="L2132">
        <v>9270.8799999999992</v>
      </c>
      <c r="M2132">
        <v>8807.34</v>
      </c>
      <c r="N2132" t="s">
        <v>72</v>
      </c>
      <c r="O2132">
        <v>2024</v>
      </c>
    </row>
    <row r="2133" spans="1:15" x14ac:dyDescent="0.3">
      <c r="A2133" t="s">
        <v>2218</v>
      </c>
      <c r="B2133" t="s">
        <v>74</v>
      </c>
      <c r="C2133" t="s">
        <v>62</v>
      </c>
      <c r="D2133" t="s">
        <v>63</v>
      </c>
      <c r="E2133" t="s">
        <v>56</v>
      </c>
      <c r="F2133" s="1">
        <v>45869</v>
      </c>
      <c r="G2133">
        <v>9</v>
      </c>
      <c r="H2133">
        <v>2052.2800000000002</v>
      </c>
      <c r="I2133">
        <v>0</v>
      </c>
      <c r="J2133" t="s">
        <v>31</v>
      </c>
      <c r="K2133">
        <v>0</v>
      </c>
      <c r="L2133">
        <v>18470.52</v>
      </c>
      <c r="M2133">
        <v>18470.52</v>
      </c>
      <c r="N2133" t="s">
        <v>122</v>
      </c>
      <c r="O2133">
        <v>2025</v>
      </c>
    </row>
    <row r="2134" spans="1:15" x14ac:dyDescent="0.3">
      <c r="A2134" t="s">
        <v>2219</v>
      </c>
      <c r="B2134" t="s">
        <v>16</v>
      </c>
      <c r="C2134" t="s">
        <v>90</v>
      </c>
      <c r="D2134" t="s">
        <v>91</v>
      </c>
      <c r="E2134" t="s">
        <v>25</v>
      </c>
      <c r="F2134" s="1">
        <v>45450</v>
      </c>
      <c r="G2134">
        <v>7</v>
      </c>
      <c r="H2134">
        <v>1590.09</v>
      </c>
      <c r="I2134">
        <v>15</v>
      </c>
      <c r="J2134" t="s">
        <v>71</v>
      </c>
      <c r="K2134">
        <v>1669.59</v>
      </c>
      <c r="L2134">
        <v>11130.63</v>
      </c>
      <c r="M2134">
        <v>9461.0400000000009</v>
      </c>
      <c r="N2134" t="s">
        <v>72</v>
      </c>
      <c r="O2134">
        <v>2024</v>
      </c>
    </row>
    <row r="2135" spans="1:15" x14ac:dyDescent="0.3">
      <c r="A2135" t="s">
        <v>2220</v>
      </c>
      <c r="B2135" t="s">
        <v>61</v>
      </c>
      <c r="C2135" t="s">
        <v>90</v>
      </c>
      <c r="D2135" t="s">
        <v>105</v>
      </c>
      <c r="E2135" t="s">
        <v>56</v>
      </c>
      <c r="F2135" s="1">
        <v>45513</v>
      </c>
      <c r="G2135">
        <v>5</v>
      </c>
      <c r="H2135">
        <v>3641.45</v>
      </c>
      <c r="I2135">
        <v>5</v>
      </c>
      <c r="J2135" t="s">
        <v>36</v>
      </c>
      <c r="K2135">
        <v>910.36</v>
      </c>
      <c r="L2135">
        <v>18207.25</v>
      </c>
      <c r="M2135">
        <v>17296.89</v>
      </c>
      <c r="N2135" t="s">
        <v>21</v>
      </c>
      <c r="O2135">
        <v>2024</v>
      </c>
    </row>
    <row r="2136" spans="1:15" x14ac:dyDescent="0.3">
      <c r="A2136" t="s">
        <v>2221</v>
      </c>
      <c r="B2136" t="s">
        <v>29</v>
      </c>
      <c r="C2136" t="s">
        <v>54</v>
      </c>
      <c r="D2136" t="s">
        <v>77</v>
      </c>
      <c r="E2136" t="s">
        <v>19</v>
      </c>
      <c r="F2136" s="1">
        <v>45957</v>
      </c>
      <c r="G2136">
        <v>4</v>
      </c>
      <c r="H2136">
        <v>6185.47</v>
      </c>
      <c r="I2136">
        <v>20</v>
      </c>
      <c r="J2136" t="s">
        <v>45</v>
      </c>
      <c r="K2136">
        <v>4948.38</v>
      </c>
      <c r="L2136">
        <v>24741.88</v>
      </c>
      <c r="M2136">
        <v>19793.5</v>
      </c>
      <c r="N2136" t="s">
        <v>57</v>
      </c>
      <c r="O2136">
        <v>2025</v>
      </c>
    </row>
    <row r="2137" spans="1:15" x14ac:dyDescent="0.3">
      <c r="A2137" t="s">
        <v>2222</v>
      </c>
      <c r="B2137" t="s">
        <v>74</v>
      </c>
      <c r="C2137" t="s">
        <v>34</v>
      </c>
      <c r="D2137" t="s">
        <v>66</v>
      </c>
      <c r="E2137" t="s">
        <v>25</v>
      </c>
      <c r="F2137" s="1">
        <v>45295</v>
      </c>
      <c r="G2137">
        <v>6</v>
      </c>
      <c r="H2137">
        <v>45600.21</v>
      </c>
      <c r="I2137">
        <v>0</v>
      </c>
      <c r="J2137" t="s">
        <v>40</v>
      </c>
      <c r="K2137">
        <v>0</v>
      </c>
      <c r="L2137">
        <v>273601.26</v>
      </c>
      <c r="M2137">
        <v>273601.26</v>
      </c>
      <c r="N2137" t="s">
        <v>116</v>
      </c>
      <c r="O2137">
        <v>2024</v>
      </c>
    </row>
    <row r="2138" spans="1:15" x14ac:dyDescent="0.3">
      <c r="A2138" t="s">
        <v>2223</v>
      </c>
      <c r="B2138" t="s">
        <v>93</v>
      </c>
      <c r="C2138" t="s">
        <v>34</v>
      </c>
      <c r="D2138" t="s">
        <v>66</v>
      </c>
      <c r="E2138" t="s">
        <v>56</v>
      </c>
      <c r="F2138" s="1">
        <v>45322</v>
      </c>
      <c r="G2138">
        <v>9</v>
      </c>
      <c r="H2138">
        <v>44045.85</v>
      </c>
      <c r="I2138">
        <v>5</v>
      </c>
      <c r="J2138" t="s">
        <v>45</v>
      </c>
      <c r="K2138">
        <v>19820.63</v>
      </c>
      <c r="L2138">
        <v>396412.65</v>
      </c>
      <c r="M2138">
        <v>376592.02</v>
      </c>
      <c r="N2138" t="s">
        <v>116</v>
      </c>
      <c r="O2138">
        <v>2024</v>
      </c>
    </row>
    <row r="2139" spans="1:15" x14ac:dyDescent="0.3">
      <c r="A2139" t="s">
        <v>2224</v>
      </c>
      <c r="B2139" t="s">
        <v>74</v>
      </c>
      <c r="C2139" t="s">
        <v>90</v>
      </c>
      <c r="D2139" t="s">
        <v>91</v>
      </c>
      <c r="E2139" t="s">
        <v>19</v>
      </c>
      <c r="F2139" s="1">
        <v>45736</v>
      </c>
      <c r="G2139">
        <v>5</v>
      </c>
      <c r="H2139">
        <v>1385.06</v>
      </c>
      <c r="I2139">
        <v>20</v>
      </c>
      <c r="J2139" t="s">
        <v>36</v>
      </c>
      <c r="K2139">
        <v>1385.06</v>
      </c>
      <c r="L2139">
        <v>6925.3</v>
      </c>
      <c r="M2139">
        <v>5540.24</v>
      </c>
      <c r="N2139" t="s">
        <v>83</v>
      </c>
      <c r="O2139">
        <v>2025</v>
      </c>
    </row>
    <row r="2140" spans="1:15" x14ac:dyDescent="0.3">
      <c r="A2140" t="s">
        <v>2225</v>
      </c>
      <c r="B2140" t="s">
        <v>23</v>
      </c>
      <c r="C2140" t="s">
        <v>90</v>
      </c>
      <c r="D2140" t="s">
        <v>91</v>
      </c>
      <c r="E2140" t="s">
        <v>19</v>
      </c>
      <c r="F2140" s="1">
        <v>45937</v>
      </c>
      <c r="G2140">
        <v>2</v>
      </c>
      <c r="H2140">
        <v>1865.93</v>
      </c>
      <c r="I2140">
        <v>5</v>
      </c>
      <c r="J2140" t="s">
        <v>31</v>
      </c>
      <c r="K2140">
        <v>186.59</v>
      </c>
      <c r="L2140">
        <v>3731.86</v>
      </c>
      <c r="M2140">
        <v>3545.27</v>
      </c>
      <c r="N2140" t="s">
        <v>57</v>
      </c>
      <c r="O2140">
        <v>2025</v>
      </c>
    </row>
    <row r="2141" spans="1:15" x14ac:dyDescent="0.3">
      <c r="A2141" t="s">
        <v>2226</v>
      </c>
      <c r="B2141" t="s">
        <v>89</v>
      </c>
      <c r="C2141" t="s">
        <v>17</v>
      </c>
      <c r="D2141" t="s">
        <v>24</v>
      </c>
      <c r="E2141" t="s">
        <v>44</v>
      </c>
      <c r="F2141" s="1">
        <v>45392</v>
      </c>
      <c r="G2141">
        <v>3</v>
      </c>
      <c r="H2141">
        <v>3274.87</v>
      </c>
      <c r="I2141">
        <v>20</v>
      </c>
      <c r="J2141" t="s">
        <v>31</v>
      </c>
      <c r="K2141">
        <v>1964.92</v>
      </c>
      <c r="L2141">
        <v>9824.61</v>
      </c>
      <c r="M2141">
        <v>7859.69</v>
      </c>
      <c r="N2141" t="s">
        <v>27</v>
      </c>
      <c r="O2141">
        <v>2024</v>
      </c>
    </row>
    <row r="2142" spans="1:15" x14ac:dyDescent="0.3">
      <c r="A2142" t="s">
        <v>2227</v>
      </c>
      <c r="B2142" t="s">
        <v>33</v>
      </c>
      <c r="C2142" t="s">
        <v>62</v>
      </c>
      <c r="D2142" t="s">
        <v>132</v>
      </c>
      <c r="E2142" t="s">
        <v>44</v>
      </c>
      <c r="F2142" s="1">
        <v>45549</v>
      </c>
      <c r="G2142">
        <v>4</v>
      </c>
      <c r="H2142">
        <v>2735.76</v>
      </c>
      <c r="I2142">
        <v>15</v>
      </c>
      <c r="J2142" t="s">
        <v>82</v>
      </c>
      <c r="K2142">
        <v>1641.46</v>
      </c>
      <c r="L2142">
        <v>10943.04</v>
      </c>
      <c r="M2142">
        <v>9301.58</v>
      </c>
      <c r="N2142" t="s">
        <v>86</v>
      </c>
      <c r="O2142">
        <v>2024</v>
      </c>
    </row>
    <row r="2143" spans="1:15" x14ac:dyDescent="0.3">
      <c r="A2143" t="s">
        <v>2228</v>
      </c>
      <c r="B2143" t="s">
        <v>29</v>
      </c>
      <c r="C2143" t="s">
        <v>54</v>
      </c>
      <c r="D2143" t="s">
        <v>55</v>
      </c>
      <c r="E2143" t="s">
        <v>81</v>
      </c>
      <c r="F2143" s="1">
        <v>45813</v>
      </c>
      <c r="G2143">
        <v>5</v>
      </c>
      <c r="H2143">
        <v>1267.81</v>
      </c>
      <c r="I2143">
        <v>0</v>
      </c>
      <c r="J2143" t="s">
        <v>40</v>
      </c>
      <c r="K2143">
        <v>0</v>
      </c>
      <c r="L2143">
        <v>6339.05</v>
      </c>
      <c r="M2143">
        <v>6339.05</v>
      </c>
      <c r="N2143" t="s">
        <v>72</v>
      </c>
      <c r="O2143">
        <v>2025</v>
      </c>
    </row>
    <row r="2144" spans="1:15" x14ac:dyDescent="0.3">
      <c r="A2144" t="s">
        <v>2229</v>
      </c>
      <c r="B2144" t="s">
        <v>89</v>
      </c>
      <c r="C2144" t="s">
        <v>17</v>
      </c>
      <c r="D2144" t="s">
        <v>59</v>
      </c>
      <c r="E2144" t="s">
        <v>44</v>
      </c>
      <c r="F2144" s="1">
        <v>45293</v>
      </c>
      <c r="G2144">
        <v>1</v>
      </c>
      <c r="H2144">
        <v>26673.23</v>
      </c>
      <c r="I2144">
        <v>20</v>
      </c>
      <c r="J2144" t="s">
        <v>20</v>
      </c>
      <c r="K2144">
        <v>5334.65</v>
      </c>
      <c r="L2144">
        <v>26673.23</v>
      </c>
      <c r="M2144">
        <v>21338.58</v>
      </c>
      <c r="N2144" t="s">
        <v>116</v>
      </c>
      <c r="O2144">
        <v>2024</v>
      </c>
    </row>
    <row r="2145" spans="1:15" x14ac:dyDescent="0.3">
      <c r="A2145" t="s">
        <v>2230</v>
      </c>
      <c r="B2145" t="s">
        <v>23</v>
      </c>
      <c r="C2145" t="s">
        <v>90</v>
      </c>
      <c r="D2145" t="s">
        <v>91</v>
      </c>
      <c r="E2145" t="s">
        <v>56</v>
      </c>
      <c r="F2145" s="1">
        <v>45348</v>
      </c>
      <c r="G2145">
        <v>2</v>
      </c>
      <c r="H2145">
        <v>1662.64</v>
      </c>
      <c r="I2145">
        <v>15</v>
      </c>
      <c r="J2145" t="s">
        <v>82</v>
      </c>
      <c r="K2145">
        <v>498.79</v>
      </c>
      <c r="L2145">
        <v>3325.28</v>
      </c>
      <c r="M2145">
        <v>2826.49</v>
      </c>
      <c r="N2145" t="s">
        <v>41</v>
      </c>
      <c r="O2145">
        <v>2024</v>
      </c>
    </row>
    <row r="2146" spans="1:15" x14ac:dyDescent="0.3">
      <c r="A2146" t="s">
        <v>2231</v>
      </c>
      <c r="B2146" t="s">
        <v>47</v>
      </c>
      <c r="C2146" t="s">
        <v>54</v>
      </c>
      <c r="D2146" t="s">
        <v>55</v>
      </c>
      <c r="E2146" t="s">
        <v>25</v>
      </c>
      <c r="F2146" s="1">
        <v>45918</v>
      </c>
      <c r="G2146">
        <v>6</v>
      </c>
      <c r="H2146">
        <v>1327.07</v>
      </c>
      <c r="I2146">
        <v>0</v>
      </c>
      <c r="J2146" t="s">
        <v>20</v>
      </c>
      <c r="K2146">
        <v>0</v>
      </c>
      <c r="L2146">
        <v>7962.42</v>
      </c>
      <c r="M2146">
        <v>7962.42</v>
      </c>
      <c r="N2146" t="s">
        <v>86</v>
      </c>
      <c r="O2146">
        <v>2025</v>
      </c>
    </row>
    <row r="2147" spans="1:15" x14ac:dyDescent="0.3">
      <c r="A2147" t="s">
        <v>2232</v>
      </c>
      <c r="B2147" t="s">
        <v>23</v>
      </c>
      <c r="C2147" t="s">
        <v>17</v>
      </c>
      <c r="D2147" t="s">
        <v>18</v>
      </c>
      <c r="E2147" t="s">
        <v>81</v>
      </c>
      <c r="F2147" s="1">
        <v>45918</v>
      </c>
      <c r="G2147">
        <v>5</v>
      </c>
      <c r="H2147">
        <v>59801.7</v>
      </c>
      <c r="I2147">
        <v>20</v>
      </c>
      <c r="J2147" t="s">
        <v>26</v>
      </c>
      <c r="K2147">
        <v>59801.7</v>
      </c>
      <c r="L2147">
        <v>299008.5</v>
      </c>
      <c r="M2147">
        <v>239206.8</v>
      </c>
      <c r="N2147" t="s">
        <v>86</v>
      </c>
      <c r="O2147">
        <v>2025</v>
      </c>
    </row>
    <row r="2148" spans="1:15" x14ac:dyDescent="0.3">
      <c r="A2148" t="s">
        <v>2233</v>
      </c>
      <c r="B2148" t="s">
        <v>109</v>
      </c>
      <c r="C2148" t="s">
        <v>17</v>
      </c>
      <c r="D2148" t="s">
        <v>39</v>
      </c>
      <c r="E2148" t="s">
        <v>56</v>
      </c>
      <c r="F2148" s="1">
        <v>45473</v>
      </c>
      <c r="G2148">
        <v>9</v>
      </c>
      <c r="H2148">
        <v>17081.55</v>
      </c>
      <c r="I2148">
        <v>20</v>
      </c>
      <c r="J2148" t="s">
        <v>31</v>
      </c>
      <c r="K2148">
        <v>30746.79</v>
      </c>
      <c r="L2148">
        <v>153733.95000000001</v>
      </c>
      <c r="M2148">
        <v>122987.16</v>
      </c>
      <c r="N2148" t="s">
        <v>72</v>
      </c>
      <c r="O2148">
        <v>2024</v>
      </c>
    </row>
    <row r="2149" spans="1:15" x14ac:dyDescent="0.3">
      <c r="A2149" t="s">
        <v>2234</v>
      </c>
      <c r="B2149" t="s">
        <v>61</v>
      </c>
      <c r="C2149" t="s">
        <v>90</v>
      </c>
      <c r="D2149" t="s">
        <v>152</v>
      </c>
      <c r="E2149" t="s">
        <v>50</v>
      </c>
      <c r="F2149" s="1">
        <v>45669</v>
      </c>
      <c r="G2149">
        <v>4</v>
      </c>
      <c r="H2149">
        <v>10593.76</v>
      </c>
      <c r="I2149">
        <v>10</v>
      </c>
      <c r="J2149" t="s">
        <v>26</v>
      </c>
      <c r="K2149">
        <v>4237.5</v>
      </c>
      <c r="L2149">
        <v>42375.040000000001</v>
      </c>
      <c r="M2149">
        <v>38137.54</v>
      </c>
      <c r="N2149" t="s">
        <v>116</v>
      </c>
      <c r="O2149">
        <v>2025</v>
      </c>
    </row>
    <row r="2150" spans="1:15" x14ac:dyDescent="0.3">
      <c r="A2150" t="s">
        <v>2235</v>
      </c>
      <c r="B2150" t="s">
        <v>89</v>
      </c>
      <c r="C2150" t="s">
        <v>17</v>
      </c>
      <c r="D2150" t="s">
        <v>157</v>
      </c>
      <c r="E2150" t="s">
        <v>56</v>
      </c>
      <c r="F2150" s="1">
        <v>45692</v>
      </c>
      <c r="G2150">
        <v>3</v>
      </c>
      <c r="H2150">
        <v>6401.82</v>
      </c>
      <c r="I2150">
        <v>15</v>
      </c>
      <c r="J2150" t="s">
        <v>40</v>
      </c>
      <c r="K2150">
        <v>2880.82</v>
      </c>
      <c r="L2150">
        <v>19205.46</v>
      </c>
      <c r="M2150">
        <v>16324.64</v>
      </c>
      <c r="N2150" t="s">
        <v>41</v>
      </c>
      <c r="O2150">
        <v>2025</v>
      </c>
    </row>
    <row r="2151" spans="1:15" x14ac:dyDescent="0.3">
      <c r="A2151" t="s">
        <v>2236</v>
      </c>
      <c r="B2151" t="s">
        <v>74</v>
      </c>
      <c r="C2151" t="s">
        <v>34</v>
      </c>
      <c r="D2151" t="s">
        <v>35</v>
      </c>
      <c r="E2151" t="s">
        <v>44</v>
      </c>
      <c r="F2151" s="1">
        <v>45979</v>
      </c>
      <c r="G2151">
        <v>3</v>
      </c>
      <c r="H2151">
        <v>28849.65</v>
      </c>
      <c r="I2151">
        <v>10</v>
      </c>
      <c r="J2151" t="s">
        <v>31</v>
      </c>
      <c r="K2151">
        <v>8654.9</v>
      </c>
      <c r="L2151">
        <v>86548.95</v>
      </c>
      <c r="M2151">
        <v>77894.05</v>
      </c>
      <c r="N2151" t="s">
        <v>96</v>
      </c>
      <c r="O2151">
        <v>2025</v>
      </c>
    </row>
    <row r="2152" spans="1:15" x14ac:dyDescent="0.3">
      <c r="A2152" t="s">
        <v>2237</v>
      </c>
      <c r="B2152" t="s">
        <v>74</v>
      </c>
      <c r="C2152" t="s">
        <v>17</v>
      </c>
      <c r="D2152" t="s">
        <v>24</v>
      </c>
      <c r="E2152" t="s">
        <v>25</v>
      </c>
      <c r="F2152" s="1">
        <v>45932</v>
      </c>
      <c r="G2152">
        <v>8</v>
      </c>
      <c r="H2152">
        <v>3731.33</v>
      </c>
      <c r="I2152">
        <v>0</v>
      </c>
      <c r="J2152" t="s">
        <v>71</v>
      </c>
      <c r="K2152">
        <v>0</v>
      </c>
      <c r="L2152">
        <v>29850.639999999999</v>
      </c>
      <c r="M2152">
        <v>29850.639999999999</v>
      </c>
      <c r="N2152" t="s">
        <v>57</v>
      </c>
      <c r="O2152">
        <v>2025</v>
      </c>
    </row>
    <row r="2153" spans="1:15" x14ac:dyDescent="0.3">
      <c r="A2153" t="s">
        <v>2238</v>
      </c>
      <c r="B2153" t="s">
        <v>16</v>
      </c>
      <c r="C2153" t="s">
        <v>34</v>
      </c>
      <c r="D2153" t="s">
        <v>66</v>
      </c>
      <c r="E2153" t="s">
        <v>81</v>
      </c>
      <c r="F2153" s="1">
        <v>45561</v>
      </c>
      <c r="G2153">
        <v>1</v>
      </c>
      <c r="H2153">
        <v>39972.79</v>
      </c>
      <c r="I2153">
        <v>20</v>
      </c>
      <c r="J2153" t="s">
        <v>82</v>
      </c>
      <c r="K2153">
        <v>7994.56</v>
      </c>
      <c r="L2153">
        <v>39972.79</v>
      </c>
      <c r="M2153">
        <v>31978.23</v>
      </c>
      <c r="N2153" t="s">
        <v>86</v>
      </c>
      <c r="O2153">
        <v>2024</v>
      </c>
    </row>
    <row r="2154" spans="1:15" x14ac:dyDescent="0.3">
      <c r="A2154" t="s">
        <v>2239</v>
      </c>
      <c r="B2154" t="s">
        <v>47</v>
      </c>
      <c r="C2154" t="s">
        <v>54</v>
      </c>
      <c r="D2154" t="s">
        <v>137</v>
      </c>
      <c r="E2154" t="s">
        <v>50</v>
      </c>
      <c r="F2154" s="1">
        <v>45499</v>
      </c>
      <c r="G2154">
        <v>8</v>
      </c>
      <c r="H2154">
        <v>862.23</v>
      </c>
      <c r="I2154">
        <v>5</v>
      </c>
      <c r="J2154" t="s">
        <v>20</v>
      </c>
      <c r="K2154">
        <v>344.89</v>
      </c>
      <c r="L2154">
        <v>6897.84</v>
      </c>
      <c r="M2154">
        <v>6552.95</v>
      </c>
      <c r="N2154" t="s">
        <v>122</v>
      </c>
      <c r="O2154">
        <v>2024</v>
      </c>
    </row>
    <row r="2155" spans="1:15" x14ac:dyDescent="0.3">
      <c r="A2155" t="s">
        <v>2240</v>
      </c>
      <c r="B2155" t="s">
        <v>16</v>
      </c>
      <c r="C2155" t="s">
        <v>62</v>
      </c>
      <c r="D2155" t="s">
        <v>119</v>
      </c>
      <c r="E2155" t="s">
        <v>50</v>
      </c>
      <c r="F2155" s="1">
        <v>45645</v>
      </c>
      <c r="G2155">
        <v>7</v>
      </c>
      <c r="H2155">
        <v>3569.64</v>
      </c>
      <c r="I2155">
        <v>20</v>
      </c>
      <c r="J2155" t="s">
        <v>20</v>
      </c>
      <c r="K2155">
        <v>4997.5</v>
      </c>
      <c r="L2155">
        <v>24987.48</v>
      </c>
      <c r="M2155">
        <v>19989.98</v>
      </c>
      <c r="N2155" t="s">
        <v>51</v>
      </c>
      <c r="O2155">
        <v>2024</v>
      </c>
    </row>
    <row r="2156" spans="1:15" x14ac:dyDescent="0.3">
      <c r="A2156" t="s">
        <v>2241</v>
      </c>
      <c r="B2156" t="s">
        <v>109</v>
      </c>
      <c r="C2156" t="s">
        <v>17</v>
      </c>
      <c r="D2156" t="s">
        <v>157</v>
      </c>
      <c r="E2156" t="s">
        <v>50</v>
      </c>
      <c r="F2156" s="1">
        <v>45986</v>
      </c>
      <c r="G2156">
        <v>2</v>
      </c>
      <c r="H2156">
        <v>7081.29</v>
      </c>
      <c r="I2156">
        <v>5</v>
      </c>
      <c r="J2156" t="s">
        <v>36</v>
      </c>
      <c r="K2156">
        <v>708.13</v>
      </c>
      <c r="L2156">
        <v>14162.58</v>
      </c>
      <c r="M2156">
        <v>13454.45</v>
      </c>
      <c r="N2156" t="s">
        <v>96</v>
      </c>
      <c r="O2156">
        <v>2025</v>
      </c>
    </row>
    <row r="2157" spans="1:15" x14ac:dyDescent="0.3">
      <c r="A2157" t="s">
        <v>2242</v>
      </c>
      <c r="B2157" t="s">
        <v>47</v>
      </c>
      <c r="C2157" t="s">
        <v>17</v>
      </c>
      <c r="D2157" t="s">
        <v>157</v>
      </c>
      <c r="E2157" t="s">
        <v>50</v>
      </c>
      <c r="F2157" s="1">
        <v>45535</v>
      </c>
      <c r="G2157">
        <v>9</v>
      </c>
      <c r="H2157">
        <v>8014.2</v>
      </c>
      <c r="I2157">
        <v>10</v>
      </c>
      <c r="J2157" t="s">
        <v>31</v>
      </c>
      <c r="K2157">
        <v>7212.78</v>
      </c>
      <c r="L2157">
        <v>72127.8</v>
      </c>
      <c r="M2157">
        <v>64915.02</v>
      </c>
      <c r="N2157" t="s">
        <v>21</v>
      </c>
      <c r="O2157">
        <v>2024</v>
      </c>
    </row>
    <row r="2158" spans="1:15" x14ac:dyDescent="0.3">
      <c r="A2158" t="s">
        <v>2243</v>
      </c>
      <c r="B2158" t="s">
        <v>89</v>
      </c>
      <c r="C2158" t="s">
        <v>34</v>
      </c>
      <c r="D2158" t="s">
        <v>35</v>
      </c>
      <c r="E2158" t="s">
        <v>81</v>
      </c>
      <c r="F2158" s="1">
        <v>45677</v>
      </c>
      <c r="G2158">
        <v>2</v>
      </c>
      <c r="H2158">
        <v>23689.919999999998</v>
      </c>
      <c r="I2158">
        <v>15</v>
      </c>
      <c r="J2158" t="s">
        <v>45</v>
      </c>
      <c r="K2158">
        <v>7106.98</v>
      </c>
      <c r="L2158">
        <v>47379.839999999997</v>
      </c>
      <c r="M2158">
        <v>40272.86</v>
      </c>
      <c r="N2158" t="s">
        <v>116</v>
      </c>
      <c r="O2158">
        <v>2025</v>
      </c>
    </row>
    <row r="2159" spans="1:15" x14ac:dyDescent="0.3">
      <c r="A2159" t="s">
        <v>2244</v>
      </c>
      <c r="B2159" t="s">
        <v>43</v>
      </c>
      <c r="C2159" t="s">
        <v>17</v>
      </c>
      <c r="D2159" t="s">
        <v>24</v>
      </c>
      <c r="E2159" t="s">
        <v>19</v>
      </c>
      <c r="F2159" s="1">
        <v>45898</v>
      </c>
      <c r="G2159">
        <v>1</v>
      </c>
      <c r="H2159">
        <v>3244.49</v>
      </c>
      <c r="I2159">
        <v>5</v>
      </c>
      <c r="J2159" t="s">
        <v>40</v>
      </c>
      <c r="K2159">
        <v>162.22</v>
      </c>
      <c r="L2159">
        <v>3244.49</v>
      </c>
      <c r="M2159">
        <v>3082.27</v>
      </c>
      <c r="N2159" t="s">
        <v>21</v>
      </c>
      <c r="O2159">
        <v>2025</v>
      </c>
    </row>
    <row r="2160" spans="1:15" x14ac:dyDescent="0.3">
      <c r="A2160" t="s">
        <v>2245</v>
      </c>
      <c r="B2160" t="s">
        <v>109</v>
      </c>
      <c r="C2160" t="s">
        <v>54</v>
      </c>
      <c r="D2160" t="s">
        <v>137</v>
      </c>
      <c r="E2160" t="s">
        <v>50</v>
      </c>
      <c r="F2160" s="1">
        <v>45593</v>
      </c>
      <c r="G2160">
        <v>9</v>
      </c>
      <c r="H2160">
        <v>901.64</v>
      </c>
      <c r="I2160">
        <v>0</v>
      </c>
      <c r="J2160" t="s">
        <v>31</v>
      </c>
      <c r="K2160">
        <v>0</v>
      </c>
      <c r="L2160">
        <v>8114.76</v>
      </c>
      <c r="M2160">
        <v>8114.76</v>
      </c>
      <c r="N2160" t="s">
        <v>57</v>
      </c>
      <c r="O2160">
        <v>2024</v>
      </c>
    </row>
    <row r="2161" spans="1:15" x14ac:dyDescent="0.3">
      <c r="A2161" t="s">
        <v>2246</v>
      </c>
      <c r="B2161" t="s">
        <v>43</v>
      </c>
      <c r="C2161" t="s">
        <v>90</v>
      </c>
      <c r="D2161" t="s">
        <v>115</v>
      </c>
      <c r="E2161" t="s">
        <v>25</v>
      </c>
      <c r="F2161" s="1">
        <v>45754</v>
      </c>
      <c r="G2161">
        <v>4</v>
      </c>
      <c r="H2161">
        <v>8564.1</v>
      </c>
      <c r="I2161">
        <v>0</v>
      </c>
      <c r="J2161" t="s">
        <v>20</v>
      </c>
      <c r="K2161">
        <v>0</v>
      </c>
      <c r="L2161">
        <v>34256.400000000001</v>
      </c>
      <c r="M2161">
        <v>34256.400000000001</v>
      </c>
      <c r="N2161" t="s">
        <v>27</v>
      </c>
      <c r="O2161">
        <v>2025</v>
      </c>
    </row>
    <row r="2162" spans="1:15" x14ac:dyDescent="0.3">
      <c r="A2162" t="s">
        <v>2247</v>
      </c>
      <c r="B2162" t="s">
        <v>65</v>
      </c>
      <c r="C2162" t="s">
        <v>90</v>
      </c>
      <c r="D2162" t="s">
        <v>152</v>
      </c>
      <c r="E2162" t="s">
        <v>25</v>
      </c>
      <c r="F2162" s="1">
        <v>45766</v>
      </c>
      <c r="G2162">
        <v>8</v>
      </c>
      <c r="H2162">
        <v>10668.19</v>
      </c>
      <c r="I2162">
        <v>5</v>
      </c>
      <c r="J2162" t="s">
        <v>36</v>
      </c>
      <c r="K2162">
        <v>4267.28</v>
      </c>
      <c r="L2162">
        <v>85345.52</v>
      </c>
      <c r="M2162">
        <v>81078.240000000005</v>
      </c>
      <c r="N2162" t="s">
        <v>27</v>
      </c>
      <c r="O2162">
        <v>2025</v>
      </c>
    </row>
    <row r="2163" spans="1:15" x14ac:dyDescent="0.3">
      <c r="A2163" t="s">
        <v>2248</v>
      </c>
      <c r="B2163" t="s">
        <v>109</v>
      </c>
      <c r="C2163" t="s">
        <v>34</v>
      </c>
      <c r="D2163" t="s">
        <v>80</v>
      </c>
      <c r="E2163" t="s">
        <v>44</v>
      </c>
      <c r="F2163" s="1">
        <v>45946</v>
      </c>
      <c r="G2163">
        <v>2</v>
      </c>
      <c r="H2163">
        <v>7389</v>
      </c>
      <c r="I2163">
        <v>20</v>
      </c>
      <c r="J2163" t="s">
        <v>36</v>
      </c>
      <c r="K2163">
        <v>2955.6</v>
      </c>
      <c r="L2163">
        <v>14778</v>
      </c>
      <c r="M2163">
        <v>11822.4</v>
      </c>
      <c r="N2163" t="s">
        <v>57</v>
      </c>
      <c r="O2163">
        <v>2025</v>
      </c>
    </row>
    <row r="2164" spans="1:15" x14ac:dyDescent="0.3">
      <c r="A2164" t="s">
        <v>2249</v>
      </c>
      <c r="B2164" t="s">
        <v>47</v>
      </c>
      <c r="C2164" t="s">
        <v>54</v>
      </c>
      <c r="D2164" t="s">
        <v>55</v>
      </c>
      <c r="E2164" t="s">
        <v>30</v>
      </c>
      <c r="F2164" s="1">
        <v>45559</v>
      </c>
      <c r="G2164">
        <v>9</v>
      </c>
      <c r="H2164">
        <v>1359.18</v>
      </c>
      <c r="I2164">
        <v>15</v>
      </c>
      <c r="J2164" t="s">
        <v>20</v>
      </c>
      <c r="K2164">
        <v>1834.89</v>
      </c>
      <c r="L2164">
        <v>12232.62</v>
      </c>
      <c r="M2164">
        <v>10397.73</v>
      </c>
      <c r="N2164" t="s">
        <v>86</v>
      </c>
      <c r="O2164">
        <v>2024</v>
      </c>
    </row>
    <row r="2165" spans="1:15" x14ac:dyDescent="0.3">
      <c r="A2165" t="s">
        <v>2250</v>
      </c>
      <c r="B2165" t="s">
        <v>65</v>
      </c>
      <c r="C2165" t="s">
        <v>34</v>
      </c>
      <c r="D2165" t="s">
        <v>66</v>
      </c>
      <c r="E2165" t="s">
        <v>19</v>
      </c>
      <c r="F2165" s="1">
        <v>45995</v>
      </c>
      <c r="G2165">
        <v>10</v>
      </c>
      <c r="H2165">
        <v>44417.24</v>
      </c>
      <c r="I2165">
        <v>15</v>
      </c>
      <c r="J2165" t="s">
        <v>71</v>
      </c>
      <c r="K2165">
        <v>66625.86</v>
      </c>
      <c r="L2165">
        <v>444172.4</v>
      </c>
      <c r="M2165">
        <v>377546.54</v>
      </c>
      <c r="N2165" t="s">
        <v>51</v>
      </c>
      <c r="O2165">
        <v>2025</v>
      </c>
    </row>
    <row r="2166" spans="1:15" x14ac:dyDescent="0.3">
      <c r="A2166" t="s">
        <v>2251</v>
      </c>
      <c r="B2166" t="s">
        <v>29</v>
      </c>
      <c r="C2166" t="s">
        <v>34</v>
      </c>
      <c r="D2166" t="s">
        <v>66</v>
      </c>
      <c r="E2166" t="s">
        <v>25</v>
      </c>
      <c r="F2166" s="1">
        <v>45848</v>
      </c>
      <c r="G2166">
        <v>6</v>
      </c>
      <c r="H2166">
        <v>40084.25</v>
      </c>
      <c r="I2166">
        <v>10</v>
      </c>
      <c r="J2166" t="s">
        <v>36</v>
      </c>
      <c r="K2166">
        <v>24050.55</v>
      </c>
      <c r="L2166">
        <v>240505.5</v>
      </c>
      <c r="M2166">
        <v>216454.95</v>
      </c>
      <c r="N2166" t="s">
        <v>122</v>
      </c>
      <c r="O2166">
        <v>2025</v>
      </c>
    </row>
    <row r="2167" spans="1:15" x14ac:dyDescent="0.3">
      <c r="A2167" t="s">
        <v>2252</v>
      </c>
      <c r="B2167" t="s">
        <v>74</v>
      </c>
      <c r="C2167" t="s">
        <v>34</v>
      </c>
      <c r="D2167" t="s">
        <v>66</v>
      </c>
      <c r="E2167" t="s">
        <v>56</v>
      </c>
      <c r="F2167" s="1">
        <v>45796</v>
      </c>
      <c r="G2167">
        <v>10</v>
      </c>
      <c r="H2167">
        <v>41445.980000000003</v>
      </c>
      <c r="I2167">
        <v>15</v>
      </c>
      <c r="J2167" t="s">
        <v>26</v>
      </c>
      <c r="K2167">
        <v>62168.97</v>
      </c>
      <c r="L2167">
        <v>414459.8</v>
      </c>
      <c r="M2167">
        <v>352290.83</v>
      </c>
      <c r="N2167" t="s">
        <v>101</v>
      </c>
      <c r="O2167">
        <v>2025</v>
      </c>
    </row>
    <row r="2168" spans="1:15" x14ac:dyDescent="0.3">
      <c r="A2168" t="s">
        <v>2253</v>
      </c>
      <c r="B2168" t="s">
        <v>89</v>
      </c>
      <c r="C2168" t="s">
        <v>90</v>
      </c>
      <c r="D2168" t="s">
        <v>105</v>
      </c>
      <c r="E2168" t="s">
        <v>56</v>
      </c>
      <c r="F2168" s="1">
        <v>45704</v>
      </c>
      <c r="G2168">
        <v>8</v>
      </c>
      <c r="H2168">
        <v>3356.46</v>
      </c>
      <c r="I2168">
        <v>15</v>
      </c>
      <c r="J2168" t="s">
        <v>26</v>
      </c>
      <c r="K2168">
        <v>4027.75</v>
      </c>
      <c r="L2168">
        <v>26851.68</v>
      </c>
      <c r="M2168">
        <v>22823.93</v>
      </c>
      <c r="N2168" t="s">
        <v>41</v>
      </c>
      <c r="O2168">
        <v>2025</v>
      </c>
    </row>
    <row r="2169" spans="1:15" x14ac:dyDescent="0.3">
      <c r="A2169" t="s">
        <v>2254</v>
      </c>
      <c r="B2169" t="s">
        <v>38</v>
      </c>
      <c r="C2169" t="s">
        <v>54</v>
      </c>
      <c r="D2169" t="s">
        <v>55</v>
      </c>
      <c r="E2169" t="s">
        <v>44</v>
      </c>
      <c r="F2169" s="1">
        <v>45665</v>
      </c>
      <c r="G2169">
        <v>1</v>
      </c>
      <c r="H2169">
        <v>1192.8399999999999</v>
      </c>
      <c r="I2169">
        <v>5</v>
      </c>
      <c r="J2169" t="s">
        <v>26</v>
      </c>
      <c r="K2169">
        <v>59.64</v>
      </c>
      <c r="L2169">
        <v>1192.8399999999999</v>
      </c>
      <c r="M2169">
        <v>1133.2</v>
      </c>
      <c r="N2169" t="s">
        <v>116</v>
      </c>
      <c r="O2169">
        <v>2025</v>
      </c>
    </row>
    <row r="2170" spans="1:15" x14ac:dyDescent="0.3">
      <c r="A2170" t="s">
        <v>2255</v>
      </c>
      <c r="B2170" t="s">
        <v>53</v>
      </c>
      <c r="C2170" t="s">
        <v>17</v>
      </c>
      <c r="D2170" t="s">
        <v>59</v>
      </c>
      <c r="E2170" t="s">
        <v>50</v>
      </c>
      <c r="F2170" s="1">
        <v>45627</v>
      </c>
      <c r="G2170">
        <v>3</v>
      </c>
      <c r="H2170">
        <v>25342.55</v>
      </c>
      <c r="I2170">
        <v>15</v>
      </c>
      <c r="J2170" t="s">
        <v>45</v>
      </c>
      <c r="K2170">
        <v>11404.15</v>
      </c>
      <c r="L2170">
        <v>76027.649999999994</v>
      </c>
      <c r="M2170">
        <v>64623.5</v>
      </c>
      <c r="N2170" t="s">
        <v>51</v>
      </c>
      <c r="O2170">
        <v>2024</v>
      </c>
    </row>
    <row r="2171" spans="1:15" x14ac:dyDescent="0.3">
      <c r="A2171" t="s">
        <v>2256</v>
      </c>
      <c r="B2171" t="s">
        <v>74</v>
      </c>
      <c r="C2171" t="s">
        <v>62</v>
      </c>
      <c r="D2171" t="s">
        <v>95</v>
      </c>
      <c r="E2171" t="s">
        <v>19</v>
      </c>
      <c r="F2171" s="1">
        <v>45399</v>
      </c>
      <c r="G2171">
        <v>5</v>
      </c>
      <c r="H2171">
        <v>800.99</v>
      </c>
      <c r="I2171">
        <v>5</v>
      </c>
      <c r="J2171" t="s">
        <v>71</v>
      </c>
      <c r="K2171">
        <v>200.25</v>
      </c>
      <c r="L2171">
        <v>4004.95</v>
      </c>
      <c r="M2171">
        <v>3804.7</v>
      </c>
      <c r="N2171" t="s">
        <v>27</v>
      </c>
      <c r="O2171">
        <v>2024</v>
      </c>
    </row>
    <row r="2172" spans="1:15" x14ac:dyDescent="0.3">
      <c r="A2172" t="s">
        <v>2257</v>
      </c>
      <c r="B2172" t="s">
        <v>61</v>
      </c>
      <c r="C2172" t="s">
        <v>17</v>
      </c>
      <c r="D2172" t="s">
        <v>24</v>
      </c>
      <c r="E2172" t="s">
        <v>44</v>
      </c>
      <c r="F2172" s="1">
        <v>45366</v>
      </c>
      <c r="G2172">
        <v>10</v>
      </c>
      <c r="H2172">
        <v>2804.06</v>
      </c>
      <c r="I2172">
        <v>20</v>
      </c>
      <c r="J2172" t="s">
        <v>36</v>
      </c>
      <c r="K2172">
        <v>5608.12</v>
      </c>
      <c r="L2172">
        <v>28040.6</v>
      </c>
      <c r="M2172">
        <v>22432.48</v>
      </c>
      <c r="N2172" t="s">
        <v>83</v>
      </c>
      <c r="O2172">
        <v>2024</v>
      </c>
    </row>
    <row r="2173" spans="1:15" x14ac:dyDescent="0.3">
      <c r="A2173" t="s">
        <v>2258</v>
      </c>
      <c r="B2173" t="s">
        <v>74</v>
      </c>
      <c r="C2173" t="s">
        <v>90</v>
      </c>
      <c r="D2173" t="s">
        <v>152</v>
      </c>
      <c r="E2173" t="s">
        <v>81</v>
      </c>
      <c r="F2173" s="1">
        <v>45862</v>
      </c>
      <c r="G2173">
        <v>10</v>
      </c>
      <c r="H2173">
        <v>10335.65</v>
      </c>
      <c r="I2173">
        <v>10</v>
      </c>
      <c r="J2173" t="s">
        <v>26</v>
      </c>
      <c r="K2173">
        <v>10335.65</v>
      </c>
      <c r="L2173">
        <v>103356.5</v>
      </c>
      <c r="M2173">
        <v>93020.85</v>
      </c>
      <c r="N2173" t="s">
        <v>122</v>
      </c>
      <c r="O2173">
        <v>2025</v>
      </c>
    </row>
    <row r="2174" spans="1:15" x14ac:dyDescent="0.3">
      <c r="A2174" t="s">
        <v>2259</v>
      </c>
      <c r="B2174" t="s">
        <v>93</v>
      </c>
      <c r="C2174" t="s">
        <v>34</v>
      </c>
      <c r="D2174" t="s">
        <v>35</v>
      </c>
      <c r="E2174" t="s">
        <v>81</v>
      </c>
      <c r="F2174" s="1">
        <v>45851</v>
      </c>
      <c r="G2174">
        <v>1</v>
      </c>
      <c r="H2174">
        <v>28456.79</v>
      </c>
      <c r="I2174">
        <v>5</v>
      </c>
      <c r="J2174" t="s">
        <v>40</v>
      </c>
      <c r="K2174">
        <v>1422.84</v>
      </c>
      <c r="L2174">
        <v>28456.79</v>
      </c>
      <c r="M2174">
        <v>27033.95</v>
      </c>
      <c r="N2174" t="s">
        <v>122</v>
      </c>
      <c r="O2174">
        <v>2025</v>
      </c>
    </row>
    <row r="2175" spans="1:15" x14ac:dyDescent="0.3">
      <c r="A2175" t="s">
        <v>2260</v>
      </c>
      <c r="B2175" t="s">
        <v>74</v>
      </c>
      <c r="C2175" t="s">
        <v>17</v>
      </c>
      <c r="D2175" t="s">
        <v>39</v>
      </c>
      <c r="E2175" t="s">
        <v>25</v>
      </c>
      <c r="F2175" s="1">
        <v>45970</v>
      </c>
      <c r="G2175">
        <v>9</v>
      </c>
      <c r="H2175">
        <v>19964.099999999999</v>
      </c>
      <c r="I2175">
        <v>20</v>
      </c>
      <c r="J2175" t="s">
        <v>20</v>
      </c>
      <c r="K2175">
        <v>35935.379999999997</v>
      </c>
      <c r="L2175">
        <v>179676.9</v>
      </c>
      <c r="M2175">
        <v>143741.51999999999</v>
      </c>
      <c r="N2175" t="s">
        <v>96</v>
      </c>
      <c r="O2175">
        <v>2025</v>
      </c>
    </row>
    <row r="2176" spans="1:15" x14ac:dyDescent="0.3">
      <c r="A2176" t="s">
        <v>2261</v>
      </c>
      <c r="B2176" t="s">
        <v>43</v>
      </c>
      <c r="C2176" t="s">
        <v>62</v>
      </c>
      <c r="D2176" t="s">
        <v>132</v>
      </c>
      <c r="E2176" t="s">
        <v>30</v>
      </c>
      <c r="F2176" s="1">
        <v>45597</v>
      </c>
      <c r="G2176">
        <v>10</v>
      </c>
      <c r="H2176">
        <v>2707.18</v>
      </c>
      <c r="I2176">
        <v>20</v>
      </c>
      <c r="J2176" t="s">
        <v>36</v>
      </c>
      <c r="K2176">
        <v>5414.36</v>
      </c>
      <c r="L2176">
        <v>27071.8</v>
      </c>
      <c r="M2176">
        <v>21657.439999999999</v>
      </c>
      <c r="N2176" t="s">
        <v>96</v>
      </c>
      <c r="O2176">
        <v>2024</v>
      </c>
    </row>
    <row r="2177" spans="1:15" x14ac:dyDescent="0.3">
      <c r="A2177" t="s">
        <v>2262</v>
      </c>
      <c r="B2177" t="s">
        <v>61</v>
      </c>
      <c r="C2177" t="s">
        <v>54</v>
      </c>
      <c r="D2177" t="s">
        <v>77</v>
      </c>
      <c r="E2177" t="s">
        <v>25</v>
      </c>
      <c r="F2177" s="1">
        <v>45582</v>
      </c>
      <c r="G2177">
        <v>6</v>
      </c>
      <c r="H2177">
        <v>5571.31</v>
      </c>
      <c r="I2177">
        <v>20</v>
      </c>
      <c r="J2177" t="s">
        <v>82</v>
      </c>
      <c r="K2177">
        <v>6685.57</v>
      </c>
      <c r="L2177">
        <v>33427.86</v>
      </c>
      <c r="M2177">
        <v>26742.29</v>
      </c>
      <c r="N2177" t="s">
        <v>57</v>
      </c>
      <c r="O2177">
        <v>2024</v>
      </c>
    </row>
    <row r="2178" spans="1:15" x14ac:dyDescent="0.3">
      <c r="A2178" t="s">
        <v>2263</v>
      </c>
      <c r="B2178" t="s">
        <v>74</v>
      </c>
      <c r="C2178" t="s">
        <v>54</v>
      </c>
      <c r="D2178" t="s">
        <v>68</v>
      </c>
      <c r="E2178" t="s">
        <v>44</v>
      </c>
      <c r="F2178" s="1">
        <v>46003</v>
      </c>
      <c r="G2178">
        <v>8</v>
      </c>
      <c r="H2178">
        <v>4568.4399999999996</v>
      </c>
      <c r="I2178">
        <v>5</v>
      </c>
      <c r="J2178" t="s">
        <v>26</v>
      </c>
      <c r="K2178">
        <v>1827.38</v>
      </c>
      <c r="L2178">
        <v>36547.519999999997</v>
      </c>
      <c r="M2178">
        <v>34720.14</v>
      </c>
      <c r="N2178" t="s">
        <v>51</v>
      </c>
      <c r="O2178">
        <v>2025</v>
      </c>
    </row>
    <row r="2179" spans="1:15" x14ac:dyDescent="0.3">
      <c r="A2179" t="s">
        <v>2264</v>
      </c>
      <c r="B2179" t="s">
        <v>23</v>
      </c>
      <c r="C2179" t="s">
        <v>34</v>
      </c>
      <c r="D2179" t="s">
        <v>66</v>
      </c>
      <c r="E2179" t="s">
        <v>56</v>
      </c>
      <c r="F2179" s="1">
        <v>45781</v>
      </c>
      <c r="G2179">
        <v>4</v>
      </c>
      <c r="H2179">
        <v>41392.699999999997</v>
      </c>
      <c r="I2179">
        <v>5</v>
      </c>
      <c r="J2179" t="s">
        <v>31</v>
      </c>
      <c r="K2179">
        <v>8278.5400000000009</v>
      </c>
      <c r="L2179">
        <v>165570.79999999999</v>
      </c>
      <c r="M2179">
        <v>157292.26</v>
      </c>
      <c r="N2179" t="s">
        <v>101</v>
      </c>
      <c r="O2179">
        <v>2025</v>
      </c>
    </row>
    <row r="2180" spans="1:15" x14ac:dyDescent="0.3">
      <c r="A2180" t="s">
        <v>2265</v>
      </c>
      <c r="B2180" t="s">
        <v>89</v>
      </c>
      <c r="C2180" t="s">
        <v>17</v>
      </c>
      <c r="D2180" t="s">
        <v>24</v>
      </c>
      <c r="E2180" t="s">
        <v>19</v>
      </c>
      <c r="F2180" s="1">
        <v>45371</v>
      </c>
      <c r="G2180">
        <v>10</v>
      </c>
      <c r="H2180">
        <v>2747.61</v>
      </c>
      <c r="I2180">
        <v>15</v>
      </c>
      <c r="J2180" t="s">
        <v>31</v>
      </c>
      <c r="K2180">
        <v>4121.41</v>
      </c>
      <c r="L2180">
        <v>27476.1</v>
      </c>
      <c r="M2180">
        <v>23354.69</v>
      </c>
      <c r="N2180" t="s">
        <v>83</v>
      </c>
      <c r="O2180">
        <v>2024</v>
      </c>
    </row>
    <row r="2181" spans="1:15" x14ac:dyDescent="0.3">
      <c r="A2181" t="s">
        <v>2266</v>
      </c>
      <c r="B2181" t="s">
        <v>65</v>
      </c>
      <c r="C2181" t="s">
        <v>90</v>
      </c>
      <c r="D2181" t="s">
        <v>91</v>
      </c>
      <c r="E2181" t="s">
        <v>56</v>
      </c>
      <c r="F2181" s="1">
        <v>45846</v>
      </c>
      <c r="G2181">
        <v>3</v>
      </c>
      <c r="H2181">
        <v>1671.38</v>
      </c>
      <c r="I2181">
        <v>20</v>
      </c>
      <c r="J2181" t="s">
        <v>31</v>
      </c>
      <c r="K2181">
        <v>1002.83</v>
      </c>
      <c r="L2181">
        <v>5014.1400000000003</v>
      </c>
      <c r="M2181">
        <v>4011.31</v>
      </c>
      <c r="N2181" t="s">
        <v>122</v>
      </c>
      <c r="O2181">
        <v>2025</v>
      </c>
    </row>
    <row r="2182" spans="1:15" x14ac:dyDescent="0.3">
      <c r="A2182" t="s">
        <v>2267</v>
      </c>
      <c r="B2182" t="s">
        <v>89</v>
      </c>
      <c r="C2182" t="s">
        <v>90</v>
      </c>
      <c r="D2182" t="s">
        <v>91</v>
      </c>
      <c r="E2182" t="s">
        <v>30</v>
      </c>
      <c r="F2182" s="1">
        <v>45424</v>
      </c>
      <c r="G2182">
        <v>6</v>
      </c>
      <c r="H2182">
        <v>1543.54</v>
      </c>
      <c r="I2182">
        <v>5</v>
      </c>
      <c r="J2182" t="s">
        <v>36</v>
      </c>
      <c r="K2182">
        <v>463.06</v>
      </c>
      <c r="L2182">
        <v>9261.24</v>
      </c>
      <c r="M2182">
        <v>8798.18</v>
      </c>
      <c r="N2182" t="s">
        <v>101</v>
      </c>
      <c r="O2182">
        <v>2024</v>
      </c>
    </row>
    <row r="2183" spans="1:15" x14ac:dyDescent="0.3">
      <c r="A2183" t="s">
        <v>2268</v>
      </c>
      <c r="B2183" t="s">
        <v>74</v>
      </c>
      <c r="C2183" t="s">
        <v>90</v>
      </c>
      <c r="D2183" t="s">
        <v>105</v>
      </c>
      <c r="E2183" t="s">
        <v>30</v>
      </c>
      <c r="F2183" s="1">
        <v>45989</v>
      </c>
      <c r="G2183">
        <v>9</v>
      </c>
      <c r="H2183">
        <v>3465.63</v>
      </c>
      <c r="I2183">
        <v>5</v>
      </c>
      <c r="J2183" t="s">
        <v>45</v>
      </c>
      <c r="K2183">
        <v>1559.53</v>
      </c>
      <c r="L2183">
        <v>31190.67</v>
      </c>
      <c r="M2183">
        <v>29631.14</v>
      </c>
      <c r="N2183" t="s">
        <v>96</v>
      </c>
      <c r="O2183">
        <v>2025</v>
      </c>
    </row>
    <row r="2184" spans="1:15" x14ac:dyDescent="0.3">
      <c r="A2184" t="s">
        <v>2269</v>
      </c>
      <c r="B2184" t="s">
        <v>109</v>
      </c>
      <c r="C2184" t="s">
        <v>34</v>
      </c>
      <c r="D2184" t="s">
        <v>48</v>
      </c>
      <c r="E2184" t="s">
        <v>30</v>
      </c>
      <c r="F2184" s="1">
        <v>45322</v>
      </c>
      <c r="G2184">
        <v>6</v>
      </c>
      <c r="H2184">
        <v>8711.1299999999992</v>
      </c>
      <c r="I2184">
        <v>15</v>
      </c>
      <c r="J2184" t="s">
        <v>40</v>
      </c>
      <c r="K2184">
        <v>7840.02</v>
      </c>
      <c r="L2184">
        <v>52266.78</v>
      </c>
      <c r="M2184">
        <v>44426.76</v>
      </c>
      <c r="N2184" t="s">
        <v>116</v>
      </c>
      <c r="O2184">
        <v>2024</v>
      </c>
    </row>
    <row r="2185" spans="1:15" x14ac:dyDescent="0.3">
      <c r="A2185" t="s">
        <v>2270</v>
      </c>
      <c r="B2185" t="s">
        <v>33</v>
      </c>
      <c r="C2185" t="s">
        <v>90</v>
      </c>
      <c r="D2185" t="s">
        <v>91</v>
      </c>
      <c r="E2185" t="s">
        <v>30</v>
      </c>
      <c r="F2185" s="1">
        <v>45874</v>
      </c>
      <c r="G2185">
        <v>1</v>
      </c>
      <c r="H2185">
        <v>1361.49</v>
      </c>
      <c r="I2185">
        <v>0</v>
      </c>
      <c r="J2185" t="s">
        <v>71</v>
      </c>
      <c r="K2185">
        <v>0</v>
      </c>
      <c r="L2185">
        <v>1361.49</v>
      </c>
      <c r="M2185">
        <v>1361.49</v>
      </c>
      <c r="N2185" t="s">
        <v>21</v>
      </c>
      <c r="O2185">
        <v>2025</v>
      </c>
    </row>
    <row r="2186" spans="1:15" x14ac:dyDescent="0.3">
      <c r="A2186" t="s">
        <v>2271</v>
      </c>
      <c r="B2186" t="s">
        <v>114</v>
      </c>
      <c r="C2186" t="s">
        <v>34</v>
      </c>
      <c r="D2186" t="s">
        <v>48</v>
      </c>
      <c r="E2186" t="s">
        <v>81</v>
      </c>
      <c r="F2186" s="1">
        <v>45642</v>
      </c>
      <c r="G2186">
        <v>6</v>
      </c>
      <c r="H2186">
        <v>8510.31</v>
      </c>
      <c r="I2186">
        <v>5</v>
      </c>
      <c r="J2186" t="s">
        <v>36</v>
      </c>
      <c r="K2186">
        <v>2553.09</v>
      </c>
      <c r="L2186">
        <v>51061.86</v>
      </c>
      <c r="M2186">
        <v>48508.77</v>
      </c>
      <c r="N2186" t="s">
        <v>51</v>
      </c>
      <c r="O2186">
        <v>2024</v>
      </c>
    </row>
    <row r="2187" spans="1:15" x14ac:dyDescent="0.3">
      <c r="A2187" t="s">
        <v>2272</v>
      </c>
      <c r="B2187" t="s">
        <v>89</v>
      </c>
      <c r="C2187" t="s">
        <v>54</v>
      </c>
      <c r="D2187" t="s">
        <v>68</v>
      </c>
      <c r="E2187" t="s">
        <v>81</v>
      </c>
      <c r="F2187" s="1">
        <v>45492</v>
      </c>
      <c r="G2187">
        <v>3</v>
      </c>
      <c r="H2187">
        <v>4447.1499999999996</v>
      </c>
      <c r="I2187">
        <v>20</v>
      </c>
      <c r="J2187" t="s">
        <v>31</v>
      </c>
      <c r="K2187">
        <v>2668.29</v>
      </c>
      <c r="L2187">
        <v>13341.45</v>
      </c>
      <c r="M2187">
        <v>10673.16</v>
      </c>
      <c r="N2187" t="s">
        <v>122</v>
      </c>
      <c r="O2187">
        <v>2024</v>
      </c>
    </row>
    <row r="2188" spans="1:15" x14ac:dyDescent="0.3">
      <c r="A2188" t="s">
        <v>2273</v>
      </c>
      <c r="B2188" t="s">
        <v>61</v>
      </c>
      <c r="C2188" t="s">
        <v>62</v>
      </c>
      <c r="D2188" t="s">
        <v>63</v>
      </c>
      <c r="E2188" t="s">
        <v>50</v>
      </c>
      <c r="F2188" s="1">
        <v>45991</v>
      </c>
      <c r="G2188">
        <v>9</v>
      </c>
      <c r="H2188">
        <v>2147.98</v>
      </c>
      <c r="I2188">
        <v>10</v>
      </c>
      <c r="J2188" t="s">
        <v>36</v>
      </c>
      <c r="K2188">
        <v>1933.18</v>
      </c>
      <c r="L2188">
        <v>19331.82</v>
      </c>
      <c r="M2188">
        <v>17398.64</v>
      </c>
      <c r="N2188" t="s">
        <v>96</v>
      </c>
      <c r="O2188">
        <v>2025</v>
      </c>
    </row>
    <row r="2189" spans="1:15" x14ac:dyDescent="0.3">
      <c r="A2189" t="s">
        <v>2274</v>
      </c>
      <c r="B2189" t="s">
        <v>38</v>
      </c>
      <c r="C2189" t="s">
        <v>90</v>
      </c>
      <c r="D2189" t="s">
        <v>107</v>
      </c>
      <c r="E2189" t="s">
        <v>50</v>
      </c>
      <c r="F2189" s="1">
        <v>45640</v>
      </c>
      <c r="G2189">
        <v>7</v>
      </c>
      <c r="H2189">
        <v>12422.59</v>
      </c>
      <c r="I2189">
        <v>0</v>
      </c>
      <c r="J2189" t="s">
        <v>82</v>
      </c>
      <c r="K2189">
        <v>0</v>
      </c>
      <c r="L2189">
        <v>86958.13</v>
      </c>
      <c r="M2189">
        <v>86958.13</v>
      </c>
      <c r="N2189" t="s">
        <v>51</v>
      </c>
      <c r="O2189">
        <v>2024</v>
      </c>
    </row>
    <row r="2190" spans="1:15" x14ac:dyDescent="0.3">
      <c r="A2190" t="s">
        <v>2275</v>
      </c>
      <c r="B2190" t="s">
        <v>65</v>
      </c>
      <c r="C2190" t="s">
        <v>62</v>
      </c>
      <c r="D2190" t="s">
        <v>63</v>
      </c>
      <c r="E2190" t="s">
        <v>44</v>
      </c>
      <c r="F2190" s="1">
        <v>45786</v>
      </c>
      <c r="G2190">
        <v>3</v>
      </c>
      <c r="H2190">
        <v>2031.28</v>
      </c>
      <c r="I2190">
        <v>10</v>
      </c>
      <c r="J2190" t="s">
        <v>45</v>
      </c>
      <c r="K2190">
        <v>609.38</v>
      </c>
      <c r="L2190">
        <v>6093.84</v>
      </c>
      <c r="M2190">
        <v>5484.46</v>
      </c>
      <c r="N2190" t="s">
        <v>101</v>
      </c>
      <c r="O2190">
        <v>2025</v>
      </c>
    </row>
    <row r="2191" spans="1:15" x14ac:dyDescent="0.3">
      <c r="A2191" t="s">
        <v>2276</v>
      </c>
      <c r="B2191" t="s">
        <v>93</v>
      </c>
      <c r="C2191" t="s">
        <v>90</v>
      </c>
      <c r="D2191" t="s">
        <v>107</v>
      </c>
      <c r="E2191" t="s">
        <v>50</v>
      </c>
      <c r="F2191" s="1">
        <v>45895</v>
      </c>
      <c r="G2191">
        <v>4</v>
      </c>
      <c r="H2191">
        <v>13405</v>
      </c>
      <c r="I2191">
        <v>5</v>
      </c>
      <c r="J2191" t="s">
        <v>31</v>
      </c>
      <c r="K2191">
        <v>2681</v>
      </c>
      <c r="L2191">
        <v>53620</v>
      </c>
      <c r="M2191">
        <v>50939</v>
      </c>
      <c r="N2191" t="s">
        <v>21</v>
      </c>
      <c r="O2191">
        <v>2025</v>
      </c>
    </row>
    <row r="2192" spans="1:15" x14ac:dyDescent="0.3">
      <c r="A2192" t="s">
        <v>2277</v>
      </c>
      <c r="B2192" t="s">
        <v>93</v>
      </c>
      <c r="C2192" t="s">
        <v>62</v>
      </c>
      <c r="D2192" t="s">
        <v>132</v>
      </c>
      <c r="E2192" t="s">
        <v>44</v>
      </c>
      <c r="F2192" s="1">
        <v>45396</v>
      </c>
      <c r="G2192">
        <v>4</v>
      </c>
      <c r="H2192">
        <v>2787.78</v>
      </c>
      <c r="I2192">
        <v>20</v>
      </c>
      <c r="J2192" t="s">
        <v>45</v>
      </c>
      <c r="K2192">
        <v>2230.2199999999998</v>
      </c>
      <c r="L2192">
        <v>11151.12</v>
      </c>
      <c r="M2192">
        <v>8920.9</v>
      </c>
      <c r="N2192" t="s">
        <v>27</v>
      </c>
      <c r="O2192">
        <v>2024</v>
      </c>
    </row>
    <row r="2193" spans="1:15" x14ac:dyDescent="0.3">
      <c r="A2193" t="s">
        <v>2278</v>
      </c>
      <c r="B2193" t="s">
        <v>16</v>
      </c>
      <c r="C2193" t="s">
        <v>17</v>
      </c>
      <c r="D2193" t="s">
        <v>24</v>
      </c>
      <c r="E2193" t="s">
        <v>56</v>
      </c>
      <c r="F2193" s="1">
        <v>45666</v>
      </c>
      <c r="G2193">
        <v>1</v>
      </c>
      <c r="H2193">
        <v>3413.72</v>
      </c>
      <c r="I2193">
        <v>15</v>
      </c>
      <c r="J2193" t="s">
        <v>45</v>
      </c>
      <c r="K2193">
        <v>512.05999999999995</v>
      </c>
      <c r="L2193">
        <v>3413.72</v>
      </c>
      <c r="M2193">
        <v>2901.66</v>
      </c>
      <c r="N2193" t="s">
        <v>116</v>
      </c>
      <c r="O2193">
        <v>2025</v>
      </c>
    </row>
    <row r="2194" spans="1:15" x14ac:dyDescent="0.3">
      <c r="A2194" t="s">
        <v>2279</v>
      </c>
      <c r="B2194" t="s">
        <v>23</v>
      </c>
      <c r="C2194" t="s">
        <v>54</v>
      </c>
      <c r="D2194" t="s">
        <v>137</v>
      </c>
      <c r="E2194" t="s">
        <v>44</v>
      </c>
      <c r="F2194" s="1">
        <v>45308</v>
      </c>
      <c r="G2194">
        <v>10</v>
      </c>
      <c r="H2194">
        <v>882.1</v>
      </c>
      <c r="I2194">
        <v>15</v>
      </c>
      <c r="J2194" t="s">
        <v>45</v>
      </c>
      <c r="K2194">
        <v>1323.15</v>
      </c>
      <c r="L2194">
        <v>8821</v>
      </c>
      <c r="M2194">
        <v>7497.85</v>
      </c>
      <c r="N2194" t="s">
        <v>116</v>
      </c>
      <c r="O2194">
        <v>2024</v>
      </c>
    </row>
    <row r="2195" spans="1:15" x14ac:dyDescent="0.3">
      <c r="A2195" t="s">
        <v>2280</v>
      </c>
      <c r="B2195" t="s">
        <v>29</v>
      </c>
      <c r="C2195" t="s">
        <v>62</v>
      </c>
      <c r="D2195" t="s">
        <v>119</v>
      </c>
      <c r="E2195" t="s">
        <v>25</v>
      </c>
      <c r="F2195" s="1">
        <v>45605</v>
      </c>
      <c r="G2195">
        <v>10</v>
      </c>
      <c r="H2195">
        <v>3580.48</v>
      </c>
      <c r="I2195">
        <v>20</v>
      </c>
      <c r="J2195" t="s">
        <v>20</v>
      </c>
      <c r="K2195">
        <v>7160.96</v>
      </c>
      <c r="L2195">
        <v>35804.800000000003</v>
      </c>
      <c r="M2195">
        <v>28643.84</v>
      </c>
      <c r="N2195" t="s">
        <v>96</v>
      </c>
      <c r="O2195">
        <v>2024</v>
      </c>
    </row>
    <row r="2196" spans="1:15" x14ac:dyDescent="0.3">
      <c r="A2196" t="s">
        <v>2281</v>
      </c>
      <c r="B2196" t="s">
        <v>114</v>
      </c>
      <c r="C2196" t="s">
        <v>54</v>
      </c>
      <c r="D2196" t="s">
        <v>70</v>
      </c>
      <c r="E2196" t="s">
        <v>44</v>
      </c>
      <c r="F2196" s="1">
        <v>45784</v>
      </c>
      <c r="G2196">
        <v>10</v>
      </c>
      <c r="H2196">
        <v>2552.66</v>
      </c>
      <c r="I2196">
        <v>0</v>
      </c>
      <c r="J2196" t="s">
        <v>82</v>
      </c>
      <c r="K2196">
        <v>0</v>
      </c>
      <c r="L2196">
        <v>25526.6</v>
      </c>
      <c r="M2196">
        <v>25526.6</v>
      </c>
      <c r="N2196" t="s">
        <v>101</v>
      </c>
      <c r="O2196">
        <v>2025</v>
      </c>
    </row>
    <row r="2197" spans="1:15" x14ac:dyDescent="0.3">
      <c r="A2197" t="s">
        <v>2282</v>
      </c>
      <c r="B2197" t="s">
        <v>38</v>
      </c>
      <c r="C2197" t="s">
        <v>34</v>
      </c>
      <c r="D2197" t="s">
        <v>66</v>
      </c>
      <c r="E2197" t="s">
        <v>30</v>
      </c>
      <c r="F2197" s="1">
        <v>45887</v>
      </c>
      <c r="G2197">
        <v>4</v>
      </c>
      <c r="H2197">
        <v>38691.339999999997</v>
      </c>
      <c r="I2197">
        <v>0</v>
      </c>
      <c r="J2197" t="s">
        <v>45</v>
      </c>
      <c r="K2197">
        <v>0</v>
      </c>
      <c r="L2197">
        <v>154765.35999999999</v>
      </c>
      <c r="M2197">
        <v>154765.35999999999</v>
      </c>
      <c r="N2197" t="s">
        <v>21</v>
      </c>
      <c r="O2197">
        <v>2025</v>
      </c>
    </row>
    <row r="2198" spans="1:15" x14ac:dyDescent="0.3">
      <c r="A2198" t="s">
        <v>2283</v>
      </c>
      <c r="B2198" t="s">
        <v>29</v>
      </c>
      <c r="C2198" t="s">
        <v>17</v>
      </c>
      <c r="D2198" t="s">
        <v>39</v>
      </c>
      <c r="E2198" t="s">
        <v>56</v>
      </c>
      <c r="F2198" s="1">
        <v>45382</v>
      </c>
      <c r="G2198">
        <v>6</v>
      </c>
      <c r="H2198">
        <v>17521.419999999998</v>
      </c>
      <c r="I2198">
        <v>0</v>
      </c>
      <c r="J2198" t="s">
        <v>40</v>
      </c>
      <c r="K2198">
        <v>0</v>
      </c>
      <c r="L2198">
        <v>105128.52</v>
      </c>
      <c r="M2198">
        <v>105128.52</v>
      </c>
      <c r="N2198" t="s">
        <v>83</v>
      </c>
      <c r="O2198">
        <v>2024</v>
      </c>
    </row>
    <row r="2199" spans="1:15" x14ac:dyDescent="0.3">
      <c r="A2199" t="s">
        <v>2284</v>
      </c>
      <c r="B2199" t="s">
        <v>29</v>
      </c>
      <c r="C2199" t="s">
        <v>62</v>
      </c>
      <c r="D2199" t="s">
        <v>119</v>
      </c>
      <c r="E2199" t="s">
        <v>25</v>
      </c>
      <c r="F2199" s="1">
        <v>45469</v>
      </c>
      <c r="G2199">
        <v>6</v>
      </c>
      <c r="H2199">
        <v>3691.96</v>
      </c>
      <c r="I2199">
        <v>5</v>
      </c>
      <c r="J2199" t="s">
        <v>20</v>
      </c>
      <c r="K2199">
        <v>1107.5899999999999</v>
      </c>
      <c r="L2199">
        <v>22151.759999999998</v>
      </c>
      <c r="M2199">
        <v>21044.17</v>
      </c>
      <c r="N2199" t="s">
        <v>72</v>
      </c>
      <c r="O2199">
        <v>2024</v>
      </c>
    </row>
    <row r="2200" spans="1:15" x14ac:dyDescent="0.3">
      <c r="A2200" t="s">
        <v>2285</v>
      </c>
      <c r="B2200" t="s">
        <v>16</v>
      </c>
      <c r="C2200" t="s">
        <v>90</v>
      </c>
      <c r="D2200" t="s">
        <v>152</v>
      </c>
      <c r="E2200" t="s">
        <v>44</v>
      </c>
      <c r="F2200" s="1">
        <v>45535</v>
      </c>
      <c r="G2200">
        <v>7</v>
      </c>
      <c r="H2200">
        <v>10118.32</v>
      </c>
      <c r="I2200">
        <v>10</v>
      </c>
      <c r="J2200" t="s">
        <v>82</v>
      </c>
      <c r="K2200">
        <v>7082.82</v>
      </c>
      <c r="L2200">
        <v>70828.240000000005</v>
      </c>
      <c r="M2200">
        <v>63745.42</v>
      </c>
      <c r="N2200" t="s">
        <v>21</v>
      </c>
      <c r="O2200">
        <v>2024</v>
      </c>
    </row>
    <row r="2201" spans="1:15" x14ac:dyDescent="0.3">
      <c r="A2201" t="s">
        <v>2286</v>
      </c>
      <c r="B2201" t="s">
        <v>93</v>
      </c>
      <c r="C2201" t="s">
        <v>17</v>
      </c>
      <c r="D2201" t="s">
        <v>18</v>
      </c>
      <c r="E2201" t="s">
        <v>19</v>
      </c>
      <c r="F2201" s="1">
        <v>46005</v>
      </c>
      <c r="G2201">
        <v>2</v>
      </c>
      <c r="H2201">
        <v>69417.179999999993</v>
      </c>
      <c r="I2201">
        <v>0</v>
      </c>
      <c r="J2201" t="s">
        <v>36</v>
      </c>
      <c r="K2201">
        <v>0</v>
      </c>
      <c r="L2201">
        <v>138834.35999999999</v>
      </c>
      <c r="M2201">
        <v>138834.35999999999</v>
      </c>
      <c r="N2201" t="s">
        <v>51</v>
      </c>
      <c r="O2201">
        <v>2025</v>
      </c>
    </row>
    <row r="2202" spans="1:15" x14ac:dyDescent="0.3">
      <c r="A2202" t="s">
        <v>2287</v>
      </c>
      <c r="B2202" t="s">
        <v>53</v>
      </c>
      <c r="C2202" t="s">
        <v>17</v>
      </c>
      <c r="D2202" t="s">
        <v>39</v>
      </c>
      <c r="E2202" t="s">
        <v>56</v>
      </c>
      <c r="F2202" s="1">
        <v>45922</v>
      </c>
      <c r="G2202">
        <v>9</v>
      </c>
      <c r="H2202">
        <v>20465.89</v>
      </c>
      <c r="I2202">
        <v>0</v>
      </c>
      <c r="J2202" t="s">
        <v>31</v>
      </c>
      <c r="K2202">
        <v>0</v>
      </c>
      <c r="L2202">
        <v>184193.01</v>
      </c>
      <c r="M2202">
        <v>184193.01</v>
      </c>
      <c r="N2202" t="s">
        <v>86</v>
      </c>
      <c r="O2202">
        <v>2025</v>
      </c>
    </row>
    <row r="2203" spans="1:15" x14ac:dyDescent="0.3">
      <c r="A2203" t="s">
        <v>2288</v>
      </c>
      <c r="B2203" t="s">
        <v>89</v>
      </c>
      <c r="C2203" t="s">
        <v>54</v>
      </c>
      <c r="D2203" t="s">
        <v>77</v>
      </c>
      <c r="E2203" t="s">
        <v>81</v>
      </c>
      <c r="F2203" s="1">
        <v>45911</v>
      </c>
      <c r="G2203">
        <v>3</v>
      </c>
      <c r="H2203">
        <v>5447.21</v>
      </c>
      <c r="I2203">
        <v>0</v>
      </c>
      <c r="J2203" t="s">
        <v>26</v>
      </c>
      <c r="K2203">
        <v>0</v>
      </c>
      <c r="L2203">
        <v>16341.63</v>
      </c>
      <c r="M2203">
        <v>16341.63</v>
      </c>
      <c r="N2203" t="s">
        <v>86</v>
      </c>
      <c r="O2203">
        <v>2025</v>
      </c>
    </row>
    <row r="2204" spans="1:15" x14ac:dyDescent="0.3">
      <c r="A2204" t="s">
        <v>2289</v>
      </c>
      <c r="B2204" t="s">
        <v>53</v>
      </c>
      <c r="C2204" t="s">
        <v>62</v>
      </c>
      <c r="D2204" t="s">
        <v>119</v>
      </c>
      <c r="E2204" t="s">
        <v>50</v>
      </c>
      <c r="F2204" s="1">
        <v>45703</v>
      </c>
      <c r="G2204">
        <v>3</v>
      </c>
      <c r="H2204">
        <v>3928.91</v>
      </c>
      <c r="I2204">
        <v>10</v>
      </c>
      <c r="J2204" t="s">
        <v>45</v>
      </c>
      <c r="K2204">
        <v>1178.67</v>
      </c>
      <c r="L2204">
        <v>11786.73</v>
      </c>
      <c r="M2204">
        <v>10608.06</v>
      </c>
      <c r="N2204" t="s">
        <v>41</v>
      </c>
      <c r="O2204">
        <v>2025</v>
      </c>
    </row>
    <row r="2205" spans="1:15" x14ac:dyDescent="0.3">
      <c r="A2205" t="s">
        <v>2290</v>
      </c>
      <c r="B2205" t="s">
        <v>23</v>
      </c>
      <c r="C2205" t="s">
        <v>54</v>
      </c>
      <c r="D2205" t="s">
        <v>68</v>
      </c>
      <c r="E2205" t="s">
        <v>25</v>
      </c>
      <c r="F2205" s="1">
        <v>45889</v>
      </c>
      <c r="G2205">
        <v>9</v>
      </c>
      <c r="H2205">
        <v>4517.45</v>
      </c>
      <c r="I2205">
        <v>15</v>
      </c>
      <c r="J2205" t="s">
        <v>45</v>
      </c>
      <c r="K2205">
        <v>6098.56</v>
      </c>
      <c r="L2205">
        <v>40657.050000000003</v>
      </c>
      <c r="M2205">
        <v>34558.49</v>
      </c>
      <c r="N2205" t="s">
        <v>21</v>
      </c>
      <c r="O2205">
        <v>2025</v>
      </c>
    </row>
    <row r="2206" spans="1:15" x14ac:dyDescent="0.3">
      <c r="A2206" t="s">
        <v>2291</v>
      </c>
      <c r="B2206" t="s">
        <v>43</v>
      </c>
      <c r="C2206" t="s">
        <v>54</v>
      </c>
      <c r="D2206" t="s">
        <v>68</v>
      </c>
      <c r="E2206" t="s">
        <v>19</v>
      </c>
      <c r="F2206" s="1">
        <v>45433</v>
      </c>
      <c r="G2206">
        <v>8</v>
      </c>
      <c r="H2206">
        <v>4844.3599999999997</v>
      </c>
      <c r="I2206">
        <v>20</v>
      </c>
      <c r="J2206" t="s">
        <v>36</v>
      </c>
      <c r="K2206">
        <v>7750.98</v>
      </c>
      <c r="L2206">
        <v>38754.879999999997</v>
      </c>
      <c r="M2206">
        <v>31003.9</v>
      </c>
      <c r="N2206" t="s">
        <v>101</v>
      </c>
      <c r="O2206">
        <v>2024</v>
      </c>
    </row>
    <row r="2207" spans="1:15" x14ac:dyDescent="0.3">
      <c r="A2207" t="s">
        <v>2292</v>
      </c>
      <c r="B2207" t="s">
        <v>65</v>
      </c>
      <c r="C2207" t="s">
        <v>62</v>
      </c>
      <c r="D2207" t="s">
        <v>119</v>
      </c>
      <c r="E2207" t="s">
        <v>30</v>
      </c>
      <c r="F2207" s="1">
        <v>45894</v>
      </c>
      <c r="G2207">
        <v>7</v>
      </c>
      <c r="H2207">
        <v>3993.97</v>
      </c>
      <c r="I2207">
        <v>10</v>
      </c>
      <c r="J2207" t="s">
        <v>45</v>
      </c>
      <c r="K2207">
        <v>2795.78</v>
      </c>
      <c r="L2207">
        <v>27957.79</v>
      </c>
      <c r="M2207">
        <v>25162.01</v>
      </c>
      <c r="N2207" t="s">
        <v>21</v>
      </c>
      <c r="O2207">
        <v>2025</v>
      </c>
    </row>
    <row r="2208" spans="1:15" x14ac:dyDescent="0.3">
      <c r="A2208" t="s">
        <v>2293</v>
      </c>
      <c r="B2208" t="s">
        <v>53</v>
      </c>
      <c r="C2208" t="s">
        <v>54</v>
      </c>
      <c r="D2208" t="s">
        <v>137</v>
      </c>
      <c r="E2208" t="s">
        <v>81</v>
      </c>
      <c r="F2208" s="1">
        <v>45603</v>
      </c>
      <c r="G2208">
        <v>10</v>
      </c>
      <c r="H2208">
        <v>1116.3499999999999</v>
      </c>
      <c r="I2208">
        <v>0</v>
      </c>
      <c r="J2208" t="s">
        <v>36</v>
      </c>
      <c r="K2208">
        <v>0</v>
      </c>
      <c r="L2208">
        <v>11163.5</v>
      </c>
      <c r="M2208">
        <v>11163.5</v>
      </c>
      <c r="N2208" t="s">
        <v>96</v>
      </c>
      <c r="O2208">
        <v>2024</v>
      </c>
    </row>
    <row r="2209" spans="1:15" x14ac:dyDescent="0.3">
      <c r="A2209" t="s">
        <v>2294</v>
      </c>
      <c r="B2209" t="s">
        <v>109</v>
      </c>
      <c r="C2209" t="s">
        <v>90</v>
      </c>
      <c r="D2209" t="s">
        <v>115</v>
      </c>
      <c r="E2209" t="s">
        <v>50</v>
      </c>
      <c r="F2209" s="1">
        <v>45332</v>
      </c>
      <c r="G2209">
        <v>1</v>
      </c>
      <c r="H2209">
        <v>7511.89</v>
      </c>
      <c r="I2209">
        <v>10</v>
      </c>
      <c r="J2209" t="s">
        <v>26</v>
      </c>
      <c r="K2209">
        <v>751.19</v>
      </c>
      <c r="L2209">
        <v>7511.89</v>
      </c>
      <c r="M2209">
        <v>6760.7</v>
      </c>
      <c r="N2209" t="s">
        <v>41</v>
      </c>
      <c r="O2209">
        <v>2024</v>
      </c>
    </row>
    <row r="2210" spans="1:15" x14ac:dyDescent="0.3">
      <c r="A2210" t="s">
        <v>2295</v>
      </c>
      <c r="B2210" t="s">
        <v>93</v>
      </c>
      <c r="C2210" t="s">
        <v>62</v>
      </c>
      <c r="D2210" t="s">
        <v>63</v>
      </c>
      <c r="E2210" t="s">
        <v>30</v>
      </c>
      <c r="F2210" s="1">
        <v>45366</v>
      </c>
      <c r="G2210">
        <v>4</v>
      </c>
      <c r="H2210">
        <v>1679.01</v>
      </c>
      <c r="I2210">
        <v>0</v>
      </c>
      <c r="J2210" t="s">
        <v>20</v>
      </c>
      <c r="K2210">
        <v>0</v>
      </c>
      <c r="L2210">
        <v>6716.04</v>
      </c>
      <c r="M2210">
        <v>6716.04</v>
      </c>
      <c r="N2210" t="s">
        <v>83</v>
      </c>
      <c r="O2210">
        <v>2024</v>
      </c>
    </row>
    <row r="2211" spans="1:15" x14ac:dyDescent="0.3">
      <c r="A2211" t="s">
        <v>2296</v>
      </c>
      <c r="B2211" t="s">
        <v>47</v>
      </c>
      <c r="C2211" t="s">
        <v>62</v>
      </c>
      <c r="D2211" t="s">
        <v>119</v>
      </c>
      <c r="E2211" t="s">
        <v>50</v>
      </c>
      <c r="F2211" s="1">
        <v>45623</v>
      </c>
      <c r="G2211">
        <v>6</v>
      </c>
      <c r="H2211">
        <v>3927.51</v>
      </c>
      <c r="I2211">
        <v>20</v>
      </c>
      <c r="J2211" t="s">
        <v>26</v>
      </c>
      <c r="K2211">
        <v>4713.01</v>
      </c>
      <c r="L2211">
        <v>23565.06</v>
      </c>
      <c r="M2211">
        <v>18852.05</v>
      </c>
      <c r="N2211" t="s">
        <v>96</v>
      </c>
      <c r="O2211">
        <v>2024</v>
      </c>
    </row>
    <row r="2212" spans="1:15" x14ac:dyDescent="0.3">
      <c r="A2212" t="s">
        <v>2297</v>
      </c>
      <c r="B2212" t="s">
        <v>65</v>
      </c>
      <c r="C2212" t="s">
        <v>34</v>
      </c>
      <c r="D2212" t="s">
        <v>35</v>
      </c>
      <c r="E2212" t="s">
        <v>30</v>
      </c>
      <c r="F2212" s="1">
        <v>45990</v>
      </c>
      <c r="G2212">
        <v>2</v>
      </c>
      <c r="H2212">
        <v>26701.88</v>
      </c>
      <c r="I2212">
        <v>10</v>
      </c>
      <c r="J2212" t="s">
        <v>36</v>
      </c>
      <c r="K2212">
        <v>5340.38</v>
      </c>
      <c r="L2212">
        <v>53403.76</v>
      </c>
      <c r="M2212">
        <v>48063.38</v>
      </c>
      <c r="N2212" t="s">
        <v>96</v>
      </c>
      <c r="O2212">
        <v>2025</v>
      </c>
    </row>
    <row r="2213" spans="1:15" x14ac:dyDescent="0.3">
      <c r="A2213" t="s">
        <v>2298</v>
      </c>
      <c r="B2213" t="s">
        <v>93</v>
      </c>
      <c r="C2213" t="s">
        <v>54</v>
      </c>
      <c r="D2213" t="s">
        <v>77</v>
      </c>
      <c r="E2213" t="s">
        <v>56</v>
      </c>
      <c r="F2213" s="1">
        <v>45892</v>
      </c>
      <c r="G2213">
        <v>10</v>
      </c>
      <c r="H2213">
        <v>5743.88</v>
      </c>
      <c r="I2213">
        <v>15</v>
      </c>
      <c r="J2213" t="s">
        <v>31</v>
      </c>
      <c r="K2213">
        <v>8615.82</v>
      </c>
      <c r="L2213">
        <v>57438.8</v>
      </c>
      <c r="M2213">
        <v>48822.98</v>
      </c>
      <c r="N2213" t="s">
        <v>21</v>
      </c>
      <c r="O2213">
        <v>2025</v>
      </c>
    </row>
    <row r="2214" spans="1:15" x14ac:dyDescent="0.3">
      <c r="A2214" t="s">
        <v>2299</v>
      </c>
      <c r="B2214" t="s">
        <v>38</v>
      </c>
      <c r="C2214" t="s">
        <v>34</v>
      </c>
      <c r="D2214" t="s">
        <v>35</v>
      </c>
      <c r="E2214" t="s">
        <v>30</v>
      </c>
      <c r="F2214" s="1">
        <v>45725</v>
      </c>
      <c r="G2214">
        <v>8</v>
      </c>
      <c r="H2214">
        <v>28117.93</v>
      </c>
      <c r="I2214">
        <v>15</v>
      </c>
      <c r="J2214" t="s">
        <v>20</v>
      </c>
      <c r="K2214">
        <v>33741.519999999997</v>
      </c>
      <c r="L2214">
        <v>224943.44</v>
      </c>
      <c r="M2214">
        <v>191201.92000000001</v>
      </c>
      <c r="N2214" t="s">
        <v>83</v>
      </c>
      <c r="O2214">
        <v>2025</v>
      </c>
    </row>
    <row r="2215" spans="1:15" x14ac:dyDescent="0.3">
      <c r="A2215" t="s">
        <v>2300</v>
      </c>
      <c r="B2215" t="s">
        <v>53</v>
      </c>
      <c r="C2215" t="s">
        <v>62</v>
      </c>
      <c r="D2215" t="s">
        <v>99</v>
      </c>
      <c r="E2215" t="s">
        <v>30</v>
      </c>
      <c r="F2215" s="1">
        <v>45424</v>
      </c>
      <c r="G2215">
        <v>6</v>
      </c>
      <c r="H2215">
        <v>1667.24</v>
      </c>
      <c r="I2215">
        <v>5</v>
      </c>
      <c r="J2215" t="s">
        <v>26</v>
      </c>
      <c r="K2215">
        <v>500.17</v>
      </c>
      <c r="L2215">
        <v>10003.44</v>
      </c>
      <c r="M2215">
        <v>9503.27</v>
      </c>
      <c r="N2215" t="s">
        <v>101</v>
      </c>
      <c r="O2215">
        <v>2024</v>
      </c>
    </row>
    <row r="2216" spans="1:15" x14ac:dyDescent="0.3">
      <c r="A2216" t="s">
        <v>2301</v>
      </c>
      <c r="B2216" t="s">
        <v>29</v>
      </c>
      <c r="C2216" t="s">
        <v>62</v>
      </c>
      <c r="D2216" t="s">
        <v>119</v>
      </c>
      <c r="E2216" t="s">
        <v>25</v>
      </c>
      <c r="F2216" s="1">
        <v>45469</v>
      </c>
      <c r="G2216">
        <v>9</v>
      </c>
      <c r="H2216">
        <v>3856.76</v>
      </c>
      <c r="I2216">
        <v>0</v>
      </c>
      <c r="J2216" t="s">
        <v>20</v>
      </c>
      <c r="K2216">
        <v>0</v>
      </c>
      <c r="L2216">
        <v>34710.839999999997</v>
      </c>
      <c r="M2216">
        <v>34710.839999999997</v>
      </c>
      <c r="N2216" t="s">
        <v>72</v>
      </c>
      <c r="O2216">
        <v>2024</v>
      </c>
    </row>
    <row r="2217" spans="1:15" x14ac:dyDescent="0.3">
      <c r="A2217" t="s">
        <v>2302</v>
      </c>
      <c r="B2217" t="s">
        <v>38</v>
      </c>
      <c r="C2217" t="s">
        <v>34</v>
      </c>
      <c r="D2217" t="s">
        <v>85</v>
      </c>
      <c r="E2217" t="s">
        <v>25</v>
      </c>
      <c r="F2217" s="1">
        <v>45496</v>
      </c>
      <c r="G2217">
        <v>10</v>
      </c>
      <c r="H2217">
        <v>11229.64</v>
      </c>
      <c r="I2217">
        <v>0</v>
      </c>
      <c r="J2217" t="s">
        <v>36</v>
      </c>
      <c r="K2217">
        <v>0</v>
      </c>
      <c r="L2217">
        <v>112296.4</v>
      </c>
      <c r="M2217">
        <v>112296.4</v>
      </c>
      <c r="N2217" t="s">
        <v>122</v>
      </c>
      <c r="O2217">
        <v>2024</v>
      </c>
    </row>
    <row r="2218" spans="1:15" x14ac:dyDescent="0.3">
      <c r="A2218" t="s">
        <v>2303</v>
      </c>
      <c r="B2218" t="s">
        <v>47</v>
      </c>
      <c r="C2218" t="s">
        <v>62</v>
      </c>
      <c r="D2218" t="s">
        <v>132</v>
      </c>
      <c r="E2218" t="s">
        <v>25</v>
      </c>
      <c r="F2218" s="1">
        <v>45300</v>
      </c>
      <c r="G2218">
        <v>2</v>
      </c>
      <c r="H2218">
        <v>2574.7399999999998</v>
      </c>
      <c r="I2218">
        <v>15</v>
      </c>
      <c r="J2218" t="s">
        <v>31</v>
      </c>
      <c r="K2218">
        <v>772.42</v>
      </c>
      <c r="L2218">
        <v>5149.4799999999996</v>
      </c>
      <c r="M2218">
        <v>4377.0600000000004</v>
      </c>
      <c r="N2218" t="s">
        <v>116</v>
      </c>
      <c r="O2218">
        <v>2024</v>
      </c>
    </row>
    <row r="2219" spans="1:15" x14ac:dyDescent="0.3">
      <c r="A2219" t="s">
        <v>2304</v>
      </c>
      <c r="B2219" t="s">
        <v>53</v>
      </c>
      <c r="C2219" t="s">
        <v>62</v>
      </c>
      <c r="D2219" t="s">
        <v>99</v>
      </c>
      <c r="E2219" t="s">
        <v>50</v>
      </c>
      <c r="F2219" s="1">
        <v>45645</v>
      </c>
      <c r="G2219">
        <v>1</v>
      </c>
      <c r="H2219">
        <v>1704.66</v>
      </c>
      <c r="I2219">
        <v>15</v>
      </c>
      <c r="J2219" t="s">
        <v>71</v>
      </c>
      <c r="K2219">
        <v>255.7</v>
      </c>
      <c r="L2219">
        <v>1704.66</v>
      </c>
      <c r="M2219">
        <v>1448.96</v>
      </c>
      <c r="N2219" t="s">
        <v>51</v>
      </c>
      <c r="O2219">
        <v>2024</v>
      </c>
    </row>
    <row r="2220" spans="1:15" x14ac:dyDescent="0.3">
      <c r="A2220" t="s">
        <v>2305</v>
      </c>
      <c r="B2220" t="s">
        <v>16</v>
      </c>
      <c r="C2220" t="s">
        <v>90</v>
      </c>
      <c r="D2220" t="s">
        <v>91</v>
      </c>
      <c r="E2220" t="s">
        <v>25</v>
      </c>
      <c r="F2220" s="1">
        <v>45473</v>
      </c>
      <c r="G2220">
        <v>3</v>
      </c>
      <c r="H2220">
        <v>1687.44</v>
      </c>
      <c r="I2220">
        <v>15</v>
      </c>
      <c r="J2220" t="s">
        <v>71</v>
      </c>
      <c r="K2220">
        <v>759.35</v>
      </c>
      <c r="L2220">
        <v>5062.32</v>
      </c>
      <c r="M2220">
        <v>4302.97</v>
      </c>
      <c r="N2220" t="s">
        <v>72</v>
      </c>
      <c r="O2220">
        <v>2024</v>
      </c>
    </row>
    <row r="2221" spans="1:15" x14ac:dyDescent="0.3">
      <c r="A2221" t="s">
        <v>2306</v>
      </c>
      <c r="B2221" t="s">
        <v>43</v>
      </c>
      <c r="C2221" t="s">
        <v>90</v>
      </c>
      <c r="D2221" t="s">
        <v>115</v>
      </c>
      <c r="E2221" t="s">
        <v>30</v>
      </c>
      <c r="F2221" s="1">
        <v>45867</v>
      </c>
      <c r="G2221">
        <v>5</v>
      </c>
      <c r="H2221">
        <v>8167.67</v>
      </c>
      <c r="I2221">
        <v>15</v>
      </c>
      <c r="J2221" t="s">
        <v>45</v>
      </c>
      <c r="K2221">
        <v>6125.75</v>
      </c>
      <c r="L2221">
        <v>40838.35</v>
      </c>
      <c r="M2221">
        <v>34712.6</v>
      </c>
      <c r="N2221" t="s">
        <v>122</v>
      </c>
      <c r="O2221">
        <v>2025</v>
      </c>
    </row>
    <row r="2222" spans="1:15" x14ac:dyDescent="0.3">
      <c r="A2222" t="s">
        <v>2307</v>
      </c>
      <c r="B2222" t="s">
        <v>109</v>
      </c>
      <c r="C2222" t="s">
        <v>34</v>
      </c>
      <c r="D2222" t="s">
        <v>66</v>
      </c>
      <c r="E2222" t="s">
        <v>19</v>
      </c>
      <c r="F2222" s="1">
        <v>45925</v>
      </c>
      <c r="G2222">
        <v>2</v>
      </c>
      <c r="H2222">
        <v>41109.279999999999</v>
      </c>
      <c r="I2222">
        <v>15</v>
      </c>
      <c r="J2222" t="s">
        <v>36</v>
      </c>
      <c r="K2222">
        <v>12332.78</v>
      </c>
      <c r="L2222">
        <v>82218.559999999998</v>
      </c>
      <c r="M2222">
        <v>69885.78</v>
      </c>
      <c r="N2222" t="s">
        <v>86</v>
      </c>
      <c r="O2222">
        <v>2025</v>
      </c>
    </row>
    <row r="2223" spans="1:15" x14ac:dyDescent="0.3">
      <c r="A2223" t="s">
        <v>2308</v>
      </c>
      <c r="B2223" t="s">
        <v>29</v>
      </c>
      <c r="C2223" t="s">
        <v>90</v>
      </c>
      <c r="D2223" t="s">
        <v>91</v>
      </c>
      <c r="E2223" t="s">
        <v>30</v>
      </c>
      <c r="F2223" s="1">
        <v>45693</v>
      </c>
      <c r="G2223">
        <v>1</v>
      </c>
      <c r="H2223">
        <v>1556.02</v>
      </c>
      <c r="I2223">
        <v>5</v>
      </c>
      <c r="J2223" t="s">
        <v>82</v>
      </c>
      <c r="K2223">
        <v>77.8</v>
      </c>
      <c r="L2223">
        <v>1556.02</v>
      </c>
      <c r="M2223">
        <v>1478.22</v>
      </c>
      <c r="N2223" t="s">
        <v>41</v>
      </c>
      <c r="O2223">
        <v>2025</v>
      </c>
    </row>
    <row r="2224" spans="1:15" x14ac:dyDescent="0.3">
      <c r="A2224" t="s">
        <v>2309</v>
      </c>
      <c r="B2224" t="s">
        <v>61</v>
      </c>
      <c r="C2224" t="s">
        <v>90</v>
      </c>
      <c r="D2224" t="s">
        <v>105</v>
      </c>
      <c r="E2224" t="s">
        <v>56</v>
      </c>
      <c r="F2224" s="1">
        <v>45356</v>
      </c>
      <c r="G2224">
        <v>8</v>
      </c>
      <c r="H2224">
        <v>3751.55</v>
      </c>
      <c r="I2224">
        <v>5</v>
      </c>
      <c r="J2224" t="s">
        <v>36</v>
      </c>
      <c r="K2224">
        <v>1500.62</v>
      </c>
      <c r="L2224">
        <v>30012.400000000001</v>
      </c>
      <c r="M2224">
        <v>28511.78</v>
      </c>
      <c r="N2224" t="s">
        <v>83</v>
      </c>
      <c r="O2224">
        <v>2024</v>
      </c>
    </row>
    <row r="2225" spans="1:15" x14ac:dyDescent="0.3">
      <c r="A2225" t="s">
        <v>2310</v>
      </c>
      <c r="B2225" t="s">
        <v>114</v>
      </c>
      <c r="C2225" t="s">
        <v>90</v>
      </c>
      <c r="D2225" t="s">
        <v>107</v>
      </c>
      <c r="E2225" t="s">
        <v>81</v>
      </c>
      <c r="F2225" s="1">
        <v>45321</v>
      </c>
      <c r="G2225">
        <v>6</v>
      </c>
      <c r="H2225">
        <v>11345.37</v>
      </c>
      <c r="I2225">
        <v>5</v>
      </c>
      <c r="J2225" t="s">
        <v>36</v>
      </c>
      <c r="K2225">
        <v>3403.61</v>
      </c>
      <c r="L2225">
        <v>68072.22</v>
      </c>
      <c r="M2225">
        <v>64668.61</v>
      </c>
      <c r="N2225" t="s">
        <v>116</v>
      </c>
      <c r="O2225">
        <v>2024</v>
      </c>
    </row>
    <row r="2226" spans="1:15" x14ac:dyDescent="0.3">
      <c r="A2226" t="s">
        <v>2311</v>
      </c>
      <c r="B2226" t="s">
        <v>114</v>
      </c>
      <c r="C2226" t="s">
        <v>54</v>
      </c>
      <c r="D2226" t="s">
        <v>77</v>
      </c>
      <c r="E2226" t="s">
        <v>81</v>
      </c>
      <c r="F2226" s="1">
        <v>45713</v>
      </c>
      <c r="G2226">
        <v>3</v>
      </c>
      <c r="H2226">
        <v>5694.18</v>
      </c>
      <c r="I2226">
        <v>15</v>
      </c>
      <c r="J2226" t="s">
        <v>20</v>
      </c>
      <c r="K2226">
        <v>2562.38</v>
      </c>
      <c r="L2226">
        <v>17082.54</v>
      </c>
      <c r="M2226">
        <v>14520.16</v>
      </c>
      <c r="N2226" t="s">
        <v>41</v>
      </c>
      <c r="O2226">
        <v>2025</v>
      </c>
    </row>
    <row r="2227" spans="1:15" x14ac:dyDescent="0.3">
      <c r="A2227" t="s">
        <v>2312</v>
      </c>
      <c r="B2227" t="s">
        <v>47</v>
      </c>
      <c r="C2227" t="s">
        <v>62</v>
      </c>
      <c r="D2227" t="s">
        <v>132</v>
      </c>
      <c r="E2227" t="s">
        <v>30</v>
      </c>
      <c r="F2227" s="1">
        <v>45533</v>
      </c>
      <c r="G2227">
        <v>9</v>
      </c>
      <c r="H2227">
        <v>2594.16</v>
      </c>
      <c r="I2227">
        <v>5</v>
      </c>
      <c r="J2227" t="s">
        <v>40</v>
      </c>
      <c r="K2227">
        <v>1167.3699999999999</v>
      </c>
      <c r="L2227">
        <v>23347.439999999999</v>
      </c>
      <c r="M2227">
        <v>22180.07</v>
      </c>
      <c r="N2227" t="s">
        <v>21</v>
      </c>
      <c r="O2227">
        <v>2024</v>
      </c>
    </row>
    <row r="2228" spans="1:15" x14ac:dyDescent="0.3">
      <c r="A2228" t="s">
        <v>2313</v>
      </c>
      <c r="B2228" t="s">
        <v>61</v>
      </c>
      <c r="C2228" t="s">
        <v>34</v>
      </c>
      <c r="D2228" t="s">
        <v>48</v>
      </c>
      <c r="E2228" t="s">
        <v>19</v>
      </c>
      <c r="F2228" s="1">
        <v>45883</v>
      </c>
      <c r="G2228">
        <v>9</v>
      </c>
      <c r="H2228">
        <v>7606.37</v>
      </c>
      <c r="I2228">
        <v>20</v>
      </c>
      <c r="J2228" t="s">
        <v>20</v>
      </c>
      <c r="K2228">
        <v>13691.47</v>
      </c>
      <c r="L2228">
        <v>68457.33</v>
      </c>
      <c r="M2228">
        <v>54765.86</v>
      </c>
      <c r="N2228" t="s">
        <v>21</v>
      </c>
      <c r="O2228">
        <v>2025</v>
      </c>
    </row>
    <row r="2229" spans="1:15" x14ac:dyDescent="0.3">
      <c r="A2229" t="s">
        <v>2314</v>
      </c>
      <c r="B2229" t="s">
        <v>23</v>
      </c>
      <c r="C2229" t="s">
        <v>62</v>
      </c>
      <c r="D2229" t="s">
        <v>119</v>
      </c>
      <c r="E2229" t="s">
        <v>25</v>
      </c>
      <c r="F2229" s="1">
        <v>45952</v>
      </c>
      <c r="G2229">
        <v>8</v>
      </c>
      <c r="H2229">
        <v>4174.47</v>
      </c>
      <c r="I2229">
        <v>15</v>
      </c>
      <c r="J2229" t="s">
        <v>71</v>
      </c>
      <c r="K2229">
        <v>5009.3599999999997</v>
      </c>
      <c r="L2229">
        <v>33395.760000000002</v>
      </c>
      <c r="M2229">
        <v>28386.400000000001</v>
      </c>
      <c r="N2229" t="s">
        <v>57</v>
      </c>
      <c r="O2229">
        <v>2025</v>
      </c>
    </row>
    <row r="2230" spans="1:15" x14ac:dyDescent="0.3">
      <c r="A2230" t="s">
        <v>2315</v>
      </c>
      <c r="B2230" t="s">
        <v>74</v>
      </c>
      <c r="C2230" t="s">
        <v>34</v>
      </c>
      <c r="D2230" t="s">
        <v>85</v>
      </c>
      <c r="E2230" t="s">
        <v>56</v>
      </c>
      <c r="F2230" s="1">
        <v>45545</v>
      </c>
      <c r="G2230">
        <v>1</v>
      </c>
      <c r="H2230">
        <v>12513.13</v>
      </c>
      <c r="I2230">
        <v>10</v>
      </c>
      <c r="J2230" t="s">
        <v>40</v>
      </c>
      <c r="K2230">
        <v>1251.31</v>
      </c>
      <c r="L2230">
        <v>12513.13</v>
      </c>
      <c r="M2230">
        <v>11261.82</v>
      </c>
      <c r="N2230" t="s">
        <v>86</v>
      </c>
      <c r="O2230">
        <v>2024</v>
      </c>
    </row>
    <row r="2231" spans="1:15" x14ac:dyDescent="0.3">
      <c r="A2231" t="s">
        <v>2316</v>
      </c>
      <c r="B2231" t="s">
        <v>74</v>
      </c>
      <c r="C2231" t="s">
        <v>62</v>
      </c>
      <c r="D2231" t="s">
        <v>132</v>
      </c>
      <c r="E2231" t="s">
        <v>44</v>
      </c>
      <c r="F2231" s="1">
        <v>45917</v>
      </c>
      <c r="G2231">
        <v>2</v>
      </c>
      <c r="H2231">
        <v>2362.79</v>
      </c>
      <c r="I2231">
        <v>15</v>
      </c>
      <c r="J2231" t="s">
        <v>71</v>
      </c>
      <c r="K2231">
        <v>708.84</v>
      </c>
      <c r="L2231">
        <v>4725.58</v>
      </c>
      <c r="M2231">
        <v>4016.74</v>
      </c>
      <c r="N2231" t="s">
        <v>86</v>
      </c>
      <c r="O2231">
        <v>2025</v>
      </c>
    </row>
    <row r="2232" spans="1:15" x14ac:dyDescent="0.3">
      <c r="A2232" t="s">
        <v>2317</v>
      </c>
      <c r="B2232" t="s">
        <v>89</v>
      </c>
      <c r="C2232" t="s">
        <v>54</v>
      </c>
      <c r="D2232" t="s">
        <v>77</v>
      </c>
      <c r="E2232" t="s">
        <v>25</v>
      </c>
      <c r="F2232" s="1">
        <v>45876</v>
      </c>
      <c r="G2232">
        <v>3</v>
      </c>
      <c r="H2232">
        <v>5050.18</v>
      </c>
      <c r="I2232">
        <v>5</v>
      </c>
      <c r="J2232" t="s">
        <v>36</v>
      </c>
      <c r="K2232">
        <v>757.53</v>
      </c>
      <c r="L2232">
        <v>15150.54</v>
      </c>
      <c r="M2232">
        <v>14393.01</v>
      </c>
      <c r="N2232" t="s">
        <v>21</v>
      </c>
      <c r="O2232">
        <v>2025</v>
      </c>
    </row>
    <row r="2233" spans="1:15" x14ac:dyDescent="0.3">
      <c r="A2233" t="s">
        <v>2318</v>
      </c>
      <c r="B2233" t="s">
        <v>29</v>
      </c>
      <c r="C2233" t="s">
        <v>17</v>
      </c>
      <c r="D2233" t="s">
        <v>39</v>
      </c>
      <c r="E2233" t="s">
        <v>30</v>
      </c>
      <c r="F2233" s="1">
        <v>45831</v>
      </c>
      <c r="G2233">
        <v>8</v>
      </c>
      <c r="H2233">
        <v>19434.439999999999</v>
      </c>
      <c r="I2233">
        <v>5</v>
      </c>
      <c r="J2233" t="s">
        <v>71</v>
      </c>
      <c r="K2233">
        <v>7773.78</v>
      </c>
      <c r="L2233">
        <v>155475.51999999999</v>
      </c>
      <c r="M2233">
        <v>147701.74</v>
      </c>
      <c r="N2233" t="s">
        <v>72</v>
      </c>
      <c r="O2233">
        <v>2025</v>
      </c>
    </row>
    <row r="2234" spans="1:15" x14ac:dyDescent="0.3">
      <c r="A2234" t="s">
        <v>2319</v>
      </c>
      <c r="B2234" t="s">
        <v>53</v>
      </c>
      <c r="C2234" t="s">
        <v>90</v>
      </c>
      <c r="D2234" t="s">
        <v>115</v>
      </c>
      <c r="E2234" t="s">
        <v>81</v>
      </c>
      <c r="F2234" s="1">
        <v>45425</v>
      </c>
      <c r="G2234">
        <v>3</v>
      </c>
      <c r="H2234">
        <v>7256.16</v>
      </c>
      <c r="I2234">
        <v>0</v>
      </c>
      <c r="J2234" t="s">
        <v>20</v>
      </c>
      <c r="K2234">
        <v>0</v>
      </c>
      <c r="L2234">
        <v>21768.48</v>
      </c>
      <c r="M2234">
        <v>21768.48</v>
      </c>
      <c r="N2234" t="s">
        <v>101</v>
      </c>
      <c r="O2234">
        <v>2024</v>
      </c>
    </row>
    <row r="2235" spans="1:15" x14ac:dyDescent="0.3">
      <c r="A2235" t="s">
        <v>2320</v>
      </c>
      <c r="B2235" t="s">
        <v>23</v>
      </c>
      <c r="C2235" t="s">
        <v>34</v>
      </c>
      <c r="D2235" t="s">
        <v>48</v>
      </c>
      <c r="E2235" t="s">
        <v>30</v>
      </c>
      <c r="F2235" s="1">
        <v>45853</v>
      </c>
      <c r="G2235">
        <v>4</v>
      </c>
      <c r="H2235">
        <v>7546.53</v>
      </c>
      <c r="I2235">
        <v>0</v>
      </c>
      <c r="J2235" t="s">
        <v>26</v>
      </c>
      <c r="K2235">
        <v>0</v>
      </c>
      <c r="L2235">
        <v>30186.12</v>
      </c>
      <c r="M2235">
        <v>30186.12</v>
      </c>
      <c r="N2235" t="s">
        <v>122</v>
      </c>
      <c r="O2235">
        <v>2025</v>
      </c>
    </row>
    <row r="2236" spans="1:15" x14ac:dyDescent="0.3">
      <c r="A2236" t="s">
        <v>2321</v>
      </c>
      <c r="B2236" t="s">
        <v>89</v>
      </c>
      <c r="C2236" t="s">
        <v>62</v>
      </c>
      <c r="D2236" t="s">
        <v>132</v>
      </c>
      <c r="E2236" t="s">
        <v>81</v>
      </c>
      <c r="F2236" s="1">
        <v>45823</v>
      </c>
      <c r="G2236">
        <v>9</v>
      </c>
      <c r="H2236">
        <v>2566.1999999999998</v>
      </c>
      <c r="I2236">
        <v>20</v>
      </c>
      <c r="J2236" t="s">
        <v>71</v>
      </c>
      <c r="K2236">
        <v>4619.16</v>
      </c>
      <c r="L2236">
        <v>23095.8</v>
      </c>
      <c r="M2236">
        <v>18476.64</v>
      </c>
      <c r="N2236" t="s">
        <v>72</v>
      </c>
      <c r="O2236">
        <v>2025</v>
      </c>
    </row>
    <row r="2237" spans="1:15" x14ac:dyDescent="0.3">
      <c r="A2237" t="s">
        <v>2322</v>
      </c>
      <c r="B2237" t="s">
        <v>61</v>
      </c>
      <c r="C2237" t="s">
        <v>90</v>
      </c>
      <c r="D2237" t="s">
        <v>115</v>
      </c>
      <c r="E2237" t="s">
        <v>50</v>
      </c>
      <c r="F2237" s="1">
        <v>45975</v>
      </c>
      <c r="G2237">
        <v>9</v>
      </c>
      <c r="H2237">
        <v>8706.2000000000007</v>
      </c>
      <c r="I2237">
        <v>5</v>
      </c>
      <c r="J2237" t="s">
        <v>45</v>
      </c>
      <c r="K2237">
        <v>3917.79</v>
      </c>
      <c r="L2237">
        <v>78355.8</v>
      </c>
      <c r="M2237">
        <v>74438.009999999995</v>
      </c>
      <c r="N2237" t="s">
        <v>96</v>
      </c>
      <c r="O2237">
        <v>2025</v>
      </c>
    </row>
    <row r="2238" spans="1:15" x14ac:dyDescent="0.3">
      <c r="A2238" t="s">
        <v>2323</v>
      </c>
      <c r="B2238" t="s">
        <v>114</v>
      </c>
      <c r="C2238" t="s">
        <v>54</v>
      </c>
      <c r="D2238" t="s">
        <v>68</v>
      </c>
      <c r="E2238" t="s">
        <v>25</v>
      </c>
      <c r="F2238" s="1">
        <v>45498</v>
      </c>
      <c r="G2238">
        <v>1</v>
      </c>
      <c r="H2238">
        <v>4362.8999999999996</v>
      </c>
      <c r="I2238">
        <v>10</v>
      </c>
      <c r="J2238" t="s">
        <v>26</v>
      </c>
      <c r="K2238">
        <v>436.29</v>
      </c>
      <c r="L2238">
        <v>4362.8999999999996</v>
      </c>
      <c r="M2238">
        <v>3926.61</v>
      </c>
      <c r="N2238" t="s">
        <v>122</v>
      </c>
      <c r="O2238">
        <v>2024</v>
      </c>
    </row>
    <row r="2239" spans="1:15" x14ac:dyDescent="0.3">
      <c r="A2239" t="s">
        <v>2324</v>
      </c>
      <c r="B2239" t="s">
        <v>61</v>
      </c>
      <c r="C2239" t="s">
        <v>34</v>
      </c>
      <c r="D2239" t="s">
        <v>35</v>
      </c>
      <c r="E2239" t="s">
        <v>25</v>
      </c>
      <c r="F2239" s="1">
        <v>45404</v>
      </c>
      <c r="G2239">
        <v>8</v>
      </c>
      <c r="H2239">
        <v>22915.05</v>
      </c>
      <c r="I2239">
        <v>5</v>
      </c>
      <c r="J2239" t="s">
        <v>45</v>
      </c>
      <c r="K2239">
        <v>9166.02</v>
      </c>
      <c r="L2239">
        <v>183320.4</v>
      </c>
      <c r="M2239">
        <v>174154.38</v>
      </c>
      <c r="N2239" t="s">
        <v>27</v>
      </c>
      <c r="O2239">
        <v>2024</v>
      </c>
    </row>
    <row r="2240" spans="1:15" x14ac:dyDescent="0.3">
      <c r="A2240" t="s">
        <v>2325</v>
      </c>
      <c r="B2240" t="s">
        <v>114</v>
      </c>
      <c r="C2240" t="s">
        <v>34</v>
      </c>
      <c r="D2240" t="s">
        <v>66</v>
      </c>
      <c r="E2240" t="s">
        <v>44</v>
      </c>
      <c r="F2240" s="1">
        <v>45315</v>
      </c>
      <c r="G2240">
        <v>3</v>
      </c>
      <c r="H2240">
        <v>42429.120000000003</v>
      </c>
      <c r="I2240">
        <v>5</v>
      </c>
      <c r="J2240" t="s">
        <v>82</v>
      </c>
      <c r="K2240">
        <v>6364.37</v>
      </c>
      <c r="L2240">
        <v>127287.36</v>
      </c>
      <c r="M2240">
        <v>120922.99</v>
      </c>
      <c r="N2240" t="s">
        <v>116</v>
      </c>
      <c r="O2240">
        <v>2024</v>
      </c>
    </row>
    <row r="2241" spans="1:15" x14ac:dyDescent="0.3">
      <c r="A2241" t="s">
        <v>2326</v>
      </c>
      <c r="B2241" t="s">
        <v>61</v>
      </c>
      <c r="C2241" t="s">
        <v>54</v>
      </c>
      <c r="D2241" t="s">
        <v>137</v>
      </c>
      <c r="E2241" t="s">
        <v>25</v>
      </c>
      <c r="F2241" s="1">
        <v>45602</v>
      </c>
      <c r="G2241">
        <v>4</v>
      </c>
      <c r="H2241">
        <v>1009.3</v>
      </c>
      <c r="I2241">
        <v>20</v>
      </c>
      <c r="J2241" t="s">
        <v>82</v>
      </c>
      <c r="K2241">
        <v>807.44</v>
      </c>
      <c r="L2241">
        <v>4037.2</v>
      </c>
      <c r="M2241">
        <v>3229.76</v>
      </c>
      <c r="N2241" t="s">
        <v>96</v>
      </c>
      <c r="O2241">
        <v>2024</v>
      </c>
    </row>
    <row r="2242" spans="1:15" x14ac:dyDescent="0.3">
      <c r="A2242" t="s">
        <v>2327</v>
      </c>
      <c r="B2242" t="s">
        <v>93</v>
      </c>
      <c r="C2242" t="s">
        <v>34</v>
      </c>
      <c r="D2242" t="s">
        <v>80</v>
      </c>
      <c r="E2242" t="s">
        <v>44</v>
      </c>
      <c r="F2242" s="1">
        <v>45297</v>
      </c>
      <c r="G2242">
        <v>10</v>
      </c>
      <c r="H2242">
        <v>6023.38</v>
      </c>
      <c r="I2242">
        <v>15</v>
      </c>
      <c r="J2242" t="s">
        <v>20</v>
      </c>
      <c r="K2242">
        <v>9035.07</v>
      </c>
      <c r="L2242">
        <v>60233.8</v>
      </c>
      <c r="M2242">
        <v>51198.73</v>
      </c>
      <c r="N2242" t="s">
        <v>116</v>
      </c>
      <c r="O2242">
        <v>2024</v>
      </c>
    </row>
    <row r="2243" spans="1:15" x14ac:dyDescent="0.3">
      <c r="A2243" t="s">
        <v>2328</v>
      </c>
      <c r="B2243" t="s">
        <v>61</v>
      </c>
      <c r="C2243" t="s">
        <v>17</v>
      </c>
      <c r="D2243" t="s">
        <v>59</v>
      </c>
      <c r="E2243" t="s">
        <v>81</v>
      </c>
      <c r="F2243" s="1">
        <v>45387</v>
      </c>
      <c r="G2243">
        <v>10</v>
      </c>
      <c r="H2243">
        <v>28546.34</v>
      </c>
      <c r="I2243">
        <v>5</v>
      </c>
      <c r="J2243" t="s">
        <v>71</v>
      </c>
      <c r="K2243">
        <v>14273.17</v>
      </c>
      <c r="L2243">
        <v>285463.40000000002</v>
      </c>
      <c r="M2243">
        <v>271190.23</v>
      </c>
      <c r="N2243" t="s">
        <v>27</v>
      </c>
      <c r="O2243">
        <v>2024</v>
      </c>
    </row>
    <row r="2244" spans="1:15" x14ac:dyDescent="0.3">
      <c r="A2244" t="s">
        <v>2329</v>
      </c>
      <c r="B2244" t="s">
        <v>61</v>
      </c>
      <c r="C2244" t="s">
        <v>90</v>
      </c>
      <c r="D2244" t="s">
        <v>105</v>
      </c>
      <c r="E2244" t="s">
        <v>50</v>
      </c>
      <c r="F2244" s="1">
        <v>45410</v>
      </c>
      <c r="G2244">
        <v>4</v>
      </c>
      <c r="H2244">
        <v>3287.73</v>
      </c>
      <c r="I2244">
        <v>15</v>
      </c>
      <c r="J2244" t="s">
        <v>36</v>
      </c>
      <c r="K2244">
        <v>1972.64</v>
      </c>
      <c r="L2244">
        <v>13150.92</v>
      </c>
      <c r="M2244">
        <v>11178.28</v>
      </c>
      <c r="N2244" t="s">
        <v>27</v>
      </c>
      <c r="O2244">
        <v>2024</v>
      </c>
    </row>
    <row r="2245" spans="1:15" x14ac:dyDescent="0.3">
      <c r="A2245" t="s">
        <v>2330</v>
      </c>
      <c r="B2245" t="s">
        <v>74</v>
      </c>
      <c r="C2245" t="s">
        <v>90</v>
      </c>
      <c r="D2245" t="s">
        <v>152</v>
      </c>
      <c r="E2245" t="s">
        <v>30</v>
      </c>
      <c r="F2245" s="1">
        <v>45346</v>
      </c>
      <c r="G2245">
        <v>2</v>
      </c>
      <c r="H2245">
        <v>10514.59</v>
      </c>
      <c r="I2245">
        <v>0</v>
      </c>
      <c r="J2245" t="s">
        <v>36</v>
      </c>
      <c r="K2245">
        <v>0</v>
      </c>
      <c r="L2245">
        <v>21029.18</v>
      </c>
      <c r="M2245">
        <v>21029.18</v>
      </c>
      <c r="N2245" t="s">
        <v>41</v>
      </c>
      <c r="O2245">
        <v>2024</v>
      </c>
    </row>
    <row r="2246" spans="1:15" x14ac:dyDescent="0.3">
      <c r="A2246" t="s">
        <v>2331</v>
      </c>
      <c r="B2246" t="s">
        <v>23</v>
      </c>
      <c r="C2246" t="s">
        <v>17</v>
      </c>
      <c r="D2246" t="s">
        <v>18</v>
      </c>
      <c r="E2246" t="s">
        <v>56</v>
      </c>
      <c r="F2246" s="1">
        <v>45424</v>
      </c>
      <c r="G2246">
        <v>3</v>
      </c>
      <c r="H2246">
        <v>59180.08</v>
      </c>
      <c r="I2246">
        <v>20</v>
      </c>
      <c r="J2246" t="s">
        <v>82</v>
      </c>
      <c r="K2246">
        <v>35508.050000000003</v>
      </c>
      <c r="L2246">
        <v>177540.24</v>
      </c>
      <c r="M2246">
        <v>142032.19</v>
      </c>
      <c r="N2246" t="s">
        <v>101</v>
      </c>
      <c r="O2246">
        <v>2024</v>
      </c>
    </row>
    <row r="2247" spans="1:15" x14ac:dyDescent="0.3">
      <c r="A2247" t="s">
        <v>2332</v>
      </c>
      <c r="B2247" t="s">
        <v>53</v>
      </c>
      <c r="C2247" t="s">
        <v>17</v>
      </c>
      <c r="D2247" t="s">
        <v>157</v>
      </c>
      <c r="E2247" t="s">
        <v>30</v>
      </c>
      <c r="F2247" s="1">
        <v>45969</v>
      </c>
      <c r="G2247">
        <v>9</v>
      </c>
      <c r="H2247">
        <v>8392.91</v>
      </c>
      <c r="I2247">
        <v>5</v>
      </c>
      <c r="J2247" t="s">
        <v>45</v>
      </c>
      <c r="K2247">
        <v>3776.81</v>
      </c>
      <c r="L2247">
        <v>75536.19</v>
      </c>
      <c r="M2247">
        <v>71759.38</v>
      </c>
      <c r="N2247" t="s">
        <v>96</v>
      </c>
      <c r="O2247">
        <v>2025</v>
      </c>
    </row>
    <row r="2248" spans="1:15" x14ac:dyDescent="0.3">
      <c r="A2248" t="s">
        <v>2333</v>
      </c>
      <c r="B2248" t="s">
        <v>16</v>
      </c>
      <c r="C2248" t="s">
        <v>34</v>
      </c>
      <c r="D2248" t="s">
        <v>66</v>
      </c>
      <c r="E2248" t="s">
        <v>30</v>
      </c>
      <c r="F2248" s="1">
        <v>45329</v>
      </c>
      <c r="G2248">
        <v>5</v>
      </c>
      <c r="H2248">
        <v>41718.839999999997</v>
      </c>
      <c r="I2248">
        <v>15</v>
      </c>
      <c r="J2248" t="s">
        <v>20</v>
      </c>
      <c r="K2248">
        <v>31289.13</v>
      </c>
      <c r="L2248">
        <v>208594.2</v>
      </c>
      <c r="M2248">
        <v>177305.07</v>
      </c>
      <c r="N2248" t="s">
        <v>41</v>
      </c>
      <c r="O2248">
        <v>2024</v>
      </c>
    </row>
    <row r="2249" spans="1:15" x14ac:dyDescent="0.3">
      <c r="A2249" t="s">
        <v>2334</v>
      </c>
      <c r="B2249" t="s">
        <v>29</v>
      </c>
      <c r="C2249" t="s">
        <v>90</v>
      </c>
      <c r="D2249" t="s">
        <v>115</v>
      </c>
      <c r="E2249" t="s">
        <v>81</v>
      </c>
      <c r="F2249" s="1">
        <v>45968</v>
      </c>
      <c r="G2249">
        <v>3</v>
      </c>
      <c r="H2249">
        <v>8921.76</v>
      </c>
      <c r="I2249">
        <v>10</v>
      </c>
      <c r="J2249" t="s">
        <v>26</v>
      </c>
      <c r="K2249">
        <v>2676.53</v>
      </c>
      <c r="L2249">
        <v>26765.279999999999</v>
      </c>
      <c r="M2249">
        <v>24088.75</v>
      </c>
      <c r="N2249" t="s">
        <v>96</v>
      </c>
      <c r="O2249">
        <v>2025</v>
      </c>
    </row>
    <row r="2250" spans="1:15" x14ac:dyDescent="0.3">
      <c r="A2250" t="s">
        <v>2335</v>
      </c>
      <c r="B2250" t="s">
        <v>53</v>
      </c>
      <c r="C2250" t="s">
        <v>54</v>
      </c>
      <c r="D2250" t="s">
        <v>70</v>
      </c>
      <c r="E2250" t="s">
        <v>44</v>
      </c>
      <c r="F2250" s="1">
        <v>45472</v>
      </c>
      <c r="G2250">
        <v>2</v>
      </c>
      <c r="H2250">
        <v>2306.31</v>
      </c>
      <c r="I2250">
        <v>0</v>
      </c>
      <c r="J2250" t="s">
        <v>40</v>
      </c>
      <c r="K2250">
        <v>0</v>
      </c>
      <c r="L2250">
        <v>4612.62</v>
      </c>
      <c r="M2250">
        <v>4612.62</v>
      </c>
      <c r="N2250" t="s">
        <v>72</v>
      </c>
      <c r="O2250">
        <v>2024</v>
      </c>
    </row>
    <row r="2251" spans="1:15" x14ac:dyDescent="0.3">
      <c r="A2251" t="s">
        <v>2336</v>
      </c>
      <c r="B2251" t="s">
        <v>61</v>
      </c>
      <c r="C2251" t="s">
        <v>54</v>
      </c>
      <c r="D2251" t="s">
        <v>68</v>
      </c>
      <c r="E2251" t="s">
        <v>81</v>
      </c>
      <c r="F2251" s="1">
        <v>45637</v>
      </c>
      <c r="G2251">
        <v>1</v>
      </c>
      <c r="H2251">
        <v>5168.33</v>
      </c>
      <c r="I2251">
        <v>10</v>
      </c>
      <c r="J2251" t="s">
        <v>36</v>
      </c>
      <c r="K2251">
        <v>516.83000000000004</v>
      </c>
      <c r="L2251">
        <v>5168.33</v>
      </c>
      <c r="M2251">
        <v>4651.5</v>
      </c>
      <c r="N2251" t="s">
        <v>51</v>
      </c>
      <c r="O2251">
        <v>2024</v>
      </c>
    </row>
    <row r="2252" spans="1:15" x14ac:dyDescent="0.3">
      <c r="A2252" t="s">
        <v>2337</v>
      </c>
      <c r="B2252" t="s">
        <v>93</v>
      </c>
      <c r="C2252" t="s">
        <v>34</v>
      </c>
      <c r="D2252" t="s">
        <v>85</v>
      </c>
      <c r="E2252" t="s">
        <v>19</v>
      </c>
      <c r="F2252" s="1">
        <v>45423</v>
      </c>
      <c r="G2252">
        <v>1</v>
      </c>
      <c r="H2252">
        <v>13319.97</v>
      </c>
      <c r="I2252">
        <v>20</v>
      </c>
      <c r="J2252" t="s">
        <v>31</v>
      </c>
      <c r="K2252">
        <v>2663.99</v>
      </c>
      <c r="L2252">
        <v>13319.97</v>
      </c>
      <c r="M2252">
        <v>10655.98</v>
      </c>
      <c r="N2252" t="s">
        <v>101</v>
      </c>
      <c r="O2252">
        <v>2024</v>
      </c>
    </row>
    <row r="2253" spans="1:15" x14ac:dyDescent="0.3">
      <c r="A2253" t="s">
        <v>2338</v>
      </c>
      <c r="B2253" t="s">
        <v>33</v>
      </c>
      <c r="C2253" t="s">
        <v>34</v>
      </c>
      <c r="D2253" t="s">
        <v>48</v>
      </c>
      <c r="E2253" t="s">
        <v>30</v>
      </c>
      <c r="F2253" s="1">
        <v>45359</v>
      </c>
      <c r="G2253">
        <v>1</v>
      </c>
      <c r="H2253">
        <v>8810.7199999999993</v>
      </c>
      <c r="I2253">
        <v>5</v>
      </c>
      <c r="J2253" t="s">
        <v>31</v>
      </c>
      <c r="K2253">
        <v>440.54</v>
      </c>
      <c r="L2253">
        <v>8810.7199999999993</v>
      </c>
      <c r="M2253">
        <v>8370.18</v>
      </c>
      <c r="N2253" t="s">
        <v>83</v>
      </c>
      <c r="O2253">
        <v>2024</v>
      </c>
    </row>
    <row r="2254" spans="1:15" x14ac:dyDescent="0.3">
      <c r="A2254" t="s">
        <v>2339</v>
      </c>
      <c r="B2254" t="s">
        <v>33</v>
      </c>
      <c r="C2254" t="s">
        <v>54</v>
      </c>
      <c r="D2254" t="s">
        <v>77</v>
      </c>
      <c r="E2254" t="s">
        <v>50</v>
      </c>
      <c r="F2254" s="1">
        <v>45309</v>
      </c>
      <c r="G2254">
        <v>2</v>
      </c>
      <c r="H2254">
        <v>4786.08</v>
      </c>
      <c r="I2254">
        <v>15</v>
      </c>
      <c r="J2254" t="s">
        <v>71</v>
      </c>
      <c r="K2254">
        <v>1435.82</v>
      </c>
      <c r="L2254">
        <v>9572.16</v>
      </c>
      <c r="M2254">
        <v>8136.34</v>
      </c>
      <c r="N2254" t="s">
        <v>116</v>
      </c>
      <c r="O2254">
        <v>2024</v>
      </c>
    </row>
    <row r="2255" spans="1:15" x14ac:dyDescent="0.3">
      <c r="A2255" t="s">
        <v>2340</v>
      </c>
      <c r="B2255" t="s">
        <v>43</v>
      </c>
      <c r="C2255" t="s">
        <v>17</v>
      </c>
      <c r="D2255" t="s">
        <v>59</v>
      </c>
      <c r="E2255" t="s">
        <v>50</v>
      </c>
      <c r="F2255" s="1">
        <v>45659</v>
      </c>
      <c r="G2255">
        <v>9</v>
      </c>
      <c r="H2255">
        <v>24541.49</v>
      </c>
      <c r="I2255">
        <v>10</v>
      </c>
      <c r="J2255" t="s">
        <v>31</v>
      </c>
      <c r="K2255">
        <v>22087.34</v>
      </c>
      <c r="L2255">
        <v>220873.41</v>
      </c>
      <c r="M2255">
        <v>198786.07</v>
      </c>
      <c r="N2255" t="s">
        <v>116</v>
      </c>
      <c r="O2255">
        <v>2025</v>
      </c>
    </row>
    <row r="2256" spans="1:15" x14ac:dyDescent="0.3">
      <c r="A2256" t="s">
        <v>2341</v>
      </c>
      <c r="B2256" t="s">
        <v>74</v>
      </c>
      <c r="C2256" t="s">
        <v>90</v>
      </c>
      <c r="D2256" t="s">
        <v>115</v>
      </c>
      <c r="E2256" t="s">
        <v>50</v>
      </c>
      <c r="F2256" s="1">
        <v>45319</v>
      </c>
      <c r="G2256">
        <v>5</v>
      </c>
      <c r="H2256">
        <v>9083.0300000000007</v>
      </c>
      <c r="I2256">
        <v>5</v>
      </c>
      <c r="J2256" t="s">
        <v>20</v>
      </c>
      <c r="K2256">
        <v>2270.7600000000002</v>
      </c>
      <c r="L2256">
        <v>45415.15</v>
      </c>
      <c r="M2256">
        <v>43144.39</v>
      </c>
      <c r="N2256" t="s">
        <v>116</v>
      </c>
      <c r="O2256">
        <v>2024</v>
      </c>
    </row>
    <row r="2257" spans="1:15" x14ac:dyDescent="0.3">
      <c r="A2257" t="s">
        <v>2342</v>
      </c>
      <c r="B2257" t="s">
        <v>89</v>
      </c>
      <c r="C2257" t="s">
        <v>17</v>
      </c>
      <c r="D2257" t="s">
        <v>59</v>
      </c>
      <c r="E2257" t="s">
        <v>25</v>
      </c>
      <c r="F2257" s="1">
        <v>45418</v>
      </c>
      <c r="G2257">
        <v>6</v>
      </c>
      <c r="H2257">
        <v>26339.07</v>
      </c>
      <c r="I2257">
        <v>15</v>
      </c>
      <c r="J2257" t="s">
        <v>31</v>
      </c>
      <c r="K2257">
        <v>23705.16</v>
      </c>
      <c r="L2257">
        <v>158034.42000000001</v>
      </c>
      <c r="M2257">
        <v>134329.26</v>
      </c>
      <c r="N2257" t="s">
        <v>101</v>
      </c>
      <c r="O2257">
        <v>2024</v>
      </c>
    </row>
    <row r="2258" spans="1:15" x14ac:dyDescent="0.3">
      <c r="A2258" t="s">
        <v>2343</v>
      </c>
      <c r="B2258" t="s">
        <v>89</v>
      </c>
      <c r="C2258" t="s">
        <v>34</v>
      </c>
      <c r="D2258" t="s">
        <v>66</v>
      </c>
      <c r="E2258" t="s">
        <v>19</v>
      </c>
      <c r="F2258" s="1">
        <v>45462</v>
      </c>
      <c r="G2258">
        <v>10</v>
      </c>
      <c r="H2258">
        <v>42194.25</v>
      </c>
      <c r="I2258">
        <v>15</v>
      </c>
      <c r="J2258" t="s">
        <v>26</v>
      </c>
      <c r="K2258">
        <v>63291.38</v>
      </c>
      <c r="L2258">
        <v>421942.5</v>
      </c>
      <c r="M2258">
        <v>358651.12</v>
      </c>
      <c r="N2258" t="s">
        <v>72</v>
      </c>
      <c r="O2258">
        <v>2024</v>
      </c>
    </row>
    <row r="2259" spans="1:15" x14ac:dyDescent="0.3">
      <c r="A2259" t="s">
        <v>2344</v>
      </c>
      <c r="B2259" t="s">
        <v>23</v>
      </c>
      <c r="C2259" t="s">
        <v>17</v>
      </c>
      <c r="D2259" t="s">
        <v>157</v>
      </c>
      <c r="E2259" t="s">
        <v>44</v>
      </c>
      <c r="F2259" s="1">
        <v>45714</v>
      </c>
      <c r="G2259">
        <v>4</v>
      </c>
      <c r="H2259">
        <v>6527.48</v>
      </c>
      <c r="I2259">
        <v>10</v>
      </c>
      <c r="J2259" t="s">
        <v>26</v>
      </c>
      <c r="K2259">
        <v>2610.9899999999998</v>
      </c>
      <c r="L2259">
        <v>26109.919999999998</v>
      </c>
      <c r="M2259">
        <v>23498.93</v>
      </c>
      <c r="N2259" t="s">
        <v>41</v>
      </c>
      <c r="O2259">
        <v>2025</v>
      </c>
    </row>
    <row r="2260" spans="1:15" x14ac:dyDescent="0.3">
      <c r="A2260" t="s">
        <v>2345</v>
      </c>
      <c r="B2260" t="s">
        <v>33</v>
      </c>
      <c r="C2260" t="s">
        <v>54</v>
      </c>
      <c r="D2260" t="s">
        <v>70</v>
      </c>
      <c r="E2260" t="s">
        <v>19</v>
      </c>
      <c r="F2260" s="1">
        <v>45454</v>
      </c>
      <c r="G2260">
        <v>1</v>
      </c>
      <c r="H2260">
        <v>2388.65</v>
      </c>
      <c r="I2260">
        <v>10</v>
      </c>
      <c r="J2260" t="s">
        <v>40</v>
      </c>
      <c r="K2260">
        <v>238.87</v>
      </c>
      <c r="L2260">
        <v>2388.65</v>
      </c>
      <c r="M2260">
        <v>2149.7800000000002</v>
      </c>
      <c r="N2260" t="s">
        <v>72</v>
      </c>
      <c r="O2260">
        <v>2024</v>
      </c>
    </row>
    <row r="2261" spans="1:15" x14ac:dyDescent="0.3">
      <c r="A2261" t="s">
        <v>2346</v>
      </c>
      <c r="B2261" t="s">
        <v>109</v>
      </c>
      <c r="C2261" t="s">
        <v>17</v>
      </c>
      <c r="D2261" t="s">
        <v>59</v>
      </c>
      <c r="E2261" t="s">
        <v>25</v>
      </c>
      <c r="F2261" s="1">
        <v>45922</v>
      </c>
      <c r="G2261">
        <v>6</v>
      </c>
      <c r="H2261">
        <v>28174.880000000001</v>
      </c>
      <c r="I2261">
        <v>15</v>
      </c>
      <c r="J2261" t="s">
        <v>26</v>
      </c>
      <c r="K2261">
        <v>25357.39</v>
      </c>
      <c r="L2261">
        <v>169049.28</v>
      </c>
      <c r="M2261">
        <v>143691.89000000001</v>
      </c>
      <c r="N2261" t="s">
        <v>86</v>
      </c>
      <c r="O2261">
        <v>2025</v>
      </c>
    </row>
    <row r="2262" spans="1:15" x14ac:dyDescent="0.3">
      <c r="A2262" t="s">
        <v>2347</v>
      </c>
      <c r="B2262" t="s">
        <v>114</v>
      </c>
      <c r="C2262" t="s">
        <v>90</v>
      </c>
      <c r="D2262" t="s">
        <v>91</v>
      </c>
      <c r="E2262" t="s">
        <v>44</v>
      </c>
      <c r="F2262" s="1">
        <v>45669</v>
      </c>
      <c r="G2262">
        <v>7</v>
      </c>
      <c r="H2262">
        <v>1684.89</v>
      </c>
      <c r="I2262">
        <v>10</v>
      </c>
      <c r="J2262" t="s">
        <v>71</v>
      </c>
      <c r="K2262">
        <v>1179.42</v>
      </c>
      <c r="L2262">
        <v>11794.23</v>
      </c>
      <c r="M2262">
        <v>10614.81</v>
      </c>
      <c r="N2262" t="s">
        <v>116</v>
      </c>
      <c r="O2262">
        <v>2025</v>
      </c>
    </row>
    <row r="2263" spans="1:15" x14ac:dyDescent="0.3">
      <c r="A2263" t="s">
        <v>2348</v>
      </c>
      <c r="B2263" t="s">
        <v>33</v>
      </c>
      <c r="C2263" t="s">
        <v>54</v>
      </c>
      <c r="D2263" t="s">
        <v>70</v>
      </c>
      <c r="E2263" t="s">
        <v>56</v>
      </c>
      <c r="F2263" s="1">
        <v>45672</v>
      </c>
      <c r="G2263">
        <v>5</v>
      </c>
      <c r="H2263">
        <v>2515.73</v>
      </c>
      <c r="I2263">
        <v>5</v>
      </c>
      <c r="J2263" t="s">
        <v>45</v>
      </c>
      <c r="K2263">
        <v>628.92999999999995</v>
      </c>
      <c r="L2263">
        <v>12578.65</v>
      </c>
      <c r="M2263">
        <v>11949.72</v>
      </c>
      <c r="N2263" t="s">
        <v>116</v>
      </c>
      <c r="O2263">
        <v>2025</v>
      </c>
    </row>
    <row r="2264" spans="1:15" x14ac:dyDescent="0.3">
      <c r="A2264" t="s">
        <v>2349</v>
      </c>
      <c r="B2264" t="s">
        <v>89</v>
      </c>
      <c r="C2264" t="s">
        <v>34</v>
      </c>
      <c r="D2264" t="s">
        <v>48</v>
      </c>
      <c r="E2264" t="s">
        <v>44</v>
      </c>
      <c r="F2264" s="1">
        <v>45432</v>
      </c>
      <c r="G2264">
        <v>5</v>
      </c>
      <c r="H2264">
        <v>8123.49</v>
      </c>
      <c r="I2264">
        <v>0</v>
      </c>
      <c r="J2264" t="s">
        <v>82</v>
      </c>
      <c r="K2264">
        <v>0</v>
      </c>
      <c r="L2264">
        <v>40617.449999999997</v>
      </c>
      <c r="M2264">
        <v>40617.449999999997</v>
      </c>
      <c r="N2264" t="s">
        <v>101</v>
      </c>
      <c r="O2264">
        <v>2024</v>
      </c>
    </row>
    <row r="2265" spans="1:15" x14ac:dyDescent="0.3">
      <c r="A2265" t="s">
        <v>2350</v>
      </c>
      <c r="B2265" t="s">
        <v>65</v>
      </c>
      <c r="C2265" t="s">
        <v>17</v>
      </c>
      <c r="D2265" t="s">
        <v>18</v>
      </c>
      <c r="E2265" t="s">
        <v>25</v>
      </c>
      <c r="F2265" s="1">
        <v>45818</v>
      </c>
      <c r="G2265">
        <v>2</v>
      </c>
      <c r="H2265">
        <v>59129.37</v>
      </c>
      <c r="I2265">
        <v>0</v>
      </c>
      <c r="J2265" t="s">
        <v>82</v>
      </c>
      <c r="K2265">
        <v>0</v>
      </c>
      <c r="L2265">
        <v>118258.74</v>
      </c>
      <c r="M2265">
        <v>118258.74</v>
      </c>
      <c r="N2265" t="s">
        <v>72</v>
      </c>
      <c r="O2265">
        <v>2025</v>
      </c>
    </row>
    <row r="2266" spans="1:15" x14ac:dyDescent="0.3">
      <c r="A2266" t="s">
        <v>2351</v>
      </c>
      <c r="B2266" t="s">
        <v>29</v>
      </c>
      <c r="C2266" t="s">
        <v>90</v>
      </c>
      <c r="D2266" t="s">
        <v>91</v>
      </c>
      <c r="E2266" t="s">
        <v>25</v>
      </c>
      <c r="F2266" s="1">
        <v>45700</v>
      </c>
      <c r="G2266">
        <v>5</v>
      </c>
      <c r="H2266">
        <v>1636.29</v>
      </c>
      <c r="I2266">
        <v>0</v>
      </c>
      <c r="J2266" t="s">
        <v>71</v>
      </c>
      <c r="K2266">
        <v>0</v>
      </c>
      <c r="L2266">
        <v>8181.45</v>
      </c>
      <c r="M2266">
        <v>8181.45</v>
      </c>
      <c r="N2266" t="s">
        <v>41</v>
      </c>
      <c r="O2266">
        <v>2025</v>
      </c>
    </row>
    <row r="2267" spans="1:15" x14ac:dyDescent="0.3">
      <c r="A2267" t="s">
        <v>2352</v>
      </c>
      <c r="B2267" t="s">
        <v>23</v>
      </c>
      <c r="C2267" t="s">
        <v>90</v>
      </c>
      <c r="D2267" t="s">
        <v>107</v>
      </c>
      <c r="E2267" t="s">
        <v>81</v>
      </c>
      <c r="F2267" s="1">
        <v>45849</v>
      </c>
      <c r="G2267">
        <v>1</v>
      </c>
      <c r="H2267">
        <v>12350.56</v>
      </c>
      <c r="I2267">
        <v>10</v>
      </c>
      <c r="J2267" t="s">
        <v>26</v>
      </c>
      <c r="K2267">
        <v>1235.06</v>
      </c>
      <c r="L2267">
        <v>12350.56</v>
      </c>
      <c r="M2267">
        <v>11115.5</v>
      </c>
      <c r="N2267" t="s">
        <v>122</v>
      </c>
      <c r="O2267">
        <v>2025</v>
      </c>
    </row>
    <row r="2268" spans="1:15" x14ac:dyDescent="0.3">
      <c r="A2268" t="s">
        <v>2353</v>
      </c>
      <c r="B2268" t="s">
        <v>53</v>
      </c>
      <c r="C2268" t="s">
        <v>90</v>
      </c>
      <c r="D2268" t="s">
        <v>105</v>
      </c>
      <c r="E2268" t="s">
        <v>81</v>
      </c>
      <c r="F2268" s="1">
        <v>45402</v>
      </c>
      <c r="G2268">
        <v>6</v>
      </c>
      <c r="H2268">
        <v>3766.27</v>
      </c>
      <c r="I2268">
        <v>15</v>
      </c>
      <c r="J2268" t="s">
        <v>26</v>
      </c>
      <c r="K2268">
        <v>3389.64</v>
      </c>
      <c r="L2268">
        <v>22597.62</v>
      </c>
      <c r="M2268">
        <v>19207.98</v>
      </c>
      <c r="N2268" t="s">
        <v>27</v>
      </c>
      <c r="O2268">
        <v>2024</v>
      </c>
    </row>
    <row r="2269" spans="1:15" x14ac:dyDescent="0.3">
      <c r="A2269" t="s">
        <v>2354</v>
      </c>
      <c r="B2269" t="s">
        <v>65</v>
      </c>
      <c r="C2269" t="s">
        <v>17</v>
      </c>
      <c r="D2269" t="s">
        <v>59</v>
      </c>
      <c r="E2269" t="s">
        <v>25</v>
      </c>
      <c r="F2269" s="1">
        <v>45755</v>
      </c>
      <c r="G2269">
        <v>2</v>
      </c>
      <c r="H2269">
        <v>24040.639999999999</v>
      </c>
      <c r="I2269">
        <v>15</v>
      </c>
      <c r="J2269" t="s">
        <v>31</v>
      </c>
      <c r="K2269">
        <v>7212.19</v>
      </c>
      <c r="L2269">
        <v>48081.279999999999</v>
      </c>
      <c r="M2269">
        <v>40869.089999999997</v>
      </c>
      <c r="N2269" t="s">
        <v>27</v>
      </c>
      <c r="O2269">
        <v>2025</v>
      </c>
    </row>
    <row r="2270" spans="1:15" x14ac:dyDescent="0.3">
      <c r="A2270" t="s">
        <v>2355</v>
      </c>
      <c r="B2270" t="s">
        <v>47</v>
      </c>
      <c r="C2270" t="s">
        <v>34</v>
      </c>
      <c r="D2270" t="s">
        <v>48</v>
      </c>
      <c r="E2270" t="s">
        <v>25</v>
      </c>
      <c r="F2270" s="1">
        <v>45661</v>
      </c>
      <c r="G2270">
        <v>9</v>
      </c>
      <c r="H2270">
        <v>9107.7800000000007</v>
      </c>
      <c r="I2270">
        <v>15</v>
      </c>
      <c r="J2270" t="s">
        <v>40</v>
      </c>
      <c r="K2270">
        <v>12295.5</v>
      </c>
      <c r="L2270">
        <v>81970.02</v>
      </c>
      <c r="M2270">
        <v>69674.52</v>
      </c>
      <c r="N2270" t="s">
        <v>116</v>
      </c>
      <c r="O2270">
        <v>2025</v>
      </c>
    </row>
    <row r="2271" spans="1:15" x14ac:dyDescent="0.3">
      <c r="A2271" t="s">
        <v>2356</v>
      </c>
      <c r="B2271" t="s">
        <v>74</v>
      </c>
      <c r="C2271" t="s">
        <v>62</v>
      </c>
      <c r="D2271" t="s">
        <v>63</v>
      </c>
      <c r="E2271" t="s">
        <v>56</v>
      </c>
      <c r="F2271" s="1">
        <v>45408</v>
      </c>
      <c r="G2271">
        <v>4</v>
      </c>
      <c r="H2271">
        <v>1631.16</v>
      </c>
      <c r="I2271">
        <v>20</v>
      </c>
      <c r="J2271" t="s">
        <v>36</v>
      </c>
      <c r="K2271">
        <v>1304.93</v>
      </c>
      <c r="L2271">
        <v>6524.64</v>
      </c>
      <c r="M2271">
        <v>5219.71</v>
      </c>
      <c r="N2271" t="s">
        <v>27</v>
      </c>
      <c r="O2271">
        <v>2024</v>
      </c>
    </row>
    <row r="2272" spans="1:15" x14ac:dyDescent="0.3">
      <c r="A2272" t="s">
        <v>2357</v>
      </c>
      <c r="B2272" t="s">
        <v>33</v>
      </c>
      <c r="C2272" t="s">
        <v>90</v>
      </c>
      <c r="D2272" t="s">
        <v>107</v>
      </c>
      <c r="E2272" t="s">
        <v>81</v>
      </c>
      <c r="F2272" s="1">
        <v>45749</v>
      </c>
      <c r="G2272">
        <v>7</v>
      </c>
      <c r="H2272">
        <v>12910.22</v>
      </c>
      <c r="I2272">
        <v>20</v>
      </c>
      <c r="J2272" t="s">
        <v>45</v>
      </c>
      <c r="K2272">
        <v>18074.310000000001</v>
      </c>
      <c r="L2272">
        <v>90371.54</v>
      </c>
      <c r="M2272">
        <v>72297.23</v>
      </c>
      <c r="N2272" t="s">
        <v>27</v>
      </c>
      <c r="O2272">
        <v>2025</v>
      </c>
    </row>
    <row r="2273" spans="1:15" x14ac:dyDescent="0.3">
      <c r="A2273" t="s">
        <v>2358</v>
      </c>
      <c r="B2273" t="s">
        <v>109</v>
      </c>
      <c r="C2273" t="s">
        <v>62</v>
      </c>
      <c r="D2273" t="s">
        <v>99</v>
      </c>
      <c r="E2273" t="s">
        <v>50</v>
      </c>
      <c r="F2273" s="1">
        <v>45866</v>
      </c>
      <c r="G2273">
        <v>1</v>
      </c>
      <c r="H2273">
        <v>1475.16</v>
      </c>
      <c r="I2273">
        <v>5</v>
      </c>
      <c r="J2273" t="s">
        <v>82</v>
      </c>
      <c r="K2273">
        <v>73.760000000000005</v>
      </c>
      <c r="L2273">
        <v>1475.16</v>
      </c>
      <c r="M2273">
        <v>1401.4</v>
      </c>
      <c r="N2273" t="s">
        <v>122</v>
      </c>
      <c r="O2273">
        <v>2025</v>
      </c>
    </row>
    <row r="2274" spans="1:15" x14ac:dyDescent="0.3">
      <c r="A2274" t="s">
        <v>2359</v>
      </c>
      <c r="B2274" t="s">
        <v>53</v>
      </c>
      <c r="C2274" t="s">
        <v>54</v>
      </c>
      <c r="D2274" t="s">
        <v>68</v>
      </c>
      <c r="E2274" t="s">
        <v>44</v>
      </c>
      <c r="F2274" s="1">
        <v>45552</v>
      </c>
      <c r="G2274">
        <v>7</v>
      </c>
      <c r="H2274">
        <v>5050.84</v>
      </c>
      <c r="I2274">
        <v>15</v>
      </c>
      <c r="J2274" t="s">
        <v>71</v>
      </c>
      <c r="K2274">
        <v>5303.38</v>
      </c>
      <c r="L2274">
        <v>35355.879999999997</v>
      </c>
      <c r="M2274">
        <v>30052.5</v>
      </c>
      <c r="N2274" t="s">
        <v>86</v>
      </c>
      <c r="O2274">
        <v>2024</v>
      </c>
    </row>
    <row r="2275" spans="1:15" x14ac:dyDescent="0.3">
      <c r="A2275" t="s">
        <v>2360</v>
      </c>
      <c r="B2275" t="s">
        <v>33</v>
      </c>
      <c r="C2275" t="s">
        <v>34</v>
      </c>
      <c r="D2275" t="s">
        <v>80</v>
      </c>
      <c r="E2275" t="s">
        <v>81</v>
      </c>
      <c r="F2275" s="1">
        <v>45829</v>
      </c>
      <c r="G2275">
        <v>4</v>
      </c>
      <c r="H2275">
        <v>6646.04</v>
      </c>
      <c r="I2275">
        <v>15</v>
      </c>
      <c r="J2275" t="s">
        <v>82</v>
      </c>
      <c r="K2275">
        <v>3987.62</v>
      </c>
      <c r="L2275">
        <v>26584.16</v>
      </c>
      <c r="M2275">
        <v>22596.54</v>
      </c>
      <c r="N2275" t="s">
        <v>72</v>
      </c>
      <c r="O2275">
        <v>2025</v>
      </c>
    </row>
    <row r="2276" spans="1:15" x14ac:dyDescent="0.3">
      <c r="A2276" t="s">
        <v>2361</v>
      </c>
      <c r="B2276" t="s">
        <v>109</v>
      </c>
      <c r="C2276" t="s">
        <v>17</v>
      </c>
      <c r="D2276" t="s">
        <v>18</v>
      </c>
      <c r="E2276" t="s">
        <v>19</v>
      </c>
      <c r="F2276" s="1">
        <v>45716</v>
      </c>
      <c r="G2276">
        <v>7</v>
      </c>
      <c r="H2276">
        <v>60127.72</v>
      </c>
      <c r="I2276">
        <v>10</v>
      </c>
      <c r="J2276" t="s">
        <v>31</v>
      </c>
      <c r="K2276">
        <v>42089.4</v>
      </c>
      <c r="L2276">
        <v>420894.04</v>
      </c>
      <c r="M2276">
        <v>378804.64</v>
      </c>
      <c r="N2276" t="s">
        <v>41</v>
      </c>
      <c r="O2276">
        <v>2025</v>
      </c>
    </row>
    <row r="2277" spans="1:15" x14ac:dyDescent="0.3">
      <c r="A2277" t="s">
        <v>2362</v>
      </c>
      <c r="B2277" t="s">
        <v>74</v>
      </c>
      <c r="C2277" t="s">
        <v>54</v>
      </c>
      <c r="D2277" t="s">
        <v>70</v>
      </c>
      <c r="E2277" t="s">
        <v>25</v>
      </c>
      <c r="F2277" s="1">
        <v>45343</v>
      </c>
      <c r="G2277">
        <v>8</v>
      </c>
      <c r="H2277">
        <v>2617.8200000000002</v>
      </c>
      <c r="I2277">
        <v>15</v>
      </c>
      <c r="J2277" t="s">
        <v>82</v>
      </c>
      <c r="K2277">
        <v>3141.38</v>
      </c>
      <c r="L2277">
        <v>20942.560000000001</v>
      </c>
      <c r="M2277">
        <v>17801.18</v>
      </c>
      <c r="N2277" t="s">
        <v>41</v>
      </c>
      <c r="O2277">
        <v>2024</v>
      </c>
    </row>
    <row r="2278" spans="1:15" x14ac:dyDescent="0.3">
      <c r="A2278" t="s">
        <v>2363</v>
      </c>
      <c r="B2278" t="s">
        <v>109</v>
      </c>
      <c r="C2278" t="s">
        <v>17</v>
      </c>
      <c r="D2278" t="s">
        <v>39</v>
      </c>
      <c r="E2278" t="s">
        <v>25</v>
      </c>
      <c r="F2278" s="1">
        <v>45891</v>
      </c>
      <c r="G2278">
        <v>4</v>
      </c>
      <c r="H2278">
        <v>18647.45</v>
      </c>
      <c r="I2278">
        <v>20</v>
      </c>
      <c r="J2278" t="s">
        <v>40</v>
      </c>
      <c r="K2278">
        <v>14917.96</v>
      </c>
      <c r="L2278">
        <v>74589.8</v>
      </c>
      <c r="M2278">
        <v>59671.839999999997</v>
      </c>
      <c r="N2278" t="s">
        <v>21</v>
      </c>
      <c r="O2278">
        <v>2025</v>
      </c>
    </row>
    <row r="2279" spans="1:15" x14ac:dyDescent="0.3">
      <c r="A2279" t="s">
        <v>2364</v>
      </c>
      <c r="B2279" t="s">
        <v>74</v>
      </c>
      <c r="C2279" t="s">
        <v>17</v>
      </c>
      <c r="D2279" t="s">
        <v>24</v>
      </c>
      <c r="E2279" t="s">
        <v>30</v>
      </c>
      <c r="F2279" s="1">
        <v>45879</v>
      </c>
      <c r="G2279">
        <v>1</v>
      </c>
      <c r="H2279">
        <v>2936.29</v>
      </c>
      <c r="I2279">
        <v>0</v>
      </c>
      <c r="J2279" t="s">
        <v>40</v>
      </c>
      <c r="K2279">
        <v>0</v>
      </c>
      <c r="L2279">
        <v>2936.29</v>
      </c>
      <c r="M2279">
        <v>2936.29</v>
      </c>
      <c r="N2279" t="s">
        <v>21</v>
      </c>
      <c r="O2279">
        <v>2025</v>
      </c>
    </row>
    <row r="2280" spans="1:15" x14ac:dyDescent="0.3">
      <c r="A2280" t="s">
        <v>2365</v>
      </c>
      <c r="B2280" t="s">
        <v>109</v>
      </c>
      <c r="C2280" t="s">
        <v>62</v>
      </c>
      <c r="D2280" t="s">
        <v>63</v>
      </c>
      <c r="E2280" t="s">
        <v>19</v>
      </c>
      <c r="F2280" s="1">
        <v>45895</v>
      </c>
      <c r="G2280">
        <v>5</v>
      </c>
      <c r="H2280">
        <v>1910.96</v>
      </c>
      <c r="I2280">
        <v>20</v>
      </c>
      <c r="J2280" t="s">
        <v>26</v>
      </c>
      <c r="K2280">
        <v>1910.96</v>
      </c>
      <c r="L2280">
        <v>9554.7999999999993</v>
      </c>
      <c r="M2280">
        <v>7643.84</v>
      </c>
      <c r="N2280" t="s">
        <v>21</v>
      </c>
      <c r="O2280">
        <v>2025</v>
      </c>
    </row>
    <row r="2281" spans="1:15" x14ac:dyDescent="0.3">
      <c r="A2281" t="s">
        <v>2366</v>
      </c>
      <c r="B2281" t="s">
        <v>74</v>
      </c>
      <c r="C2281" t="s">
        <v>90</v>
      </c>
      <c r="D2281" t="s">
        <v>152</v>
      </c>
      <c r="E2281" t="s">
        <v>81</v>
      </c>
      <c r="F2281" s="1">
        <v>45946</v>
      </c>
      <c r="G2281">
        <v>4</v>
      </c>
      <c r="H2281">
        <v>11682.07</v>
      </c>
      <c r="I2281">
        <v>5</v>
      </c>
      <c r="J2281" t="s">
        <v>71</v>
      </c>
      <c r="K2281">
        <v>2336.41</v>
      </c>
      <c r="L2281">
        <v>46728.28</v>
      </c>
      <c r="M2281">
        <v>44391.87</v>
      </c>
      <c r="N2281" t="s">
        <v>57</v>
      </c>
      <c r="O2281">
        <v>2025</v>
      </c>
    </row>
    <row r="2282" spans="1:15" x14ac:dyDescent="0.3">
      <c r="A2282" t="s">
        <v>2367</v>
      </c>
      <c r="B2282" t="s">
        <v>89</v>
      </c>
      <c r="C2282" t="s">
        <v>90</v>
      </c>
      <c r="D2282" t="s">
        <v>91</v>
      </c>
      <c r="E2282" t="s">
        <v>30</v>
      </c>
      <c r="F2282" s="1">
        <v>45716</v>
      </c>
      <c r="G2282">
        <v>7</v>
      </c>
      <c r="H2282">
        <v>1576.12</v>
      </c>
      <c r="I2282">
        <v>10</v>
      </c>
      <c r="J2282" t="s">
        <v>82</v>
      </c>
      <c r="K2282">
        <v>1103.28</v>
      </c>
      <c r="L2282">
        <v>11032.84</v>
      </c>
      <c r="M2282">
        <v>9929.56</v>
      </c>
      <c r="N2282" t="s">
        <v>41</v>
      </c>
      <c r="O2282">
        <v>2025</v>
      </c>
    </row>
    <row r="2283" spans="1:15" x14ac:dyDescent="0.3">
      <c r="A2283" t="s">
        <v>2368</v>
      </c>
      <c r="B2283" t="s">
        <v>114</v>
      </c>
      <c r="C2283" t="s">
        <v>17</v>
      </c>
      <c r="D2283" t="s">
        <v>157</v>
      </c>
      <c r="E2283" t="s">
        <v>56</v>
      </c>
      <c r="F2283" s="1">
        <v>45444</v>
      </c>
      <c r="G2283">
        <v>4</v>
      </c>
      <c r="H2283">
        <v>7148.67</v>
      </c>
      <c r="I2283">
        <v>0</v>
      </c>
      <c r="J2283" t="s">
        <v>82</v>
      </c>
      <c r="K2283">
        <v>0</v>
      </c>
      <c r="L2283">
        <v>28594.68</v>
      </c>
      <c r="M2283">
        <v>28594.68</v>
      </c>
      <c r="N2283" t="s">
        <v>72</v>
      </c>
      <c r="O2283">
        <v>2024</v>
      </c>
    </row>
    <row r="2284" spans="1:15" x14ac:dyDescent="0.3">
      <c r="A2284" t="s">
        <v>2369</v>
      </c>
      <c r="B2284" t="s">
        <v>93</v>
      </c>
      <c r="C2284" t="s">
        <v>90</v>
      </c>
      <c r="D2284" t="s">
        <v>152</v>
      </c>
      <c r="E2284" t="s">
        <v>19</v>
      </c>
      <c r="F2284" s="1">
        <v>45530</v>
      </c>
      <c r="G2284">
        <v>3</v>
      </c>
      <c r="H2284">
        <v>10905.49</v>
      </c>
      <c r="I2284">
        <v>15</v>
      </c>
      <c r="J2284" t="s">
        <v>20</v>
      </c>
      <c r="K2284">
        <v>4907.47</v>
      </c>
      <c r="L2284">
        <v>32716.47</v>
      </c>
      <c r="M2284">
        <v>27809</v>
      </c>
      <c r="N2284" t="s">
        <v>21</v>
      </c>
      <c r="O2284">
        <v>2024</v>
      </c>
    </row>
    <row r="2285" spans="1:15" x14ac:dyDescent="0.3">
      <c r="A2285" t="s">
        <v>2370</v>
      </c>
      <c r="B2285" t="s">
        <v>16</v>
      </c>
      <c r="C2285" t="s">
        <v>34</v>
      </c>
      <c r="D2285" t="s">
        <v>85</v>
      </c>
      <c r="E2285" t="s">
        <v>30</v>
      </c>
      <c r="F2285" s="1">
        <v>45888</v>
      </c>
      <c r="G2285">
        <v>10</v>
      </c>
      <c r="H2285">
        <v>13535.91</v>
      </c>
      <c r="I2285">
        <v>20</v>
      </c>
      <c r="J2285" t="s">
        <v>40</v>
      </c>
      <c r="K2285">
        <v>27071.82</v>
      </c>
      <c r="L2285">
        <v>135359.1</v>
      </c>
      <c r="M2285">
        <v>108287.28</v>
      </c>
      <c r="N2285" t="s">
        <v>21</v>
      </c>
      <c r="O2285">
        <v>2025</v>
      </c>
    </row>
    <row r="2286" spans="1:15" x14ac:dyDescent="0.3">
      <c r="A2286" t="s">
        <v>2371</v>
      </c>
      <c r="B2286" t="s">
        <v>47</v>
      </c>
      <c r="C2286" t="s">
        <v>90</v>
      </c>
      <c r="D2286" t="s">
        <v>105</v>
      </c>
      <c r="E2286" t="s">
        <v>30</v>
      </c>
      <c r="F2286" s="1">
        <v>45461</v>
      </c>
      <c r="G2286">
        <v>7</v>
      </c>
      <c r="H2286">
        <v>3892.11</v>
      </c>
      <c r="I2286">
        <v>5</v>
      </c>
      <c r="J2286" t="s">
        <v>40</v>
      </c>
      <c r="K2286">
        <v>1362.24</v>
      </c>
      <c r="L2286">
        <v>27244.77</v>
      </c>
      <c r="M2286">
        <v>25882.53</v>
      </c>
      <c r="N2286" t="s">
        <v>72</v>
      </c>
      <c r="O2286">
        <v>2024</v>
      </c>
    </row>
    <row r="2287" spans="1:15" x14ac:dyDescent="0.3">
      <c r="A2287" t="s">
        <v>2372</v>
      </c>
      <c r="B2287" t="s">
        <v>89</v>
      </c>
      <c r="C2287" t="s">
        <v>17</v>
      </c>
      <c r="D2287" t="s">
        <v>59</v>
      </c>
      <c r="E2287" t="s">
        <v>25</v>
      </c>
      <c r="F2287" s="1">
        <v>45845</v>
      </c>
      <c r="G2287">
        <v>3</v>
      </c>
      <c r="H2287">
        <v>23160.57</v>
      </c>
      <c r="I2287">
        <v>15</v>
      </c>
      <c r="J2287" t="s">
        <v>71</v>
      </c>
      <c r="K2287">
        <v>10422.26</v>
      </c>
      <c r="L2287">
        <v>69481.710000000006</v>
      </c>
      <c r="M2287">
        <v>59059.45</v>
      </c>
      <c r="N2287" t="s">
        <v>122</v>
      </c>
      <c r="O2287">
        <v>2025</v>
      </c>
    </row>
    <row r="2288" spans="1:15" x14ac:dyDescent="0.3">
      <c r="A2288" t="s">
        <v>2373</v>
      </c>
      <c r="B2288" t="s">
        <v>61</v>
      </c>
      <c r="C2288" t="s">
        <v>17</v>
      </c>
      <c r="D2288" t="s">
        <v>59</v>
      </c>
      <c r="E2288" t="s">
        <v>30</v>
      </c>
      <c r="F2288" s="1">
        <v>45937</v>
      </c>
      <c r="G2288">
        <v>5</v>
      </c>
      <c r="H2288">
        <v>25403.66</v>
      </c>
      <c r="I2288">
        <v>20</v>
      </c>
      <c r="J2288" t="s">
        <v>26</v>
      </c>
      <c r="K2288">
        <v>25403.66</v>
      </c>
      <c r="L2288">
        <v>127018.3</v>
      </c>
      <c r="M2288">
        <v>101614.64</v>
      </c>
      <c r="N2288" t="s">
        <v>57</v>
      </c>
      <c r="O2288">
        <v>2025</v>
      </c>
    </row>
    <row r="2289" spans="1:15" x14ac:dyDescent="0.3">
      <c r="A2289" t="s">
        <v>2374</v>
      </c>
      <c r="B2289" t="s">
        <v>33</v>
      </c>
      <c r="C2289" t="s">
        <v>17</v>
      </c>
      <c r="D2289" t="s">
        <v>59</v>
      </c>
      <c r="E2289" t="s">
        <v>30</v>
      </c>
      <c r="F2289" s="1">
        <v>45442</v>
      </c>
      <c r="G2289">
        <v>2</v>
      </c>
      <c r="H2289">
        <v>23021.88</v>
      </c>
      <c r="I2289">
        <v>15</v>
      </c>
      <c r="J2289" t="s">
        <v>71</v>
      </c>
      <c r="K2289">
        <v>6906.56</v>
      </c>
      <c r="L2289">
        <v>46043.76</v>
      </c>
      <c r="M2289">
        <v>39137.199999999997</v>
      </c>
      <c r="N2289" t="s">
        <v>101</v>
      </c>
      <c r="O2289">
        <v>2024</v>
      </c>
    </row>
    <row r="2290" spans="1:15" x14ac:dyDescent="0.3">
      <c r="A2290" t="s">
        <v>2375</v>
      </c>
      <c r="B2290" t="s">
        <v>65</v>
      </c>
      <c r="C2290" t="s">
        <v>17</v>
      </c>
      <c r="D2290" t="s">
        <v>24</v>
      </c>
      <c r="E2290" t="s">
        <v>30</v>
      </c>
      <c r="F2290" s="1">
        <v>45969</v>
      </c>
      <c r="G2290">
        <v>9</v>
      </c>
      <c r="H2290">
        <v>2995.19</v>
      </c>
      <c r="I2290">
        <v>0</v>
      </c>
      <c r="J2290" t="s">
        <v>40</v>
      </c>
      <c r="K2290">
        <v>0</v>
      </c>
      <c r="L2290">
        <v>26956.71</v>
      </c>
      <c r="M2290">
        <v>26956.71</v>
      </c>
      <c r="N2290" t="s">
        <v>96</v>
      </c>
      <c r="O2290">
        <v>2025</v>
      </c>
    </row>
    <row r="2291" spans="1:15" x14ac:dyDescent="0.3">
      <c r="A2291" t="s">
        <v>2376</v>
      </c>
      <c r="B2291" t="s">
        <v>114</v>
      </c>
      <c r="C2291" t="s">
        <v>54</v>
      </c>
      <c r="D2291" t="s">
        <v>68</v>
      </c>
      <c r="E2291" t="s">
        <v>19</v>
      </c>
      <c r="F2291" s="1">
        <v>45839</v>
      </c>
      <c r="G2291">
        <v>3</v>
      </c>
      <c r="H2291">
        <v>4230.8100000000004</v>
      </c>
      <c r="I2291">
        <v>0</v>
      </c>
      <c r="J2291" t="s">
        <v>40</v>
      </c>
      <c r="K2291">
        <v>0</v>
      </c>
      <c r="L2291">
        <v>12692.43</v>
      </c>
      <c r="M2291">
        <v>12692.43</v>
      </c>
      <c r="N2291" t="s">
        <v>122</v>
      </c>
      <c r="O2291">
        <v>2025</v>
      </c>
    </row>
    <row r="2292" spans="1:15" x14ac:dyDescent="0.3">
      <c r="A2292" t="s">
        <v>2377</v>
      </c>
      <c r="B2292" t="s">
        <v>65</v>
      </c>
      <c r="C2292" t="s">
        <v>90</v>
      </c>
      <c r="D2292" t="s">
        <v>115</v>
      </c>
      <c r="E2292" t="s">
        <v>81</v>
      </c>
      <c r="F2292" s="1">
        <v>45876</v>
      </c>
      <c r="G2292">
        <v>8</v>
      </c>
      <c r="H2292">
        <v>9145.0400000000009</v>
      </c>
      <c r="I2292">
        <v>10</v>
      </c>
      <c r="J2292" t="s">
        <v>20</v>
      </c>
      <c r="K2292">
        <v>7316.03</v>
      </c>
      <c r="L2292">
        <v>73160.320000000007</v>
      </c>
      <c r="M2292">
        <v>65844.289999999994</v>
      </c>
      <c r="N2292" t="s">
        <v>21</v>
      </c>
      <c r="O2292">
        <v>2025</v>
      </c>
    </row>
    <row r="2293" spans="1:15" x14ac:dyDescent="0.3">
      <c r="A2293" t="s">
        <v>2378</v>
      </c>
      <c r="B2293" t="s">
        <v>65</v>
      </c>
      <c r="C2293" t="s">
        <v>90</v>
      </c>
      <c r="D2293" t="s">
        <v>105</v>
      </c>
      <c r="E2293" t="s">
        <v>50</v>
      </c>
      <c r="F2293" s="1">
        <v>45318</v>
      </c>
      <c r="G2293">
        <v>5</v>
      </c>
      <c r="H2293">
        <v>3622.58</v>
      </c>
      <c r="I2293">
        <v>15</v>
      </c>
      <c r="J2293" t="s">
        <v>26</v>
      </c>
      <c r="K2293">
        <v>2716.93</v>
      </c>
      <c r="L2293">
        <v>18112.900000000001</v>
      </c>
      <c r="M2293">
        <v>15395.97</v>
      </c>
      <c r="N2293" t="s">
        <v>116</v>
      </c>
      <c r="O2293">
        <v>2024</v>
      </c>
    </row>
    <row r="2294" spans="1:15" x14ac:dyDescent="0.3">
      <c r="A2294" t="s">
        <v>2379</v>
      </c>
      <c r="B2294" t="s">
        <v>89</v>
      </c>
      <c r="C2294" t="s">
        <v>90</v>
      </c>
      <c r="D2294" t="s">
        <v>115</v>
      </c>
      <c r="E2294" t="s">
        <v>30</v>
      </c>
      <c r="F2294" s="1">
        <v>45476</v>
      </c>
      <c r="G2294">
        <v>4</v>
      </c>
      <c r="H2294">
        <v>7960.5</v>
      </c>
      <c r="I2294">
        <v>0</v>
      </c>
      <c r="J2294" t="s">
        <v>82</v>
      </c>
      <c r="K2294">
        <v>0</v>
      </c>
      <c r="L2294">
        <v>31842</v>
      </c>
      <c r="M2294">
        <v>31842</v>
      </c>
      <c r="N2294" t="s">
        <v>122</v>
      </c>
      <c r="O2294">
        <v>2024</v>
      </c>
    </row>
    <row r="2295" spans="1:15" x14ac:dyDescent="0.3">
      <c r="A2295" t="s">
        <v>2380</v>
      </c>
      <c r="B2295" t="s">
        <v>23</v>
      </c>
      <c r="C2295" t="s">
        <v>62</v>
      </c>
      <c r="D2295" t="s">
        <v>132</v>
      </c>
      <c r="E2295" t="s">
        <v>25</v>
      </c>
      <c r="F2295" s="1">
        <v>45453</v>
      </c>
      <c r="G2295">
        <v>9</v>
      </c>
      <c r="H2295">
        <v>2806.87</v>
      </c>
      <c r="I2295">
        <v>20</v>
      </c>
      <c r="J2295" t="s">
        <v>82</v>
      </c>
      <c r="K2295">
        <v>5052.37</v>
      </c>
      <c r="L2295">
        <v>25261.83</v>
      </c>
      <c r="M2295">
        <v>20209.46</v>
      </c>
      <c r="N2295" t="s">
        <v>72</v>
      </c>
      <c r="O2295">
        <v>2024</v>
      </c>
    </row>
    <row r="2296" spans="1:15" x14ac:dyDescent="0.3">
      <c r="A2296" t="s">
        <v>2381</v>
      </c>
      <c r="B2296" t="s">
        <v>93</v>
      </c>
      <c r="C2296" t="s">
        <v>62</v>
      </c>
      <c r="D2296" t="s">
        <v>63</v>
      </c>
      <c r="E2296" t="s">
        <v>30</v>
      </c>
      <c r="F2296" s="1">
        <v>45865</v>
      </c>
      <c r="G2296">
        <v>9</v>
      </c>
      <c r="H2296">
        <v>1687.7</v>
      </c>
      <c r="I2296">
        <v>15</v>
      </c>
      <c r="J2296" t="s">
        <v>31</v>
      </c>
      <c r="K2296">
        <v>2278.39</v>
      </c>
      <c r="L2296">
        <v>15189.3</v>
      </c>
      <c r="M2296">
        <v>12910.91</v>
      </c>
      <c r="N2296" t="s">
        <v>122</v>
      </c>
      <c r="O2296">
        <v>2025</v>
      </c>
    </row>
    <row r="2297" spans="1:15" x14ac:dyDescent="0.3">
      <c r="A2297" t="s">
        <v>2382</v>
      </c>
      <c r="B2297" t="s">
        <v>61</v>
      </c>
      <c r="C2297" t="s">
        <v>54</v>
      </c>
      <c r="D2297" t="s">
        <v>68</v>
      </c>
      <c r="E2297" t="s">
        <v>30</v>
      </c>
      <c r="F2297" s="1">
        <v>45565</v>
      </c>
      <c r="G2297">
        <v>1</v>
      </c>
      <c r="H2297">
        <v>4712.45</v>
      </c>
      <c r="I2297">
        <v>5</v>
      </c>
      <c r="J2297" t="s">
        <v>26</v>
      </c>
      <c r="K2297">
        <v>235.62</v>
      </c>
      <c r="L2297">
        <v>4712.45</v>
      </c>
      <c r="M2297">
        <v>4476.83</v>
      </c>
      <c r="N2297" t="s">
        <v>86</v>
      </c>
      <c r="O2297">
        <v>2024</v>
      </c>
    </row>
    <row r="2298" spans="1:15" x14ac:dyDescent="0.3">
      <c r="A2298" t="s">
        <v>2383</v>
      </c>
      <c r="B2298" t="s">
        <v>114</v>
      </c>
      <c r="C2298" t="s">
        <v>17</v>
      </c>
      <c r="D2298" t="s">
        <v>39</v>
      </c>
      <c r="E2298" t="s">
        <v>44</v>
      </c>
      <c r="F2298" s="1">
        <v>45886</v>
      </c>
      <c r="G2298">
        <v>7</v>
      </c>
      <c r="H2298">
        <v>16706.22</v>
      </c>
      <c r="I2298">
        <v>15</v>
      </c>
      <c r="J2298" t="s">
        <v>82</v>
      </c>
      <c r="K2298">
        <v>17541.53</v>
      </c>
      <c r="L2298">
        <v>116943.54</v>
      </c>
      <c r="M2298">
        <v>99402.01</v>
      </c>
      <c r="N2298" t="s">
        <v>21</v>
      </c>
      <c r="O2298">
        <v>2025</v>
      </c>
    </row>
    <row r="2299" spans="1:15" x14ac:dyDescent="0.3">
      <c r="A2299" t="s">
        <v>2384</v>
      </c>
      <c r="B2299" t="s">
        <v>114</v>
      </c>
      <c r="C2299" t="s">
        <v>17</v>
      </c>
      <c r="D2299" t="s">
        <v>157</v>
      </c>
      <c r="E2299" t="s">
        <v>81</v>
      </c>
      <c r="F2299" s="1">
        <v>45473</v>
      </c>
      <c r="G2299">
        <v>8</v>
      </c>
      <c r="H2299">
        <v>6797.21</v>
      </c>
      <c r="I2299">
        <v>20</v>
      </c>
      <c r="J2299" t="s">
        <v>20</v>
      </c>
      <c r="K2299">
        <v>10875.54</v>
      </c>
      <c r="L2299">
        <v>54377.68</v>
      </c>
      <c r="M2299">
        <v>43502.14</v>
      </c>
      <c r="N2299" t="s">
        <v>72</v>
      </c>
      <c r="O2299">
        <v>2024</v>
      </c>
    </row>
    <row r="2300" spans="1:15" x14ac:dyDescent="0.3">
      <c r="A2300" t="s">
        <v>2385</v>
      </c>
      <c r="B2300" t="s">
        <v>33</v>
      </c>
      <c r="C2300" t="s">
        <v>54</v>
      </c>
      <c r="D2300" t="s">
        <v>55</v>
      </c>
      <c r="E2300" t="s">
        <v>30</v>
      </c>
      <c r="F2300" s="1">
        <v>45654</v>
      </c>
      <c r="G2300">
        <v>2</v>
      </c>
      <c r="H2300">
        <v>1445.08</v>
      </c>
      <c r="I2300">
        <v>15</v>
      </c>
      <c r="J2300" t="s">
        <v>31</v>
      </c>
      <c r="K2300">
        <v>433.52</v>
      </c>
      <c r="L2300">
        <v>2890.16</v>
      </c>
      <c r="M2300">
        <v>2456.64</v>
      </c>
      <c r="N2300" t="s">
        <v>51</v>
      </c>
      <c r="O2300">
        <v>2024</v>
      </c>
    </row>
    <row r="2301" spans="1:15" x14ac:dyDescent="0.3">
      <c r="A2301" t="s">
        <v>2386</v>
      </c>
      <c r="B2301" t="s">
        <v>53</v>
      </c>
      <c r="C2301" t="s">
        <v>54</v>
      </c>
      <c r="D2301" t="s">
        <v>68</v>
      </c>
      <c r="E2301" t="s">
        <v>19</v>
      </c>
      <c r="F2301" s="1">
        <v>45911</v>
      </c>
      <c r="G2301">
        <v>7</v>
      </c>
      <c r="H2301">
        <v>4839.76</v>
      </c>
      <c r="I2301">
        <v>10</v>
      </c>
      <c r="J2301" t="s">
        <v>26</v>
      </c>
      <c r="K2301">
        <v>3387.83</v>
      </c>
      <c r="L2301">
        <v>33878.32</v>
      </c>
      <c r="M2301">
        <v>30490.49</v>
      </c>
      <c r="N2301" t="s">
        <v>86</v>
      </c>
      <c r="O2301">
        <v>2025</v>
      </c>
    </row>
    <row r="2302" spans="1:15" x14ac:dyDescent="0.3">
      <c r="A2302" t="s">
        <v>2387</v>
      </c>
      <c r="B2302" t="s">
        <v>23</v>
      </c>
      <c r="C2302" t="s">
        <v>54</v>
      </c>
      <c r="D2302" t="s">
        <v>68</v>
      </c>
      <c r="E2302" t="s">
        <v>81</v>
      </c>
      <c r="F2302" s="1">
        <v>45563</v>
      </c>
      <c r="G2302">
        <v>10</v>
      </c>
      <c r="H2302">
        <v>4532.97</v>
      </c>
      <c r="I2302">
        <v>10</v>
      </c>
      <c r="J2302" t="s">
        <v>20</v>
      </c>
      <c r="K2302">
        <v>4532.97</v>
      </c>
      <c r="L2302">
        <v>45329.7</v>
      </c>
      <c r="M2302">
        <v>40796.730000000003</v>
      </c>
      <c r="N2302" t="s">
        <v>86</v>
      </c>
      <c r="O2302">
        <v>2024</v>
      </c>
    </row>
    <row r="2303" spans="1:15" x14ac:dyDescent="0.3">
      <c r="A2303" t="s">
        <v>2388</v>
      </c>
      <c r="B2303" t="s">
        <v>43</v>
      </c>
      <c r="C2303" t="s">
        <v>90</v>
      </c>
      <c r="D2303" t="s">
        <v>91</v>
      </c>
      <c r="E2303" t="s">
        <v>50</v>
      </c>
      <c r="F2303" s="1">
        <v>45746</v>
      </c>
      <c r="G2303">
        <v>1</v>
      </c>
      <c r="H2303">
        <v>1407.36</v>
      </c>
      <c r="I2303">
        <v>10</v>
      </c>
      <c r="J2303" t="s">
        <v>82</v>
      </c>
      <c r="K2303">
        <v>140.74</v>
      </c>
      <c r="L2303">
        <v>1407.36</v>
      </c>
      <c r="M2303">
        <v>1266.6199999999999</v>
      </c>
      <c r="N2303" t="s">
        <v>83</v>
      </c>
      <c r="O2303">
        <v>2025</v>
      </c>
    </row>
    <row r="2304" spans="1:15" x14ac:dyDescent="0.3">
      <c r="A2304" t="s">
        <v>2389</v>
      </c>
      <c r="B2304" t="s">
        <v>53</v>
      </c>
      <c r="C2304" t="s">
        <v>17</v>
      </c>
      <c r="D2304" t="s">
        <v>157</v>
      </c>
      <c r="E2304" t="s">
        <v>50</v>
      </c>
      <c r="F2304" s="1">
        <v>45885</v>
      </c>
      <c r="G2304">
        <v>4</v>
      </c>
      <c r="H2304">
        <v>7744.66</v>
      </c>
      <c r="I2304">
        <v>15</v>
      </c>
      <c r="J2304" t="s">
        <v>45</v>
      </c>
      <c r="K2304">
        <v>4646.8</v>
      </c>
      <c r="L2304">
        <v>30978.639999999999</v>
      </c>
      <c r="M2304">
        <v>26331.84</v>
      </c>
      <c r="N2304" t="s">
        <v>21</v>
      </c>
      <c r="O2304">
        <v>2025</v>
      </c>
    </row>
    <row r="2305" spans="1:15" x14ac:dyDescent="0.3">
      <c r="A2305" t="s">
        <v>2390</v>
      </c>
      <c r="B2305" t="s">
        <v>65</v>
      </c>
      <c r="C2305" t="s">
        <v>62</v>
      </c>
      <c r="D2305" t="s">
        <v>132</v>
      </c>
      <c r="E2305" t="s">
        <v>50</v>
      </c>
      <c r="F2305" s="1">
        <v>45806</v>
      </c>
      <c r="G2305">
        <v>10</v>
      </c>
      <c r="H2305">
        <v>2850.1</v>
      </c>
      <c r="I2305">
        <v>5</v>
      </c>
      <c r="J2305" t="s">
        <v>26</v>
      </c>
      <c r="K2305">
        <v>1425.05</v>
      </c>
      <c r="L2305">
        <v>28501</v>
      </c>
      <c r="M2305">
        <v>27075.95</v>
      </c>
      <c r="N2305" t="s">
        <v>101</v>
      </c>
      <c r="O2305">
        <v>2025</v>
      </c>
    </row>
    <row r="2306" spans="1:15" x14ac:dyDescent="0.3">
      <c r="A2306" t="s">
        <v>2391</v>
      </c>
      <c r="B2306" t="s">
        <v>23</v>
      </c>
      <c r="C2306" t="s">
        <v>62</v>
      </c>
      <c r="D2306" t="s">
        <v>132</v>
      </c>
      <c r="E2306" t="s">
        <v>81</v>
      </c>
      <c r="F2306" s="1">
        <v>45920</v>
      </c>
      <c r="G2306">
        <v>1</v>
      </c>
      <c r="H2306">
        <v>2800.21</v>
      </c>
      <c r="I2306">
        <v>5</v>
      </c>
      <c r="J2306" t="s">
        <v>20</v>
      </c>
      <c r="K2306">
        <v>140.01</v>
      </c>
      <c r="L2306">
        <v>2800.21</v>
      </c>
      <c r="M2306">
        <v>2660.2</v>
      </c>
      <c r="N2306" t="s">
        <v>86</v>
      </c>
      <c r="O2306">
        <v>2025</v>
      </c>
    </row>
    <row r="2307" spans="1:15" x14ac:dyDescent="0.3">
      <c r="A2307" t="s">
        <v>2392</v>
      </c>
      <c r="B2307" t="s">
        <v>89</v>
      </c>
      <c r="C2307" t="s">
        <v>62</v>
      </c>
      <c r="D2307" t="s">
        <v>99</v>
      </c>
      <c r="E2307" t="s">
        <v>50</v>
      </c>
      <c r="F2307" s="1">
        <v>45908</v>
      </c>
      <c r="G2307">
        <v>10</v>
      </c>
      <c r="H2307">
        <v>1375.56</v>
      </c>
      <c r="I2307">
        <v>0</v>
      </c>
      <c r="J2307" t="s">
        <v>71</v>
      </c>
      <c r="K2307">
        <v>0</v>
      </c>
      <c r="L2307">
        <v>13755.6</v>
      </c>
      <c r="M2307">
        <v>13755.6</v>
      </c>
      <c r="N2307" t="s">
        <v>86</v>
      </c>
      <c r="O2307">
        <v>2025</v>
      </c>
    </row>
    <row r="2308" spans="1:15" x14ac:dyDescent="0.3">
      <c r="A2308" t="s">
        <v>2393</v>
      </c>
      <c r="B2308" t="s">
        <v>47</v>
      </c>
      <c r="C2308" t="s">
        <v>54</v>
      </c>
      <c r="D2308" t="s">
        <v>70</v>
      </c>
      <c r="E2308" t="s">
        <v>19</v>
      </c>
      <c r="F2308" s="1">
        <v>45511</v>
      </c>
      <c r="G2308">
        <v>2</v>
      </c>
      <c r="H2308">
        <v>2616.56</v>
      </c>
      <c r="I2308">
        <v>5</v>
      </c>
      <c r="J2308" t="s">
        <v>82</v>
      </c>
      <c r="K2308">
        <v>261.66000000000003</v>
      </c>
      <c r="L2308">
        <v>5233.12</v>
      </c>
      <c r="M2308">
        <v>4971.46</v>
      </c>
      <c r="N2308" t="s">
        <v>21</v>
      </c>
      <c r="O2308">
        <v>2024</v>
      </c>
    </row>
    <row r="2309" spans="1:15" x14ac:dyDescent="0.3">
      <c r="A2309" t="s">
        <v>2394</v>
      </c>
      <c r="B2309" t="s">
        <v>61</v>
      </c>
      <c r="C2309" t="s">
        <v>62</v>
      </c>
      <c r="D2309" t="s">
        <v>132</v>
      </c>
      <c r="E2309" t="s">
        <v>44</v>
      </c>
      <c r="F2309" s="1">
        <v>45501</v>
      </c>
      <c r="G2309">
        <v>7</v>
      </c>
      <c r="H2309">
        <v>2317.48</v>
      </c>
      <c r="I2309">
        <v>5</v>
      </c>
      <c r="J2309" t="s">
        <v>36</v>
      </c>
      <c r="K2309">
        <v>811.12</v>
      </c>
      <c r="L2309">
        <v>16222.36</v>
      </c>
      <c r="M2309">
        <v>15411.24</v>
      </c>
      <c r="N2309" t="s">
        <v>122</v>
      </c>
      <c r="O2309">
        <v>2024</v>
      </c>
    </row>
    <row r="2310" spans="1:15" x14ac:dyDescent="0.3">
      <c r="A2310" t="s">
        <v>2395</v>
      </c>
      <c r="B2310" t="s">
        <v>114</v>
      </c>
      <c r="C2310" t="s">
        <v>90</v>
      </c>
      <c r="D2310" t="s">
        <v>152</v>
      </c>
      <c r="E2310" t="s">
        <v>25</v>
      </c>
      <c r="F2310" s="1">
        <v>45483</v>
      </c>
      <c r="G2310">
        <v>4</v>
      </c>
      <c r="H2310">
        <v>9109.48</v>
      </c>
      <c r="I2310">
        <v>10</v>
      </c>
      <c r="J2310" t="s">
        <v>45</v>
      </c>
      <c r="K2310">
        <v>3643.79</v>
      </c>
      <c r="L2310">
        <v>36437.919999999998</v>
      </c>
      <c r="M2310">
        <v>32794.129999999997</v>
      </c>
      <c r="N2310" t="s">
        <v>122</v>
      </c>
      <c r="O2310">
        <v>2024</v>
      </c>
    </row>
    <row r="2311" spans="1:15" x14ac:dyDescent="0.3">
      <c r="A2311" t="s">
        <v>2396</v>
      </c>
      <c r="B2311" t="s">
        <v>65</v>
      </c>
      <c r="C2311" t="s">
        <v>62</v>
      </c>
      <c r="D2311" t="s">
        <v>132</v>
      </c>
      <c r="E2311" t="s">
        <v>25</v>
      </c>
      <c r="F2311" s="1">
        <v>45632</v>
      </c>
      <c r="G2311">
        <v>1</v>
      </c>
      <c r="H2311">
        <v>3100.63</v>
      </c>
      <c r="I2311">
        <v>10</v>
      </c>
      <c r="J2311" t="s">
        <v>31</v>
      </c>
      <c r="K2311">
        <v>310.06</v>
      </c>
      <c r="L2311">
        <v>3100.63</v>
      </c>
      <c r="M2311">
        <v>2790.57</v>
      </c>
      <c r="N2311" t="s">
        <v>51</v>
      </c>
      <c r="O2311">
        <v>2024</v>
      </c>
    </row>
    <row r="2312" spans="1:15" x14ac:dyDescent="0.3">
      <c r="A2312" t="s">
        <v>2397</v>
      </c>
      <c r="B2312" t="s">
        <v>89</v>
      </c>
      <c r="C2312" t="s">
        <v>62</v>
      </c>
      <c r="D2312" t="s">
        <v>119</v>
      </c>
      <c r="E2312" t="s">
        <v>50</v>
      </c>
      <c r="F2312" s="1">
        <v>45419</v>
      </c>
      <c r="G2312">
        <v>10</v>
      </c>
      <c r="H2312">
        <v>3235.19</v>
      </c>
      <c r="I2312">
        <v>10</v>
      </c>
      <c r="J2312" t="s">
        <v>40</v>
      </c>
      <c r="K2312">
        <v>3235.19</v>
      </c>
      <c r="L2312">
        <v>32351.9</v>
      </c>
      <c r="M2312">
        <v>29116.71</v>
      </c>
      <c r="N2312" t="s">
        <v>101</v>
      </c>
      <c r="O2312">
        <v>2024</v>
      </c>
    </row>
    <row r="2313" spans="1:15" x14ac:dyDescent="0.3">
      <c r="A2313" t="s">
        <v>2398</v>
      </c>
      <c r="B2313" t="s">
        <v>16</v>
      </c>
      <c r="C2313" t="s">
        <v>17</v>
      </c>
      <c r="D2313" t="s">
        <v>59</v>
      </c>
      <c r="E2313" t="s">
        <v>19</v>
      </c>
      <c r="F2313" s="1">
        <v>45320</v>
      </c>
      <c r="G2313">
        <v>10</v>
      </c>
      <c r="H2313">
        <v>25102.44</v>
      </c>
      <c r="I2313">
        <v>0</v>
      </c>
      <c r="J2313" t="s">
        <v>40</v>
      </c>
      <c r="K2313">
        <v>0</v>
      </c>
      <c r="L2313">
        <v>251024.4</v>
      </c>
      <c r="M2313">
        <v>251024.4</v>
      </c>
      <c r="N2313" t="s">
        <v>116</v>
      </c>
      <c r="O2313">
        <v>2024</v>
      </c>
    </row>
    <row r="2314" spans="1:15" x14ac:dyDescent="0.3">
      <c r="A2314" t="s">
        <v>2399</v>
      </c>
      <c r="B2314" t="s">
        <v>114</v>
      </c>
      <c r="C2314" t="s">
        <v>90</v>
      </c>
      <c r="D2314" t="s">
        <v>152</v>
      </c>
      <c r="E2314" t="s">
        <v>30</v>
      </c>
      <c r="F2314" s="1">
        <v>45820</v>
      </c>
      <c r="G2314">
        <v>3</v>
      </c>
      <c r="H2314">
        <v>10750.49</v>
      </c>
      <c r="I2314">
        <v>20</v>
      </c>
      <c r="J2314" t="s">
        <v>82</v>
      </c>
      <c r="K2314">
        <v>6450.29</v>
      </c>
      <c r="L2314">
        <v>32251.47</v>
      </c>
      <c r="M2314">
        <v>25801.18</v>
      </c>
      <c r="N2314" t="s">
        <v>72</v>
      </c>
      <c r="O2314">
        <v>2025</v>
      </c>
    </row>
    <row r="2315" spans="1:15" x14ac:dyDescent="0.3">
      <c r="A2315" t="s">
        <v>2400</v>
      </c>
      <c r="B2315" t="s">
        <v>74</v>
      </c>
      <c r="C2315" t="s">
        <v>54</v>
      </c>
      <c r="D2315" t="s">
        <v>77</v>
      </c>
      <c r="E2315" t="s">
        <v>81</v>
      </c>
      <c r="F2315" s="1">
        <v>45851</v>
      </c>
      <c r="G2315">
        <v>9</v>
      </c>
      <c r="H2315">
        <v>5695.53</v>
      </c>
      <c r="I2315">
        <v>0</v>
      </c>
      <c r="J2315" t="s">
        <v>26</v>
      </c>
      <c r="K2315">
        <v>0</v>
      </c>
      <c r="L2315">
        <v>51259.77</v>
      </c>
      <c r="M2315">
        <v>51259.77</v>
      </c>
      <c r="N2315" t="s">
        <v>122</v>
      </c>
      <c r="O2315">
        <v>2025</v>
      </c>
    </row>
    <row r="2316" spans="1:15" x14ac:dyDescent="0.3">
      <c r="A2316" t="s">
        <v>2401</v>
      </c>
      <c r="B2316" t="s">
        <v>38</v>
      </c>
      <c r="C2316" t="s">
        <v>90</v>
      </c>
      <c r="D2316" t="s">
        <v>152</v>
      </c>
      <c r="E2316" t="s">
        <v>81</v>
      </c>
      <c r="F2316" s="1">
        <v>45391</v>
      </c>
      <c r="G2316">
        <v>5</v>
      </c>
      <c r="H2316">
        <v>9199.0499999999993</v>
      </c>
      <c r="I2316">
        <v>10</v>
      </c>
      <c r="J2316" t="s">
        <v>36</v>
      </c>
      <c r="K2316">
        <v>4599.53</v>
      </c>
      <c r="L2316">
        <v>45995.25</v>
      </c>
      <c r="M2316">
        <v>41395.72</v>
      </c>
      <c r="N2316" t="s">
        <v>27</v>
      </c>
      <c r="O2316">
        <v>2024</v>
      </c>
    </row>
    <row r="2317" spans="1:15" x14ac:dyDescent="0.3">
      <c r="A2317" t="s">
        <v>2402</v>
      </c>
      <c r="B2317" t="s">
        <v>38</v>
      </c>
      <c r="C2317" t="s">
        <v>90</v>
      </c>
      <c r="D2317" t="s">
        <v>91</v>
      </c>
      <c r="E2317" t="s">
        <v>25</v>
      </c>
      <c r="F2317" s="1">
        <v>45626</v>
      </c>
      <c r="G2317">
        <v>10</v>
      </c>
      <c r="H2317">
        <v>1561.19</v>
      </c>
      <c r="I2317">
        <v>15</v>
      </c>
      <c r="J2317" t="s">
        <v>20</v>
      </c>
      <c r="K2317">
        <v>2341.7800000000002</v>
      </c>
      <c r="L2317">
        <v>15611.9</v>
      </c>
      <c r="M2317">
        <v>13270.12</v>
      </c>
      <c r="N2317" t="s">
        <v>96</v>
      </c>
      <c r="O2317">
        <v>2024</v>
      </c>
    </row>
    <row r="2318" spans="1:15" x14ac:dyDescent="0.3">
      <c r="A2318" t="s">
        <v>2403</v>
      </c>
      <c r="B2318" t="s">
        <v>65</v>
      </c>
      <c r="C2318" t="s">
        <v>90</v>
      </c>
      <c r="D2318" t="s">
        <v>115</v>
      </c>
      <c r="E2318" t="s">
        <v>56</v>
      </c>
      <c r="F2318" s="1">
        <v>46007</v>
      </c>
      <c r="G2318">
        <v>10</v>
      </c>
      <c r="H2318">
        <v>8790.82</v>
      </c>
      <c r="I2318">
        <v>20</v>
      </c>
      <c r="J2318" t="s">
        <v>20</v>
      </c>
      <c r="K2318">
        <v>17581.64</v>
      </c>
      <c r="L2318">
        <v>87908.2</v>
      </c>
      <c r="M2318">
        <v>70326.559999999998</v>
      </c>
      <c r="N2318" t="s">
        <v>51</v>
      </c>
      <c r="O2318">
        <v>2025</v>
      </c>
    </row>
    <row r="2319" spans="1:15" x14ac:dyDescent="0.3">
      <c r="A2319" t="s">
        <v>2404</v>
      </c>
      <c r="B2319" t="s">
        <v>43</v>
      </c>
      <c r="C2319" t="s">
        <v>54</v>
      </c>
      <c r="D2319" t="s">
        <v>68</v>
      </c>
      <c r="E2319" t="s">
        <v>81</v>
      </c>
      <c r="F2319" s="1">
        <v>45872</v>
      </c>
      <c r="G2319">
        <v>5</v>
      </c>
      <c r="H2319">
        <v>4824.78</v>
      </c>
      <c r="I2319">
        <v>0</v>
      </c>
      <c r="J2319" t="s">
        <v>31</v>
      </c>
      <c r="K2319">
        <v>0</v>
      </c>
      <c r="L2319">
        <v>24123.9</v>
      </c>
      <c r="M2319">
        <v>24123.9</v>
      </c>
      <c r="N2319" t="s">
        <v>21</v>
      </c>
      <c r="O2319">
        <v>2025</v>
      </c>
    </row>
    <row r="2320" spans="1:15" x14ac:dyDescent="0.3">
      <c r="A2320" t="s">
        <v>2405</v>
      </c>
      <c r="B2320" t="s">
        <v>93</v>
      </c>
      <c r="C2320" t="s">
        <v>62</v>
      </c>
      <c r="D2320" t="s">
        <v>119</v>
      </c>
      <c r="E2320" t="s">
        <v>19</v>
      </c>
      <c r="F2320" s="1">
        <v>45967</v>
      </c>
      <c r="G2320">
        <v>1</v>
      </c>
      <c r="H2320">
        <v>3571.5</v>
      </c>
      <c r="I2320">
        <v>20</v>
      </c>
      <c r="J2320" t="s">
        <v>45</v>
      </c>
      <c r="K2320">
        <v>714.3</v>
      </c>
      <c r="L2320">
        <v>3571.5</v>
      </c>
      <c r="M2320">
        <v>2857.2</v>
      </c>
      <c r="N2320" t="s">
        <v>96</v>
      </c>
      <c r="O2320">
        <v>2025</v>
      </c>
    </row>
    <row r="2321" spans="1:15" x14ac:dyDescent="0.3">
      <c r="A2321" t="s">
        <v>2406</v>
      </c>
      <c r="B2321" t="s">
        <v>61</v>
      </c>
      <c r="C2321" t="s">
        <v>34</v>
      </c>
      <c r="D2321" t="s">
        <v>66</v>
      </c>
      <c r="E2321" t="s">
        <v>50</v>
      </c>
      <c r="F2321" s="1">
        <v>45995</v>
      </c>
      <c r="G2321">
        <v>8</v>
      </c>
      <c r="H2321">
        <v>50541.52</v>
      </c>
      <c r="I2321">
        <v>5</v>
      </c>
      <c r="J2321" t="s">
        <v>26</v>
      </c>
      <c r="K2321">
        <v>20216.61</v>
      </c>
      <c r="L2321">
        <v>404332.16</v>
      </c>
      <c r="M2321">
        <v>384115.55</v>
      </c>
      <c r="N2321" t="s">
        <v>51</v>
      </c>
      <c r="O2321">
        <v>2025</v>
      </c>
    </row>
    <row r="2322" spans="1:15" x14ac:dyDescent="0.3">
      <c r="A2322" t="s">
        <v>2407</v>
      </c>
      <c r="B2322" t="s">
        <v>33</v>
      </c>
      <c r="C2322" t="s">
        <v>90</v>
      </c>
      <c r="D2322" t="s">
        <v>105</v>
      </c>
      <c r="E2322" t="s">
        <v>25</v>
      </c>
      <c r="F2322" s="1">
        <v>45777</v>
      </c>
      <c r="G2322">
        <v>2</v>
      </c>
      <c r="H2322">
        <v>3519.67</v>
      </c>
      <c r="I2322">
        <v>0</v>
      </c>
      <c r="J2322" t="s">
        <v>82</v>
      </c>
      <c r="K2322">
        <v>0</v>
      </c>
      <c r="L2322">
        <v>7039.34</v>
      </c>
      <c r="M2322">
        <v>7039.34</v>
      </c>
      <c r="N2322" t="s">
        <v>27</v>
      </c>
      <c r="O2322">
        <v>2025</v>
      </c>
    </row>
    <row r="2323" spans="1:15" x14ac:dyDescent="0.3">
      <c r="A2323" t="s">
        <v>2408</v>
      </c>
      <c r="B2323" t="s">
        <v>65</v>
      </c>
      <c r="C2323" t="s">
        <v>34</v>
      </c>
      <c r="D2323" t="s">
        <v>66</v>
      </c>
      <c r="E2323" t="s">
        <v>44</v>
      </c>
      <c r="F2323" s="1">
        <v>45504</v>
      </c>
      <c r="G2323">
        <v>7</v>
      </c>
      <c r="H2323">
        <v>39143.879999999997</v>
      </c>
      <c r="I2323">
        <v>15</v>
      </c>
      <c r="J2323" t="s">
        <v>31</v>
      </c>
      <c r="K2323">
        <v>41101.07</v>
      </c>
      <c r="L2323">
        <v>274007.15999999997</v>
      </c>
      <c r="M2323">
        <v>232906.09</v>
      </c>
      <c r="N2323" t="s">
        <v>122</v>
      </c>
      <c r="O2323">
        <v>2024</v>
      </c>
    </row>
    <row r="2324" spans="1:15" x14ac:dyDescent="0.3">
      <c r="A2324" t="s">
        <v>2409</v>
      </c>
      <c r="B2324" t="s">
        <v>65</v>
      </c>
      <c r="C2324" t="s">
        <v>34</v>
      </c>
      <c r="D2324" t="s">
        <v>80</v>
      </c>
      <c r="E2324" t="s">
        <v>81</v>
      </c>
      <c r="F2324" s="1">
        <v>45627</v>
      </c>
      <c r="G2324">
        <v>6</v>
      </c>
      <c r="H2324">
        <v>6929.16</v>
      </c>
      <c r="I2324">
        <v>15</v>
      </c>
      <c r="J2324" t="s">
        <v>40</v>
      </c>
      <c r="K2324">
        <v>6236.24</v>
      </c>
      <c r="L2324">
        <v>41574.959999999999</v>
      </c>
      <c r="M2324">
        <v>35338.720000000001</v>
      </c>
      <c r="N2324" t="s">
        <v>51</v>
      </c>
      <c r="O2324">
        <v>2024</v>
      </c>
    </row>
    <row r="2325" spans="1:15" x14ac:dyDescent="0.3">
      <c r="A2325" t="s">
        <v>2410</v>
      </c>
      <c r="B2325" t="s">
        <v>109</v>
      </c>
      <c r="C2325" t="s">
        <v>90</v>
      </c>
      <c r="D2325" t="s">
        <v>105</v>
      </c>
      <c r="E2325" t="s">
        <v>25</v>
      </c>
      <c r="F2325" s="1">
        <v>45431</v>
      </c>
      <c r="G2325">
        <v>5</v>
      </c>
      <c r="H2325">
        <v>3614.06</v>
      </c>
      <c r="I2325">
        <v>20</v>
      </c>
      <c r="J2325" t="s">
        <v>40</v>
      </c>
      <c r="K2325">
        <v>3614.06</v>
      </c>
      <c r="L2325">
        <v>18070.3</v>
      </c>
      <c r="M2325">
        <v>14456.24</v>
      </c>
      <c r="N2325" t="s">
        <v>101</v>
      </c>
      <c r="O2325">
        <v>2024</v>
      </c>
    </row>
    <row r="2326" spans="1:15" x14ac:dyDescent="0.3">
      <c r="A2326" t="s">
        <v>2411</v>
      </c>
      <c r="B2326" t="s">
        <v>109</v>
      </c>
      <c r="C2326" t="s">
        <v>62</v>
      </c>
      <c r="D2326" t="s">
        <v>63</v>
      </c>
      <c r="E2326" t="s">
        <v>19</v>
      </c>
      <c r="F2326" s="1">
        <v>45676</v>
      </c>
      <c r="G2326">
        <v>5</v>
      </c>
      <c r="H2326">
        <v>1973.48</v>
      </c>
      <c r="I2326">
        <v>20</v>
      </c>
      <c r="J2326" t="s">
        <v>31</v>
      </c>
      <c r="K2326">
        <v>1973.48</v>
      </c>
      <c r="L2326">
        <v>9867.4</v>
      </c>
      <c r="M2326">
        <v>7893.92</v>
      </c>
      <c r="N2326" t="s">
        <v>116</v>
      </c>
      <c r="O2326">
        <v>2025</v>
      </c>
    </row>
    <row r="2327" spans="1:15" x14ac:dyDescent="0.3">
      <c r="A2327" t="s">
        <v>2412</v>
      </c>
      <c r="B2327" t="s">
        <v>23</v>
      </c>
      <c r="C2327" t="s">
        <v>54</v>
      </c>
      <c r="D2327" t="s">
        <v>68</v>
      </c>
      <c r="E2327" t="s">
        <v>56</v>
      </c>
      <c r="F2327" s="1">
        <v>45343</v>
      </c>
      <c r="G2327">
        <v>6</v>
      </c>
      <c r="H2327">
        <v>4937.83</v>
      </c>
      <c r="I2327">
        <v>10</v>
      </c>
      <c r="J2327" t="s">
        <v>31</v>
      </c>
      <c r="K2327">
        <v>2962.7</v>
      </c>
      <c r="L2327">
        <v>29626.98</v>
      </c>
      <c r="M2327">
        <v>26664.28</v>
      </c>
      <c r="N2327" t="s">
        <v>41</v>
      </c>
      <c r="O2327">
        <v>2024</v>
      </c>
    </row>
    <row r="2328" spans="1:15" x14ac:dyDescent="0.3">
      <c r="A2328" t="s">
        <v>2413</v>
      </c>
      <c r="B2328" t="s">
        <v>38</v>
      </c>
      <c r="C2328" t="s">
        <v>34</v>
      </c>
      <c r="D2328" t="s">
        <v>80</v>
      </c>
      <c r="E2328" t="s">
        <v>44</v>
      </c>
      <c r="F2328" s="1">
        <v>45614</v>
      </c>
      <c r="G2328">
        <v>7</v>
      </c>
      <c r="H2328">
        <v>7367.54</v>
      </c>
      <c r="I2328">
        <v>15</v>
      </c>
      <c r="J2328" t="s">
        <v>40</v>
      </c>
      <c r="K2328">
        <v>7735.92</v>
      </c>
      <c r="L2328">
        <v>51572.78</v>
      </c>
      <c r="M2328">
        <v>43836.86</v>
      </c>
      <c r="N2328" t="s">
        <v>96</v>
      </c>
      <c r="O2328">
        <v>2024</v>
      </c>
    </row>
    <row r="2329" spans="1:15" x14ac:dyDescent="0.3">
      <c r="A2329" t="s">
        <v>2414</v>
      </c>
      <c r="B2329" t="s">
        <v>65</v>
      </c>
      <c r="C2329" t="s">
        <v>90</v>
      </c>
      <c r="D2329" t="s">
        <v>115</v>
      </c>
      <c r="E2329" t="s">
        <v>25</v>
      </c>
      <c r="F2329" s="1">
        <v>45607</v>
      </c>
      <c r="G2329">
        <v>6</v>
      </c>
      <c r="H2329">
        <v>10042.469999999999</v>
      </c>
      <c r="I2329">
        <v>5</v>
      </c>
      <c r="J2329" t="s">
        <v>71</v>
      </c>
      <c r="K2329">
        <v>3012.74</v>
      </c>
      <c r="L2329">
        <v>60254.82</v>
      </c>
      <c r="M2329">
        <v>57242.080000000002</v>
      </c>
      <c r="N2329" t="s">
        <v>96</v>
      </c>
      <c r="O2329">
        <v>2024</v>
      </c>
    </row>
    <row r="2330" spans="1:15" x14ac:dyDescent="0.3">
      <c r="A2330" t="s">
        <v>2415</v>
      </c>
      <c r="B2330" t="s">
        <v>109</v>
      </c>
      <c r="C2330" t="s">
        <v>54</v>
      </c>
      <c r="D2330" t="s">
        <v>77</v>
      </c>
      <c r="E2330" t="s">
        <v>56</v>
      </c>
      <c r="F2330" s="1">
        <v>45540</v>
      </c>
      <c r="G2330">
        <v>6</v>
      </c>
      <c r="H2330">
        <v>4822.6099999999997</v>
      </c>
      <c r="I2330">
        <v>15</v>
      </c>
      <c r="J2330" t="s">
        <v>36</v>
      </c>
      <c r="K2330">
        <v>4340.3500000000004</v>
      </c>
      <c r="L2330">
        <v>28935.66</v>
      </c>
      <c r="M2330">
        <v>24595.31</v>
      </c>
      <c r="N2330" t="s">
        <v>86</v>
      </c>
      <c r="O2330">
        <v>2024</v>
      </c>
    </row>
    <row r="2331" spans="1:15" x14ac:dyDescent="0.3">
      <c r="A2331" t="s">
        <v>2416</v>
      </c>
      <c r="B2331" t="s">
        <v>38</v>
      </c>
      <c r="C2331" t="s">
        <v>90</v>
      </c>
      <c r="D2331" t="s">
        <v>107</v>
      </c>
      <c r="E2331" t="s">
        <v>30</v>
      </c>
      <c r="F2331" s="1">
        <v>45720</v>
      </c>
      <c r="G2331">
        <v>6</v>
      </c>
      <c r="H2331">
        <v>12901.8</v>
      </c>
      <c r="I2331">
        <v>0</v>
      </c>
      <c r="J2331" t="s">
        <v>36</v>
      </c>
      <c r="K2331">
        <v>0</v>
      </c>
      <c r="L2331">
        <v>77410.8</v>
      </c>
      <c r="M2331">
        <v>77410.8</v>
      </c>
      <c r="N2331" t="s">
        <v>83</v>
      </c>
      <c r="O2331">
        <v>2025</v>
      </c>
    </row>
    <row r="2332" spans="1:15" x14ac:dyDescent="0.3">
      <c r="A2332" t="s">
        <v>2417</v>
      </c>
      <c r="B2332" t="s">
        <v>61</v>
      </c>
      <c r="C2332" t="s">
        <v>17</v>
      </c>
      <c r="D2332" t="s">
        <v>157</v>
      </c>
      <c r="E2332" t="s">
        <v>19</v>
      </c>
      <c r="F2332" s="1">
        <v>45526</v>
      </c>
      <c r="G2332">
        <v>1</v>
      </c>
      <c r="H2332">
        <v>6316.02</v>
      </c>
      <c r="I2332">
        <v>15</v>
      </c>
      <c r="J2332" t="s">
        <v>45</v>
      </c>
      <c r="K2332">
        <v>947.4</v>
      </c>
      <c r="L2332">
        <v>6316.02</v>
      </c>
      <c r="M2332">
        <v>5368.62</v>
      </c>
      <c r="N2332" t="s">
        <v>21</v>
      </c>
      <c r="O2332">
        <v>2024</v>
      </c>
    </row>
    <row r="2333" spans="1:15" x14ac:dyDescent="0.3">
      <c r="A2333" t="s">
        <v>2418</v>
      </c>
      <c r="B2333" t="s">
        <v>47</v>
      </c>
      <c r="C2333" t="s">
        <v>34</v>
      </c>
      <c r="D2333" t="s">
        <v>85</v>
      </c>
      <c r="E2333" t="s">
        <v>50</v>
      </c>
      <c r="F2333" s="1">
        <v>45593</v>
      </c>
      <c r="G2333">
        <v>3</v>
      </c>
      <c r="H2333">
        <v>15058.82</v>
      </c>
      <c r="I2333">
        <v>15</v>
      </c>
      <c r="J2333" t="s">
        <v>36</v>
      </c>
      <c r="K2333">
        <v>6776.47</v>
      </c>
      <c r="L2333">
        <v>45176.46</v>
      </c>
      <c r="M2333">
        <v>38399.99</v>
      </c>
      <c r="N2333" t="s">
        <v>57</v>
      </c>
      <c r="O2333">
        <v>2024</v>
      </c>
    </row>
    <row r="2334" spans="1:15" x14ac:dyDescent="0.3">
      <c r="A2334" t="s">
        <v>2419</v>
      </c>
      <c r="B2334" t="s">
        <v>16</v>
      </c>
      <c r="C2334" t="s">
        <v>90</v>
      </c>
      <c r="D2334" t="s">
        <v>152</v>
      </c>
      <c r="E2334" t="s">
        <v>30</v>
      </c>
      <c r="F2334" s="1">
        <v>45610</v>
      </c>
      <c r="G2334">
        <v>7</v>
      </c>
      <c r="H2334">
        <v>10269.43</v>
      </c>
      <c r="I2334">
        <v>10</v>
      </c>
      <c r="J2334" t="s">
        <v>71</v>
      </c>
      <c r="K2334">
        <v>7188.6</v>
      </c>
      <c r="L2334">
        <v>71886.009999999995</v>
      </c>
      <c r="M2334">
        <v>64697.41</v>
      </c>
      <c r="N2334" t="s">
        <v>96</v>
      </c>
      <c r="O2334">
        <v>2024</v>
      </c>
    </row>
    <row r="2335" spans="1:15" x14ac:dyDescent="0.3">
      <c r="A2335" t="s">
        <v>2420</v>
      </c>
      <c r="B2335" t="s">
        <v>23</v>
      </c>
      <c r="C2335" t="s">
        <v>54</v>
      </c>
      <c r="D2335" t="s">
        <v>70</v>
      </c>
      <c r="E2335" t="s">
        <v>25</v>
      </c>
      <c r="F2335" s="1">
        <v>45372</v>
      </c>
      <c r="G2335">
        <v>3</v>
      </c>
      <c r="H2335">
        <v>2425.58</v>
      </c>
      <c r="I2335">
        <v>0</v>
      </c>
      <c r="J2335" t="s">
        <v>82</v>
      </c>
      <c r="K2335">
        <v>0</v>
      </c>
      <c r="L2335">
        <v>7276.74</v>
      </c>
      <c r="M2335">
        <v>7276.74</v>
      </c>
      <c r="N2335" t="s">
        <v>83</v>
      </c>
      <c r="O2335">
        <v>2024</v>
      </c>
    </row>
    <row r="2336" spans="1:15" x14ac:dyDescent="0.3">
      <c r="A2336" t="s">
        <v>2421</v>
      </c>
      <c r="B2336" t="s">
        <v>114</v>
      </c>
      <c r="C2336" t="s">
        <v>17</v>
      </c>
      <c r="D2336" t="s">
        <v>39</v>
      </c>
      <c r="E2336" t="s">
        <v>44</v>
      </c>
      <c r="F2336" s="1">
        <v>45838</v>
      </c>
      <c r="G2336">
        <v>9</v>
      </c>
      <c r="H2336">
        <v>19077.38</v>
      </c>
      <c r="I2336">
        <v>0</v>
      </c>
      <c r="J2336" t="s">
        <v>40</v>
      </c>
      <c r="K2336">
        <v>0</v>
      </c>
      <c r="L2336">
        <v>171696.42</v>
      </c>
      <c r="M2336">
        <v>171696.42</v>
      </c>
      <c r="N2336" t="s">
        <v>72</v>
      </c>
      <c r="O2336">
        <v>2025</v>
      </c>
    </row>
    <row r="2337" spans="1:15" x14ac:dyDescent="0.3">
      <c r="A2337" t="s">
        <v>2422</v>
      </c>
      <c r="B2337" t="s">
        <v>109</v>
      </c>
      <c r="C2337" t="s">
        <v>17</v>
      </c>
      <c r="D2337" t="s">
        <v>24</v>
      </c>
      <c r="E2337" t="s">
        <v>25</v>
      </c>
      <c r="F2337" s="1">
        <v>45894</v>
      </c>
      <c r="G2337">
        <v>9</v>
      </c>
      <c r="H2337">
        <v>3436.48</v>
      </c>
      <c r="I2337">
        <v>15</v>
      </c>
      <c r="J2337" t="s">
        <v>71</v>
      </c>
      <c r="K2337">
        <v>4639.25</v>
      </c>
      <c r="L2337">
        <v>30928.32</v>
      </c>
      <c r="M2337">
        <v>26289.07</v>
      </c>
      <c r="N2337" t="s">
        <v>21</v>
      </c>
      <c r="O2337">
        <v>2025</v>
      </c>
    </row>
    <row r="2338" spans="1:15" x14ac:dyDescent="0.3">
      <c r="A2338" t="s">
        <v>2423</v>
      </c>
      <c r="B2338" t="s">
        <v>53</v>
      </c>
      <c r="C2338" t="s">
        <v>90</v>
      </c>
      <c r="D2338" t="s">
        <v>91</v>
      </c>
      <c r="E2338" t="s">
        <v>50</v>
      </c>
      <c r="F2338" s="1">
        <v>45469</v>
      </c>
      <c r="G2338">
        <v>10</v>
      </c>
      <c r="H2338">
        <v>1573.32</v>
      </c>
      <c r="I2338">
        <v>10</v>
      </c>
      <c r="J2338" t="s">
        <v>82</v>
      </c>
      <c r="K2338">
        <v>1573.32</v>
      </c>
      <c r="L2338">
        <v>15733.2</v>
      </c>
      <c r="M2338">
        <v>14159.88</v>
      </c>
      <c r="N2338" t="s">
        <v>72</v>
      </c>
      <c r="O2338">
        <v>2024</v>
      </c>
    </row>
    <row r="2339" spans="1:15" x14ac:dyDescent="0.3">
      <c r="A2339" t="s">
        <v>2424</v>
      </c>
      <c r="B2339" t="s">
        <v>114</v>
      </c>
      <c r="C2339" t="s">
        <v>90</v>
      </c>
      <c r="D2339" t="s">
        <v>105</v>
      </c>
      <c r="E2339" t="s">
        <v>44</v>
      </c>
      <c r="F2339" s="1">
        <v>45748</v>
      </c>
      <c r="G2339">
        <v>3</v>
      </c>
      <c r="H2339">
        <v>4019.94</v>
      </c>
      <c r="I2339">
        <v>15</v>
      </c>
      <c r="J2339" t="s">
        <v>40</v>
      </c>
      <c r="K2339">
        <v>1808.97</v>
      </c>
      <c r="L2339">
        <v>12059.82</v>
      </c>
      <c r="M2339">
        <v>10250.85</v>
      </c>
      <c r="N2339" t="s">
        <v>27</v>
      </c>
      <c r="O2339">
        <v>2025</v>
      </c>
    </row>
    <row r="2340" spans="1:15" x14ac:dyDescent="0.3">
      <c r="A2340" t="s">
        <v>2425</v>
      </c>
      <c r="B2340" t="s">
        <v>61</v>
      </c>
      <c r="C2340" t="s">
        <v>62</v>
      </c>
      <c r="D2340" t="s">
        <v>63</v>
      </c>
      <c r="E2340" t="s">
        <v>44</v>
      </c>
      <c r="F2340" s="1">
        <v>45369</v>
      </c>
      <c r="G2340">
        <v>3</v>
      </c>
      <c r="H2340">
        <v>1948.7</v>
      </c>
      <c r="I2340">
        <v>5</v>
      </c>
      <c r="J2340" t="s">
        <v>31</v>
      </c>
      <c r="K2340">
        <v>292.31</v>
      </c>
      <c r="L2340">
        <v>5846.1</v>
      </c>
      <c r="M2340">
        <v>5553.79</v>
      </c>
      <c r="N2340" t="s">
        <v>83</v>
      </c>
      <c r="O2340">
        <v>2024</v>
      </c>
    </row>
    <row r="2341" spans="1:15" x14ac:dyDescent="0.3">
      <c r="A2341" t="s">
        <v>2426</v>
      </c>
      <c r="B2341" t="s">
        <v>65</v>
      </c>
      <c r="C2341" t="s">
        <v>17</v>
      </c>
      <c r="D2341" t="s">
        <v>59</v>
      </c>
      <c r="E2341" t="s">
        <v>19</v>
      </c>
      <c r="F2341" s="1">
        <v>45782</v>
      </c>
      <c r="G2341">
        <v>6</v>
      </c>
      <c r="H2341">
        <v>23924.85</v>
      </c>
      <c r="I2341">
        <v>10</v>
      </c>
      <c r="J2341" t="s">
        <v>20</v>
      </c>
      <c r="K2341">
        <v>14354.91</v>
      </c>
      <c r="L2341">
        <v>143549.1</v>
      </c>
      <c r="M2341">
        <v>129194.19</v>
      </c>
      <c r="N2341" t="s">
        <v>101</v>
      </c>
      <c r="O2341">
        <v>2025</v>
      </c>
    </row>
    <row r="2342" spans="1:15" x14ac:dyDescent="0.3">
      <c r="A2342" t="s">
        <v>2427</v>
      </c>
      <c r="B2342" t="s">
        <v>38</v>
      </c>
      <c r="C2342" t="s">
        <v>54</v>
      </c>
      <c r="D2342" t="s">
        <v>68</v>
      </c>
      <c r="E2342" t="s">
        <v>44</v>
      </c>
      <c r="F2342" s="1">
        <v>45764</v>
      </c>
      <c r="G2342">
        <v>9</v>
      </c>
      <c r="H2342">
        <v>4444.1499999999996</v>
      </c>
      <c r="I2342">
        <v>5</v>
      </c>
      <c r="J2342" t="s">
        <v>26</v>
      </c>
      <c r="K2342">
        <v>1999.87</v>
      </c>
      <c r="L2342">
        <v>39997.35</v>
      </c>
      <c r="M2342">
        <v>37997.480000000003</v>
      </c>
      <c r="N2342" t="s">
        <v>27</v>
      </c>
      <c r="O2342">
        <v>2025</v>
      </c>
    </row>
    <row r="2343" spans="1:15" x14ac:dyDescent="0.3">
      <c r="A2343" t="s">
        <v>2428</v>
      </c>
      <c r="B2343" t="s">
        <v>65</v>
      </c>
      <c r="C2343" t="s">
        <v>62</v>
      </c>
      <c r="D2343" t="s">
        <v>119</v>
      </c>
      <c r="E2343" t="s">
        <v>50</v>
      </c>
      <c r="F2343" s="1">
        <v>45422</v>
      </c>
      <c r="G2343">
        <v>2</v>
      </c>
      <c r="H2343">
        <v>3737.78</v>
      </c>
      <c r="I2343">
        <v>5</v>
      </c>
      <c r="J2343" t="s">
        <v>40</v>
      </c>
      <c r="K2343">
        <v>373.78</v>
      </c>
      <c r="L2343">
        <v>7475.56</v>
      </c>
      <c r="M2343">
        <v>7101.78</v>
      </c>
      <c r="N2343" t="s">
        <v>101</v>
      </c>
      <c r="O2343">
        <v>2024</v>
      </c>
    </row>
    <row r="2344" spans="1:15" x14ac:dyDescent="0.3">
      <c r="A2344" t="s">
        <v>2429</v>
      </c>
      <c r="B2344" t="s">
        <v>114</v>
      </c>
      <c r="C2344" t="s">
        <v>54</v>
      </c>
      <c r="D2344" t="s">
        <v>137</v>
      </c>
      <c r="E2344" t="s">
        <v>19</v>
      </c>
      <c r="F2344" s="1">
        <v>45566</v>
      </c>
      <c r="G2344">
        <v>1</v>
      </c>
      <c r="H2344">
        <v>898.78</v>
      </c>
      <c r="I2344">
        <v>15</v>
      </c>
      <c r="J2344" t="s">
        <v>45</v>
      </c>
      <c r="K2344">
        <v>134.82</v>
      </c>
      <c r="L2344">
        <v>898.78</v>
      </c>
      <c r="M2344">
        <v>763.96</v>
      </c>
      <c r="N2344" t="s">
        <v>57</v>
      </c>
      <c r="O2344">
        <v>2024</v>
      </c>
    </row>
    <row r="2345" spans="1:15" x14ac:dyDescent="0.3">
      <c r="A2345" t="s">
        <v>2430</v>
      </c>
      <c r="B2345" t="s">
        <v>61</v>
      </c>
      <c r="C2345" t="s">
        <v>62</v>
      </c>
      <c r="D2345" t="s">
        <v>119</v>
      </c>
      <c r="E2345" t="s">
        <v>19</v>
      </c>
      <c r="F2345" s="1">
        <v>45959</v>
      </c>
      <c r="G2345">
        <v>8</v>
      </c>
      <c r="H2345">
        <v>3790.84</v>
      </c>
      <c r="I2345">
        <v>5</v>
      </c>
      <c r="J2345" t="s">
        <v>40</v>
      </c>
      <c r="K2345">
        <v>1516.34</v>
      </c>
      <c r="L2345">
        <v>30326.720000000001</v>
      </c>
      <c r="M2345">
        <v>28810.38</v>
      </c>
      <c r="N2345" t="s">
        <v>57</v>
      </c>
      <c r="O2345">
        <v>2025</v>
      </c>
    </row>
    <row r="2346" spans="1:15" x14ac:dyDescent="0.3">
      <c r="A2346" t="s">
        <v>2431</v>
      </c>
      <c r="B2346" t="s">
        <v>47</v>
      </c>
      <c r="C2346" t="s">
        <v>34</v>
      </c>
      <c r="D2346" t="s">
        <v>80</v>
      </c>
      <c r="E2346" t="s">
        <v>50</v>
      </c>
      <c r="F2346" s="1">
        <v>45449</v>
      </c>
      <c r="G2346">
        <v>8</v>
      </c>
      <c r="H2346">
        <v>5828.2</v>
      </c>
      <c r="I2346">
        <v>20</v>
      </c>
      <c r="J2346" t="s">
        <v>20</v>
      </c>
      <c r="K2346">
        <v>9325.1200000000008</v>
      </c>
      <c r="L2346">
        <v>46625.599999999999</v>
      </c>
      <c r="M2346">
        <v>37300.480000000003</v>
      </c>
      <c r="N2346" t="s">
        <v>72</v>
      </c>
      <c r="O2346">
        <v>2024</v>
      </c>
    </row>
    <row r="2347" spans="1:15" x14ac:dyDescent="0.3">
      <c r="A2347" t="s">
        <v>2432</v>
      </c>
      <c r="B2347" t="s">
        <v>61</v>
      </c>
      <c r="C2347" t="s">
        <v>54</v>
      </c>
      <c r="D2347" t="s">
        <v>68</v>
      </c>
      <c r="E2347" t="s">
        <v>81</v>
      </c>
      <c r="F2347" s="1">
        <v>45753</v>
      </c>
      <c r="G2347">
        <v>8</v>
      </c>
      <c r="H2347">
        <v>5063.82</v>
      </c>
      <c r="I2347">
        <v>15</v>
      </c>
      <c r="J2347" t="s">
        <v>82</v>
      </c>
      <c r="K2347">
        <v>6076.58</v>
      </c>
      <c r="L2347">
        <v>40510.559999999998</v>
      </c>
      <c r="M2347">
        <v>34433.980000000003</v>
      </c>
      <c r="N2347" t="s">
        <v>27</v>
      </c>
      <c r="O2347">
        <v>2025</v>
      </c>
    </row>
    <row r="2348" spans="1:15" x14ac:dyDescent="0.3">
      <c r="A2348" t="s">
        <v>2433</v>
      </c>
      <c r="B2348" t="s">
        <v>61</v>
      </c>
      <c r="C2348" t="s">
        <v>34</v>
      </c>
      <c r="D2348" t="s">
        <v>85</v>
      </c>
      <c r="E2348" t="s">
        <v>19</v>
      </c>
      <c r="F2348" s="1">
        <v>45793</v>
      </c>
      <c r="G2348">
        <v>3</v>
      </c>
      <c r="H2348">
        <v>10892.12</v>
      </c>
      <c r="I2348">
        <v>20</v>
      </c>
      <c r="J2348" t="s">
        <v>36</v>
      </c>
      <c r="K2348">
        <v>6535.27</v>
      </c>
      <c r="L2348">
        <v>32676.36</v>
      </c>
      <c r="M2348">
        <v>26141.09</v>
      </c>
      <c r="N2348" t="s">
        <v>101</v>
      </c>
      <c r="O2348">
        <v>2025</v>
      </c>
    </row>
    <row r="2349" spans="1:15" x14ac:dyDescent="0.3">
      <c r="A2349" t="s">
        <v>2434</v>
      </c>
      <c r="B2349" t="s">
        <v>61</v>
      </c>
      <c r="C2349" t="s">
        <v>54</v>
      </c>
      <c r="D2349" t="s">
        <v>68</v>
      </c>
      <c r="E2349" t="s">
        <v>50</v>
      </c>
      <c r="F2349" s="1">
        <v>45778</v>
      </c>
      <c r="G2349">
        <v>6</v>
      </c>
      <c r="H2349">
        <v>4853.49</v>
      </c>
      <c r="I2349">
        <v>20</v>
      </c>
      <c r="J2349" t="s">
        <v>82</v>
      </c>
      <c r="K2349">
        <v>5824.19</v>
      </c>
      <c r="L2349">
        <v>29120.94</v>
      </c>
      <c r="M2349">
        <v>23296.75</v>
      </c>
      <c r="N2349" t="s">
        <v>101</v>
      </c>
      <c r="O2349">
        <v>2025</v>
      </c>
    </row>
    <row r="2350" spans="1:15" x14ac:dyDescent="0.3">
      <c r="A2350" t="s">
        <v>2435</v>
      </c>
      <c r="B2350" t="s">
        <v>93</v>
      </c>
      <c r="C2350" t="s">
        <v>17</v>
      </c>
      <c r="D2350" t="s">
        <v>18</v>
      </c>
      <c r="E2350" t="s">
        <v>44</v>
      </c>
      <c r="F2350" s="1">
        <v>45544</v>
      </c>
      <c r="G2350">
        <v>1</v>
      </c>
      <c r="H2350">
        <v>62642.61</v>
      </c>
      <c r="I2350">
        <v>5</v>
      </c>
      <c r="J2350" t="s">
        <v>31</v>
      </c>
      <c r="K2350">
        <v>3132.13</v>
      </c>
      <c r="L2350">
        <v>62642.61</v>
      </c>
      <c r="M2350">
        <v>59510.48</v>
      </c>
      <c r="N2350" t="s">
        <v>86</v>
      </c>
      <c r="O2350">
        <v>2024</v>
      </c>
    </row>
    <row r="2351" spans="1:15" x14ac:dyDescent="0.3">
      <c r="A2351" t="s">
        <v>2436</v>
      </c>
      <c r="B2351" t="s">
        <v>93</v>
      </c>
      <c r="C2351" t="s">
        <v>17</v>
      </c>
      <c r="D2351" t="s">
        <v>157</v>
      </c>
      <c r="E2351" t="s">
        <v>44</v>
      </c>
      <c r="F2351" s="1">
        <v>45624</v>
      </c>
      <c r="G2351">
        <v>9</v>
      </c>
      <c r="H2351">
        <v>7898.35</v>
      </c>
      <c r="I2351">
        <v>5</v>
      </c>
      <c r="J2351" t="s">
        <v>20</v>
      </c>
      <c r="K2351">
        <v>3554.26</v>
      </c>
      <c r="L2351">
        <v>71085.149999999994</v>
      </c>
      <c r="M2351">
        <v>67530.89</v>
      </c>
      <c r="N2351" t="s">
        <v>96</v>
      </c>
      <c r="O2351">
        <v>2024</v>
      </c>
    </row>
    <row r="2352" spans="1:15" x14ac:dyDescent="0.3">
      <c r="A2352" t="s">
        <v>2437</v>
      </c>
      <c r="B2352" t="s">
        <v>114</v>
      </c>
      <c r="C2352" t="s">
        <v>62</v>
      </c>
      <c r="D2352" t="s">
        <v>132</v>
      </c>
      <c r="E2352" t="s">
        <v>50</v>
      </c>
      <c r="F2352" s="1">
        <v>45527</v>
      </c>
      <c r="G2352">
        <v>5</v>
      </c>
      <c r="H2352">
        <v>2257.38</v>
      </c>
      <c r="I2352">
        <v>0</v>
      </c>
      <c r="J2352" t="s">
        <v>45</v>
      </c>
      <c r="K2352">
        <v>0</v>
      </c>
      <c r="L2352">
        <v>11286.9</v>
      </c>
      <c r="M2352">
        <v>11286.9</v>
      </c>
      <c r="N2352" t="s">
        <v>21</v>
      </c>
      <c r="O2352">
        <v>2024</v>
      </c>
    </row>
    <row r="2353" spans="1:15" x14ac:dyDescent="0.3">
      <c r="A2353" t="s">
        <v>2438</v>
      </c>
      <c r="B2353" t="s">
        <v>16</v>
      </c>
      <c r="C2353" t="s">
        <v>54</v>
      </c>
      <c r="D2353" t="s">
        <v>70</v>
      </c>
      <c r="E2353" t="s">
        <v>44</v>
      </c>
      <c r="F2353" s="1">
        <v>45743</v>
      </c>
      <c r="G2353">
        <v>8</v>
      </c>
      <c r="H2353">
        <v>2565.7199999999998</v>
      </c>
      <c r="I2353">
        <v>20</v>
      </c>
      <c r="J2353" t="s">
        <v>31</v>
      </c>
      <c r="K2353">
        <v>4105.1499999999996</v>
      </c>
      <c r="L2353">
        <v>20525.759999999998</v>
      </c>
      <c r="M2353">
        <v>16420.61</v>
      </c>
      <c r="N2353" t="s">
        <v>83</v>
      </c>
      <c r="O2353">
        <v>2025</v>
      </c>
    </row>
    <row r="2354" spans="1:15" x14ac:dyDescent="0.3">
      <c r="A2354" t="s">
        <v>2439</v>
      </c>
      <c r="B2354" t="s">
        <v>33</v>
      </c>
      <c r="C2354" t="s">
        <v>17</v>
      </c>
      <c r="D2354" t="s">
        <v>157</v>
      </c>
      <c r="E2354" t="s">
        <v>50</v>
      </c>
      <c r="F2354" s="1">
        <v>45552</v>
      </c>
      <c r="G2354">
        <v>5</v>
      </c>
      <c r="H2354">
        <v>7904.38</v>
      </c>
      <c r="I2354">
        <v>10</v>
      </c>
      <c r="J2354" t="s">
        <v>40</v>
      </c>
      <c r="K2354">
        <v>3952.19</v>
      </c>
      <c r="L2354">
        <v>39521.9</v>
      </c>
      <c r="M2354">
        <v>35569.71</v>
      </c>
      <c r="N2354" t="s">
        <v>86</v>
      </c>
      <c r="O2354">
        <v>2024</v>
      </c>
    </row>
    <row r="2355" spans="1:15" x14ac:dyDescent="0.3">
      <c r="A2355" t="s">
        <v>2440</v>
      </c>
      <c r="B2355" t="s">
        <v>23</v>
      </c>
      <c r="C2355" t="s">
        <v>62</v>
      </c>
      <c r="D2355" t="s">
        <v>119</v>
      </c>
      <c r="E2355" t="s">
        <v>25</v>
      </c>
      <c r="F2355" s="1">
        <v>45839</v>
      </c>
      <c r="G2355">
        <v>6</v>
      </c>
      <c r="H2355">
        <v>3752.38</v>
      </c>
      <c r="I2355">
        <v>15</v>
      </c>
      <c r="J2355" t="s">
        <v>20</v>
      </c>
      <c r="K2355">
        <v>3377.14</v>
      </c>
      <c r="L2355">
        <v>22514.28</v>
      </c>
      <c r="M2355">
        <v>19137.14</v>
      </c>
      <c r="N2355" t="s">
        <v>122</v>
      </c>
      <c r="O2355">
        <v>2025</v>
      </c>
    </row>
    <row r="2356" spans="1:15" x14ac:dyDescent="0.3">
      <c r="A2356" t="s">
        <v>2441</v>
      </c>
      <c r="B2356" t="s">
        <v>29</v>
      </c>
      <c r="C2356" t="s">
        <v>54</v>
      </c>
      <c r="D2356" t="s">
        <v>77</v>
      </c>
      <c r="E2356" t="s">
        <v>56</v>
      </c>
      <c r="F2356" s="1">
        <v>45307</v>
      </c>
      <c r="G2356">
        <v>6</v>
      </c>
      <c r="H2356">
        <v>4801.1499999999996</v>
      </c>
      <c r="I2356">
        <v>20</v>
      </c>
      <c r="J2356" t="s">
        <v>82</v>
      </c>
      <c r="K2356">
        <v>5761.38</v>
      </c>
      <c r="L2356">
        <v>28806.9</v>
      </c>
      <c r="M2356">
        <v>23045.52</v>
      </c>
      <c r="N2356" t="s">
        <v>116</v>
      </c>
      <c r="O2356">
        <v>2024</v>
      </c>
    </row>
    <row r="2357" spans="1:15" x14ac:dyDescent="0.3">
      <c r="A2357" t="s">
        <v>2442</v>
      </c>
      <c r="B2357" t="s">
        <v>65</v>
      </c>
      <c r="C2357" t="s">
        <v>17</v>
      </c>
      <c r="D2357" t="s">
        <v>59</v>
      </c>
      <c r="E2357" t="s">
        <v>56</v>
      </c>
      <c r="F2357" s="1">
        <v>45843</v>
      </c>
      <c r="G2357">
        <v>7</v>
      </c>
      <c r="H2357">
        <v>27524.41</v>
      </c>
      <c r="I2357">
        <v>20</v>
      </c>
      <c r="J2357" t="s">
        <v>40</v>
      </c>
      <c r="K2357">
        <v>38534.17</v>
      </c>
      <c r="L2357">
        <v>192670.87</v>
      </c>
      <c r="M2357">
        <v>154136.70000000001</v>
      </c>
      <c r="N2357" t="s">
        <v>122</v>
      </c>
      <c r="O2357">
        <v>2025</v>
      </c>
    </row>
    <row r="2358" spans="1:15" x14ac:dyDescent="0.3">
      <c r="A2358" t="s">
        <v>2443</v>
      </c>
      <c r="B2358" t="s">
        <v>93</v>
      </c>
      <c r="C2358" t="s">
        <v>54</v>
      </c>
      <c r="D2358" t="s">
        <v>68</v>
      </c>
      <c r="E2358" t="s">
        <v>81</v>
      </c>
      <c r="F2358" s="1">
        <v>45999</v>
      </c>
      <c r="G2358">
        <v>10</v>
      </c>
      <c r="H2358">
        <v>4530.3900000000003</v>
      </c>
      <c r="I2358">
        <v>10</v>
      </c>
      <c r="J2358" t="s">
        <v>36</v>
      </c>
      <c r="K2358">
        <v>4530.3900000000003</v>
      </c>
      <c r="L2358">
        <v>45303.9</v>
      </c>
      <c r="M2358">
        <v>40773.51</v>
      </c>
      <c r="N2358" t="s">
        <v>51</v>
      </c>
      <c r="O2358">
        <v>2025</v>
      </c>
    </row>
    <row r="2359" spans="1:15" x14ac:dyDescent="0.3">
      <c r="A2359" t="s">
        <v>2444</v>
      </c>
      <c r="B2359" t="s">
        <v>16</v>
      </c>
      <c r="C2359" t="s">
        <v>90</v>
      </c>
      <c r="D2359" t="s">
        <v>91</v>
      </c>
      <c r="E2359" t="s">
        <v>50</v>
      </c>
      <c r="F2359" s="1">
        <v>45399</v>
      </c>
      <c r="G2359">
        <v>5</v>
      </c>
      <c r="H2359">
        <v>1664.9</v>
      </c>
      <c r="I2359">
        <v>5</v>
      </c>
      <c r="J2359" t="s">
        <v>71</v>
      </c>
      <c r="K2359">
        <v>416.23</v>
      </c>
      <c r="L2359">
        <v>8324.5</v>
      </c>
      <c r="M2359">
        <v>7908.27</v>
      </c>
      <c r="N2359" t="s">
        <v>27</v>
      </c>
      <c r="O2359">
        <v>2024</v>
      </c>
    </row>
    <row r="2360" spans="1:15" x14ac:dyDescent="0.3">
      <c r="A2360" t="s">
        <v>2445</v>
      </c>
      <c r="B2360" t="s">
        <v>29</v>
      </c>
      <c r="C2360" t="s">
        <v>62</v>
      </c>
      <c r="D2360" t="s">
        <v>99</v>
      </c>
      <c r="E2360" t="s">
        <v>25</v>
      </c>
      <c r="F2360" s="1">
        <v>45904</v>
      </c>
      <c r="G2360">
        <v>9</v>
      </c>
      <c r="H2360">
        <v>1630.39</v>
      </c>
      <c r="I2360">
        <v>15</v>
      </c>
      <c r="J2360" t="s">
        <v>82</v>
      </c>
      <c r="K2360">
        <v>2201.0300000000002</v>
      </c>
      <c r="L2360">
        <v>14673.51</v>
      </c>
      <c r="M2360">
        <v>12472.48</v>
      </c>
      <c r="N2360" t="s">
        <v>86</v>
      </c>
      <c r="O2360">
        <v>2025</v>
      </c>
    </row>
    <row r="2361" spans="1:15" x14ac:dyDescent="0.3">
      <c r="A2361" t="s">
        <v>2446</v>
      </c>
      <c r="B2361" t="s">
        <v>43</v>
      </c>
      <c r="C2361" t="s">
        <v>62</v>
      </c>
      <c r="D2361" t="s">
        <v>63</v>
      </c>
      <c r="E2361" t="s">
        <v>50</v>
      </c>
      <c r="F2361" s="1">
        <v>45862</v>
      </c>
      <c r="G2361">
        <v>4</v>
      </c>
      <c r="H2361">
        <v>1886.58</v>
      </c>
      <c r="I2361">
        <v>5</v>
      </c>
      <c r="J2361" t="s">
        <v>20</v>
      </c>
      <c r="K2361">
        <v>377.32</v>
      </c>
      <c r="L2361">
        <v>7546.32</v>
      </c>
      <c r="M2361">
        <v>7169</v>
      </c>
      <c r="N2361" t="s">
        <v>122</v>
      </c>
      <c r="O2361">
        <v>2025</v>
      </c>
    </row>
    <row r="2362" spans="1:15" x14ac:dyDescent="0.3">
      <c r="A2362" t="s">
        <v>2447</v>
      </c>
      <c r="B2362" t="s">
        <v>29</v>
      </c>
      <c r="C2362" t="s">
        <v>54</v>
      </c>
      <c r="D2362" t="s">
        <v>55</v>
      </c>
      <c r="E2362" t="s">
        <v>81</v>
      </c>
      <c r="F2362" s="1">
        <v>45446</v>
      </c>
      <c r="G2362">
        <v>2</v>
      </c>
      <c r="H2362">
        <v>1375.6</v>
      </c>
      <c r="I2362">
        <v>20</v>
      </c>
      <c r="J2362" t="s">
        <v>82</v>
      </c>
      <c r="K2362">
        <v>550.24</v>
      </c>
      <c r="L2362">
        <v>2751.2</v>
      </c>
      <c r="M2362">
        <v>2200.96</v>
      </c>
      <c r="N2362" t="s">
        <v>72</v>
      </c>
      <c r="O2362">
        <v>2024</v>
      </c>
    </row>
    <row r="2363" spans="1:15" x14ac:dyDescent="0.3">
      <c r="A2363" t="s">
        <v>2448</v>
      </c>
      <c r="B2363" t="s">
        <v>23</v>
      </c>
      <c r="C2363" t="s">
        <v>90</v>
      </c>
      <c r="D2363" t="s">
        <v>105</v>
      </c>
      <c r="E2363" t="s">
        <v>44</v>
      </c>
      <c r="F2363" s="1">
        <v>45872</v>
      </c>
      <c r="G2363">
        <v>4</v>
      </c>
      <c r="H2363">
        <v>4010.48</v>
      </c>
      <c r="I2363">
        <v>20</v>
      </c>
      <c r="J2363" t="s">
        <v>36</v>
      </c>
      <c r="K2363">
        <v>3208.38</v>
      </c>
      <c r="L2363">
        <v>16041.92</v>
      </c>
      <c r="M2363">
        <v>12833.54</v>
      </c>
      <c r="N2363" t="s">
        <v>21</v>
      </c>
      <c r="O2363">
        <v>2025</v>
      </c>
    </row>
    <row r="2364" spans="1:15" x14ac:dyDescent="0.3">
      <c r="A2364" t="s">
        <v>2449</v>
      </c>
      <c r="B2364" t="s">
        <v>16</v>
      </c>
      <c r="C2364" t="s">
        <v>54</v>
      </c>
      <c r="D2364" t="s">
        <v>70</v>
      </c>
      <c r="E2364" t="s">
        <v>81</v>
      </c>
      <c r="F2364" s="1">
        <v>45463</v>
      </c>
      <c r="G2364">
        <v>3</v>
      </c>
      <c r="H2364">
        <v>2325.6999999999998</v>
      </c>
      <c r="I2364">
        <v>0</v>
      </c>
      <c r="J2364" t="s">
        <v>20</v>
      </c>
      <c r="K2364">
        <v>0</v>
      </c>
      <c r="L2364">
        <v>6977.1</v>
      </c>
      <c r="M2364">
        <v>6977.1</v>
      </c>
      <c r="N2364" t="s">
        <v>72</v>
      </c>
      <c r="O2364">
        <v>2024</v>
      </c>
    </row>
    <row r="2365" spans="1:15" x14ac:dyDescent="0.3">
      <c r="A2365" t="s">
        <v>2450</v>
      </c>
      <c r="B2365" t="s">
        <v>29</v>
      </c>
      <c r="C2365" t="s">
        <v>17</v>
      </c>
      <c r="D2365" t="s">
        <v>59</v>
      </c>
      <c r="E2365" t="s">
        <v>50</v>
      </c>
      <c r="F2365" s="1">
        <v>45308</v>
      </c>
      <c r="G2365">
        <v>2</v>
      </c>
      <c r="H2365">
        <v>26822.91</v>
      </c>
      <c r="I2365">
        <v>15</v>
      </c>
      <c r="J2365" t="s">
        <v>26</v>
      </c>
      <c r="K2365">
        <v>8046.87</v>
      </c>
      <c r="L2365">
        <v>53645.82</v>
      </c>
      <c r="M2365">
        <v>45598.95</v>
      </c>
      <c r="N2365" t="s">
        <v>116</v>
      </c>
      <c r="O2365">
        <v>2024</v>
      </c>
    </row>
    <row r="2366" spans="1:15" x14ac:dyDescent="0.3">
      <c r="A2366" t="s">
        <v>2451</v>
      </c>
      <c r="B2366" t="s">
        <v>23</v>
      </c>
      <c r="C2366" t="s">
        <v>90</v>
      </c>
      <c r="D2366" t="s">
        <v>152</v>
      </c>
      <c r="E2366" t="s">
        <v>25</v>
      </c>
      <c r="F2366" s="1">
        <v>45322</v>
      </c>
      <c r="G2366">
        <v>9</v>
      </c>
      <c r="H2366">
        <v>11103.19</v>
      </c>
      <c r="I2366">
        <v>20</v>
      </c>
      <c r="J2366" t="s">
        <v>26</v>
      </c>
      <c r="K2366">
        <v>19985.740000000002</v>
      </c>
      <c r="L2366">
        <v>99928.71</v>
      </c>
      <c r="M2366">
        <v>79942.97</v>
      </c>
      <c r="N2366" t="s">
        <v>116</v>
      </c>
      <c r="O2366">
        <v>2024</v>
      </c>
    </row>
    <row r="2367" spans="1:15" x14ac:dyDescent="0.3">
      <c r="A2367" t="s">
        <v>2452</v>
      </c>
      <c r="B2367" t="s">
        <v>16</v>
      </c>
      <c r="C2367" t="s">
        <v>54</v>
      </c>
      <c r="D2367" t="s">
        <v>68</v>
      </c>
      <c r="E2367" t="s">
        <v>56</v>
      </c>
      <c r="F2367" s="1">
        <v>45303</v>
      </c>
      <c r="G2367">
        <v>9</v>
      </c>
      <c r="H2367">
        <v>4144.0600000000004</v>
      </c>
      <c r="I2367">
        <v>10</v>
      </c>
      <c r="J2367" t="s">
        <v>82</v>
      </c>
      <c r="K2367">
        <v>3729.65</v>
      </c>
      <c r="L2367">
        <v>37296.54</v>
      </c>
      <c r="M2367">
        <v>33566.89</v>
      </c>
      <c r="N2367" t="s">
        <v>116</v>
      </c>
      <c r="O2367">
        <v>2024</v>
      </c>
    </row>
    <row r="2368" spans="1:15" x14ac:dyDescent="0.3">
      <c r="A2368" t="s">
        <v>2453</v>
      </c>
      <c r="B2368" t="s">
        <v>23</v>
      </c>
      <c r="C2368" t="s">
        <v>34</v>
      </c>
      <c r="D2368" t="s">
        <v>48</v>
      </c>
      <c r="E2368" t="s">
        <v>44</v>
      </c>
      <c r="F2368" s="1">
        <v>45587</v>
      </c>
      <c r="G2368">
        <v>1</v>
      </c>
      <c r="H2368">
        <v>9937.99</v>
      </c>
      <c r="I2368">
        <v>5</v>
      </c>
      <c r="J2368" t="s">
        <v>82</v>
      </c>
      <c r="K2368">
        <v>496.9</v>
      </c>
      <c r="L2368">
        <v>9937.99</v>
      </c>
      <c r="M2368">
        <v>9441.09</v>
      </c>
      <c r="N2368" t="s">
        <v>57</v>
      </c>
      <c r="O2368">
        <v>2024</v>
      </c>
    </row>
    <row r="2369" spans="1:15" x14ac:dyDescent="0.3">
      <c r="A2369" t="s">
        <v>2454</v>
      </c>
      <c r="B2369" t="s">
        <v>114</v>
      </c>
      <c r="C2369" t="s">
        <v>54</v>
      </c>
      <c r="D2369" t="s">
        <v>137</v>
      </c>
      <c r="E2369" t="s">
        <v>19</v>
      </c>
      <c r="F2369" s="1">
        <v>45948</v>
      </c>
      <c r="G2369">
        <v>2</v>
      </c>
      <c r="H2369">
        <v>1036.93</v>
      </c>
      <c r="I2369">
        <v>0</v>
      </c>
      <c r="J2369" t="s">
        <v>20</v>
      </c>
      <c r="K2369">
        <v>0</v>
      </c>
      <c r="L2369">
        <v>2073.86</v>
      </c>
      <c r="M2369">
        <v>2073.86</v>
      </c>
      <c r="N2369" t="s">
        <v>57</v>
      </c>
      <c r="O2369">
        <v>2025</v>
      </c>
    </row>
    <row r="2370" spans="1:15" x14ac:dyDescent="0.3">
      <c r="A2370" t="s">
        <v>2455</v>
      </c>
      <c r="B2370" t="s">
        <v>23</v>
      </c>
      <c r="C2370" t="s">
        <v>90</v>
      </c>
      <c r="D2370" t="s">
        <v>115</v>
      </c>
      <c r="E2370" t="s">
        <v>44</v>
      </c>
      <c r="F2370" s="1">
        <v>45491</v>
      </c>
      <c r="G2370">
        <v>6</v>
      </c>
      <c r="H2370">
        <v>7818.66</v>
      </c>
      <c r="I2370">
        <v>20</v>
      </c>
      <c r="J2370" t="s">
        <v>36</v>
      </c>
      <c r="K2370">
        <v>9382.39</v>
      </c>
      <c r="L2370">
        <v>46911.96</v>
      </c>
      <c r="M2370">
        <v>37529.57</v>
      </c>
      <c r="N2370" t="s">
        <v>122</v>
      </c>
      <c r="O2370">
        <v>2024</v>
      </c>
    </row>
    <row r="2371" spans="1:15" x14ac:dyDescent="0.3">
      <c r="A2371" t="s">
        <v>2456</v>
      </c>
      <c r="B2371" t="s">
        <v>109</v>
      </c>
      <c r="C2371" t="s">
        <v>62</v>
      </c>
      <c r="D2371" t="s">
        <v>95</v>
      </c>
      <c r="E2371" t="s">
        <v>25</v>
      </c>
      <c r="F2371" s="1">
        <v>45309</v>
      </c>
      <c r="G2371">
        <v>8</v>
      </c>
      <c r="H2371">
        <v>887.06</v>
      </c>
      <c r="I2371">
        <v>15</v>
      </c>
      <c r="J2371" t="s">
        <v>20</v>
      </c>
      <c r="K2371">
        <v>1064.47</v>
      </c>
      <c r="L2371">
        <v>7096.48</v>
      </c>
      <c r="M2371">
        <v>6032.01</v>
      </c>
      <c r="N2371" t="s">
        <v>116</v>
      </c>
      <c r="O2371">
        <v>2024</v>
      </c>
    </row>
    <row r="2372" spans="1:15" x14ac:dyDescent="0.3">
      <c r="A2372" t="s">
        <v>2457</v>
      </c>
      <c r="B2372" t="s">
        <v>33</v>
      </c>
      <c r="C2372" t="s">
        <v>34</v>
      </c>
      <c r="D2372" t="s">
        <v>80</v>
      </c>
      <c r="E2372" t="s">
        <v>44</v>
      </c>
      <c r="F2372" s="1">
        <v>45629</v>
      </c>
      <c r="G2372">
        <v>10</v>
      </c>
      <c r="H2372">
        <v>6565.66</v>
      </c>
      <c r="I2372">
        <v>0</v>
      </c>
      <c r="J2372" t="s">
        <v>40</v>
      </c>
      <c r="K2372">
        <v>0</v>
      </c>
      <c r="L2372">
        <v>65656.600000000006</v>
      </c>
      <c r="M2372">
        <v>65656.600000000006</v>
      </c>
      <c r="N2372" t="s">
        <v>51</v>
      </c>
      <c r="O2372">
        <v>2024</v>
      </c>
    </row>
    <row r="2373" spans="1:15" x14ac:dyDescent="0.3">
      <c r="A2373" t="s">
        <v>2458</v>
      </c>
      <c r="B2373" t="s">
        <v>114</v>
      </c>
      <c r="C2373" t="s">
        <v>62</v>
      </c>
      <c r="D2373" t="s">
        <v>95</v>
      </c>
      <c r="E2373" t="s">
        <v>30</v>
      </c>
      <c r="F2373" s="1">
        <v>45738</v>
      </c>
      <c r="G2373">
        <v>7</v>
      </c>
      <c r="H2373">
        <v>914.49</v>
      </c>
      <c r="I2373">
        <v>15</v>
      </c>
      <c r="J2373" t="s">
        <v>26</v>
      </c>
      <c r="K2373">
        <v>960.21</v>
      </c>
      <c r="L2373">
        <v>6401.43</v>
      </c>
      <c r="M2373">
        <v>5441.22</v>
      </c>
      <c r="N2373" t="s">
        <v>83</v>
      </c>
      <c r="O2373">
        <v>2025</v>
      </c>
    </row>
    <row r="2374" spans="1:15" x14ac:dyDescent="0.3">
      <c r="A2374" t="s">
        <v>2459</v>
      </c>
      <c r="B2374" t="s">
        <v>47</v>
      </c>
      <c r="C2374" t="s">
        <v>90</v>
      </c>
      <c r="D2374" t="s">
        <v>115</v>
      </c>
      <c r="E2374" t="s">
        <v>25</v>
      </c>
      <c r="F2374" s="1">
        <v>45954</v>
      </c>
      <c r="G2374">
        <v>7</v>
      </c>
      <c r="H2374">
        <v>9935.51</v>
      </c>
      <c r="I2374">
        <v>10</v>
      </c>
      <c r="J2374" t="s">
        <v>26</v>
      </c>
      <c r="K2374">
        <v>6954.86</v>
      </c>
      <c r="L2374">
        <v>69548.570000000007</v>
      </c>
      <c r="M2374">
        <v>62593.71</v>
      </c>
      <c r="N2374" t="s">
        <v>57</v>
      </c>
      <c r="O2374">
        <v>2025</v>
      </c>
    </row>
    <row r="2375" spans="1:15" x14ac:dyDescent="0.3">
      <c r="A2375" t="s">
        <v>2460</v>
      </c>
      <c r="B2375" t="s">
        <v>16</v>
      </c>
      <c r="C2375" t="s">
        <v>17</v>
      </c>
      <c r="D2375" t="s">
        <v>18</v>
      </c>
      <c r="E2375" t="s">
        <v>44</v>
      </c>
      <c r="F2375" s="1">
        <v>45580</v>
      </c>
      <c r="G2375">
        <v>1</v>
      </c>
      <c r="H2375">
        <v>78788.759999999995</v>
      </c>
      <c r="I2375">
        <v>20</v>
      </c>
      <c r="J2375" t="s">
        <v>20</v>
      </c>
      <c r="K2375">
        <v>15757.75</v>
      </c>
      <c r="L2375">
        <v>78788.759999999995</v>
      </c>
      <c r="M2375">
        <v>63031.01</v>
      </c>
      <c r="N2375" t="s">
        <v>57</v>
      </c>
      <c r="O2375">
        <v>2024</v>
      </c>
    </row>
    <row r="2376" spans="1:15" x14ac:dyDescent="0.3">
      <c r="A2376" t="s">
        <v>2461</v>
      </c>
      <c r="B2376" t="s">
        <v>23</v>
      </c>
      <c r="C2376" t="s">
        <v>62</v>
      </c>
      <c r="D2376" t="s">
        <v>95</v>
      </c>
      <c r="E2376" t="s">
        <v>81</v>
      </c>
      <c r="F2376" s="1">
        <v>45925</v>
      </c>
      <c r="G2376">
        <v>8</v>
      </c>
      <c r="H2376">
        <v>728.39</v>
      </c>
      <c r="I2376">
        <v>20</v>
      </c>
      <c r="J2376" t="s">
        <v>40</v>
      </c>
      <c r="K2376">
        <v>1165.42</v>
      </c>
      <c r="L2376">
        <v>5827.12</v>
      </c>
      <c r="M2376">
        <v>4661.7</v>
      </c>
      <c r="N2376" t="s">
        <v>86</v>
      </c>
      <c r="O2376">
        <v>2025</v>
      </c>
    </row>
    <row r="2377" spans="1:15" x14ac:dyDescent="0.3">
      <c r="A2377" t="s">
        <v>2462</v>
      </c>
      <c r="B2377" t="s">
        <v>74</v>
      </c>
      <c r="C2377" t="s">
        <v>17</v>
      </c>
      <c r="D2377" t="s">
        <v>39</v>
      </c>
      <c r="E2377" t="s">
        <v>81</v>
      </c>
      <c r="F2377" s="1">
        <v>45732</v>
      </c>
      <c r="G2377">
        <v>7</v>
      </c>
      <c r="H2377">
        <v>18667.060000000001</v>
      </c>
      <c r="I2377">
        <v>10</v>
      </c>
      <c r="J2377" t="s">
        <v>20</v>
      </c>
      <c r="K2377">
        <v>13066.94</v>
      </c>
      <c r="L2377">
        <v>130669.42</v>
      </c>
      <c r="M2377">
        <v>117602.48</v>
      </c>
      <c r="N2377" t="s">
        <v>83</v>
      </c>
      <c r="O2377">
        <v>2025</v>
      </c>
    </row>
    <row r="2378" spans="1:15" x14ac:dyDescent="0.3">
      <c r="A2378" t="s">
        <v>2463</v>
      </c>
      <c r="B2378" t="s">
        <v>23</v>
      </c>
      <c r="C2378" t="s">
        <v>54</v>
      </c>
      <c r="D2378" t="s">
        <v>55</v>
      </c>
      <c r="E2378" t="s">
        <v>81</v>
      </c>
      <c r="F2378" s="1">
        <v>45455</v>
      </c>
      <c r="G2378">
        <v>7</v>
      </c>
      <c r="H2378">
        <v>1262.08</v>
      </c>
      <c r="I2378">
        <v>0</v>
      </c>
      <c r="J2378" t="s">
        <v>31</v>
      </c>
      <c r="K2378">
        <v>0</v>
      </c>
      <c r="L2378">
        <v>8834.56</v>
      </c>
      <c r="M2378">
        <v>8834.56</v>
      </c>
      <c r="N2378" t="s">
        <v>72</v>
      </c>
      <c r="O2378">
        <v>2024</v>
      </c>
    </row>
    <row r="2379" spans="1:15" x14ac:dyDescent="0.3">
      <c r="A2379" t="s">
        <v>2464</v>
      </c>
      <c r="B2379" t="s">
        <v>65</v>
      </c>
      <c r="C2379" t="s">
        <v>54</v>
      </c>
      <c r="D2379" t="s">
        <v>55</v>
      </c>
      <c r="E2379" t="s">
        <v>56</v>
      </c>
      <c r="F2379" s="1">
        <v>45775</v>
      </c>
      <c r="G2379">
        <v>9</v>
      </c>
      <c r="H2379">
        <v>1378.5</v>
      </c>
      <c r="I2379">
        <v>15</v>
      </c>
      <c r="J2379" t="s">
        <v>82</v>
      </c>
      <c r="K2379">
        <v>1860.97</v>
      </c>
      <c r="L2379">
        <v>12406.5</v>
      </c>
      <c r="M2379">
        <v>10545.53</v>
      </c>
      <c r="N2379" t="s">
        <v>27</v>
      </c>
      <c r="O2379">
        <v>2025</v>
      </c>
    </row>
    <row r="2380" spans="1:15" x14ac:dyDescent="0.3">
      <c r="A2380" t="s">
        <v>2465</v>
      </c>
      <c r="B2380" t="s">
        <v>33</v>
      </c>
      <c r="C2380" t="s">
        <v>54</v>
      </c>
      <c r="D2380" t="s">
        <v>70</v>
      </c>
      <c r="E2380" t="s">
        <v>25</v>
      </c>
      <c r="F2380" s="1">
        <v>45897</v>
      </c>
      <c r="G2380">
        <v>7</v>
      </c>
      <c r="H2380">
        <v>2362.88</v>
      </c>
      <c r="I2380">
        <v>15</v>
      </c>
      <c r="J2380" t="s">
        <v>45</v>
      </c>
      <c r="K2380">
        <v>2481.02</v>
      </c>
      <c r="L2380">
        <v>16540.16</v>
      </c>
      <c r="M2380">
        <v>14059.14</v>
      </c>
      <c r="N2380" t="s">
        <v>21</v>
      </c>
      <c r="O2380">
        <v>2025</v>
      </c>
    </row>
    <row r="2381" spans="1:15" x14ac:dyDescent="0.3">
      <c r="A2381" t="s">
        <v>2466</v>
      </c>
      <c r="B2381" t="s">
        <v>89</v>
      </c>
      <c r="C2381" t="s">
        <v>17</v>
      </c>
      <c r="D2381" t="s">
        <v>24</v>
      </c>
      <c r="E2381" t="s">
        <v>56</v>
      </c>
      <c r="F2381" s="1">
        <v>46001</v>
      </c>
      <c r="G2381">
        <v>10</v>
      </c>
      <c r="H2381">
        <v>3165.32</v>
      </c>
      <c r="I2381">
        <v>0</v>
      </c>
      <c r="J2381" t="s">
        <v>26</v>
      </c>
      <c r="K2381">
        <v>0</v>
      </c>
      <c r="L2381">
        <v>31653.200000000001</v>
      </c>
      <c r="M2381">
        <v>31653.200000000001</v>
      </c>
      <c r="N2381" t="s">
        <v>51</v>
      </c>
      <c r="O2381">
        <v>2025</v>
      </c>
    </row>
    <row r="2382" spans="1:15" x14ac:dyDescent="0.3">
      <c r="A2382" t="s">
        <v>2467</v>
      </c>
      <c r="B2382" t="s">
        <v>23</v>
      </c>
      <c r="C2382" t="s">
        <v>17</v>
      </c>
      <c r="D2382" t="s">
        <v>59</v>
      </c>
      <c r="E2382" t="s">
        <v>30</v>
      </c>
      <c r="F2382" s="1">
        <v>45757</v>
      </c>
      <c r="G2382">
        <v>9</v>
      </c>
      <c r="H2382">
        <v>26108.2</v>
      </c>
      <c r="I2382">
        <v>5</v>
      </c>
      <c r="J2382" t="s">
        <v>45</v>
      </c>
      <c r="K2382">
        <v>11748.69</v>
      </c>
      <c r="L2382">
        <v>234973.8</v>
      </c>
      <c r="M2382">
        <v>223225.11</v>
      </c>
      <c r="N2382" t="s">
        <v>27</v>
      </c>
      <c r="O2382">
        <v>2025</v>
      </c>
    </row>
    <row r="2383" spans="1:15" x14ac:dyDescent="0.3">
      <c r="A2383" t="s">
        <v>2468</v>
      </c>
      <c r="B2383" t="s">
        <v>43</v>
      </c>
      <c r="C2383" t="s">
        <v>90</v>
      </c>
      <c r="D2383" t="s">
        <v>105</v>
      </c>
      <c r="E2383" t="s">
        <v>25</v>
      </c>
      <c r="F2383" s="1">
        <v>45877</v>
      </c>
      <c r="G2383">
        <v>6</v>
      </c>
      <c r="H2383">
        <v>3967.71</v>
      </c>
      <c r="I2383">
        <v>0</v>
      </c>
      <c r="J2383" t="s">
        <v>26</v>
      </c>
      <c r="K2383">
        <v>0</v>
      </c>
      <c r="L2383">
        <v>23806.26</v>
      </c>
      <c r="M2383">
        <v>23806.26</v>
      </c>
      <c r="N2383" t="s">
        <v>21</v>
      </c>
      <c r="O2383">
        <v>2025</v>
      </c>
    </row>
    <row r="2384" spans="1:15" x14ac:dyDescent="0.3">
      <c r="A2384" t="s">
        <v>2469</v>
      </c>
      <c r="B2384" t="s">
        <v>33</v>
      </c>
      <c r="C2384" t="s">
        <v>90</v>
      </c>
      <c r="D2384" t="s">
        <v>115</v>
      </c>
      <c r="E2384" t="s">
        <v>81</v>
      </c>
      <c r="F2384" s="1">
        <v>45412</v>
      </c>
      <c r="G2384">
        <v>8</v>
      </c>
      <c r="H2384">
        <v>8173.32</v>
      </c>
      <c r="I2384">
        <v>10</v>
      </c>
      <c r="J2384" t="s">
        <v>45</v>
      </c>
      <c r="K2384">
        <v>6538.66</v>
      </c>
      <c r="L2384">
        <v>65386.559999999998</v>
      </c>
      <c r="M2384">
        <v>58847.9</v>
      </c>
      <c r="N2384" t="s">
        <v>27</v>
      </c>
      <c r="O2384">
        <v>2024</v>
      </c>
    </row>
    <row r="2385" spans="1:15" x14ac:dyDescent="0.3">
      <c r="A2385" t="s">
        <v>2470</v>
      </c>
      <c r="B2385" t="s">
        <v>89</v>
      </c>
      <c r="C2385" t="s">
        <v>17</v>
      </c>
      <c r="D2385" t="s">
        <v>59</v>
      </c>
      <c r="E2385" t="s">
        <v>19</v>
      </c>
      <c r="F2385" s="1">
        <v>45908</v>
      </c>
      <c r="G2385">
        <v>3</v>
      </c>
      <c r="H2385">
        <v>27400.36</v>
      </c>
      <c r="I2385">
        <v>0</v>
      </c>
      <c r="J2385" t="s">
        <v>31</v>
      </c>
      <c r="K2385">
        <v>0</v>
      </c>
      <c r="L2385">
        <v>82201.08</v>
      </c>
      <c r="M2385">
        <v>82201.08</v>
      </c>
      <c r="N2385" t="s">
        <v>86</v>
      </c>
      <c r="O2385">
        <v>2025</v>
      </c>
    </row>
    <row r="2386" spans="1:15" x14ac:dyDescent="0.3">
      <c r="A2386" t="s">
        <v>2471</v>
      </c>
      <c r="B2386" t="s">
        <v>53</v>
      </c>
      <c r="C2386" t="s">
        <v>54</v>
      </c>
      <c r="D2386" t="s">
        <v>77</v>
      </c>
      <c r="E2386" t="s">
        <v>19</v>
      </c>
      <c r="F2386" s="1">
        <v>45915</v>
      </c>
      <c r="G2386">
        <v>10</v>
      </c>
      <c r="H2386">
        <v>5003.5200000000004</v>
      </c>
      <c r="I2386">
        <v>5</v>
      </c>
      <c r="J2386" t="s">
        <v>82</v>
      </c>
      <c r="K2386">
        <v>2501.7600000000002</v>
      </c>
      <c r="L2386">
        <v>50035.199999999997</v>
      </c>
      <c r="M2386">
        <v>47533.440000000002</v>
      </c>
      <c r="N2386" t="s">
        <v>86</v>
      </c>
      <c r="O2386">
        <v>2025</v>
      </c>
    </row>
    <row r="2387" spans="1:15" x14ac:dyDescent="0.3">
      <c r="A2387" t="s">
        <v>2472</v>
      </c>
      <c r="B2387" t="s">
        <v>53</v>
      </c>
      <c r="C2387" t="s">
        <v>90</v>
      </c>
      <c r="D2387" t="s">
        <v>115</v>
      </c>
      <c r="E2387" t="s">
        <v>50</v>
      </c>
      <c r="F2387" s="1">
        <v>45909</v>
      </c>
      <c r="G2387">
        <v>8</v>
      </c>
      <c r="H2387">
        <v>7868.53</v>
      </c>
      <c r="I2387">
        <v>20</v>
      </c>
      <c r="J2387" t="s">
        <v>36</v>
      </c>
      <c r="K2387">
        <v>12589.65</v>
      </c>
      <c r="L2387">
        <v>62948.24</v>
      </c>
      <c r="M2387">
        <v>50358.59</v>
      </c>
      <c r="N2387" t="s">
        <v>86</v>
      </c>
      <c r="O2387">
        <v>2025</v>
      </c>
    </row>
    <row r="2388" spans="1:15" x14ac:dyDescent="0.3">
      <c r="A2388" t="s">
        <v>2473</v>
      </c>
      <c r="B2388" t="s">
        <v>109</v>
      </c>
      <c r="C2388" t="s">
        <v>17</v>
      </c>
      <c r="D2388" t="s">
        <v>157</v>
      </c>
      <c r="E2388" t="s">
        <v>44</v>
      </c>
      <c r="F2388" s="1">
        <v>45667</v>
      </c>
      <c r="G2388">
        <v>5</v>
      </c>
      <c r="H2388">
        <v>7903.43</v>
      </c>
      <c r="I2388">
        <v>0</v>
      </c>
      <c r="J2388" t="s">
        <v>40</v>
      </c>
      <c r="K2388">
        <v>0</v>
      </c>
      <c r="L2388">
        <v>39517.15</v>
      </c>
      <c r="M2388">
        <v>39517.15</v>
      </c>
      <c r="N2388" t="s">
        <v>116</v>
      </c>
      <c r="O2388">
        <v>2025</v>
      </c>
    </row>
    <row r="2389" spans="1:15" x14ac:dyDescent="0.3">
      <c r="A2389" t="s">
        <v>2474</v>
      </c>
      <c r="B2389" t="s">
        <v>61</v>
      </c>
      <c r="C2389" t="s">
        <v>54</v>
      </c>
      <c r="D2389" t="s">
        <v>137</v>
      </c>
      <c r="E2389" t="s">
        <v>19</v>
      </c>
      <c r="F2389" s="1">
        <v>45789</v>
      </c>
      <c r="G2389">
        <v>1</v>
      </c>
      <c r="H2389">
        <v>881.77</v>
      </c>
      <c r="I2389">
        <v>20</v>
      </c>
      <c r="J2389" t="s">
        <v>45</v>
      </c>
      <c r="K2389">
        <v>176.35</v>
      </c>
      <c r="L2389">
        <v>881.77</v>
      </c>
      <c r="M2389">
        <v>705.42</v>
      </c>
      <c r="N2389" t="s">
        <v>101</v>
      </c>
      <c r="O2389">
        <v>2025</v>
      </c>
    </row>
    <row r="2390" spans="1:15" x14ac:dyDescent="0.3">
      <c r="A2390" t="s">
        <v>2475</v>
      </c>
      <c r="B2390" t="s">
        <v>38</v>
      </c>
      <c r="C2390" t="s">
        <v>34</v>
      </c>
      <c r="D2390" t="s">
        <v>80</v>
      </c>
      <c r="E2390" t="s">
        <v>81</v>
      </c>
      <c r="F2390" s="1">
        <v>45421</v>
      </c>
      <c r="G2390">
        <v>6</v>
      </c>
      <c r="H2390">
        <v>6145.42</v>
      </c>
      <c r="I2390">
        <v>0</v>
      </c>
      <c r="J2390" t="s">
        <v>36</v>
      </c>
      <c r="K2390">
        <v>0</v>
      </c>
      <c r="L2390">
        <v>36872.519999999997</v>
      </c>
      <c r="M2390">
        <v>36872.519999999997</v>
      </c>
      <c r="N2390" t="s">
        <v>101</v>
      </c>
      <c r="O2390">
        <v>2024</v>
      </c>
    </row>
    <row r="2391" spans="1:15" x14ac:dyDescent="0.3">
      <c r="A2391" t="s">
        <v>2476</v>
      </c>
      <c r="B2391" t="s">
        <v>16</v>
      </c>
      <c r="C2391" t="s">
        <v>54</v>
      </c>
      <c r="D2391" t="s">
        <v>70</v>
      </c>
      <c r="E2391" t="s">
        <v>25</v>
      </c>
      <c r="F2391" s="1">
        <v>45939</v>
      </c>
      <c r="G2391">
        <v>7</v>
      </c>
      <c r="H2391">
        <v>2625.95</v>
      </c>
      <c r="I2391">
        <v>10</v>
      </c>
      <c r="J2391" t="s">
        <v>82</v>
      </c>
      <c r="K2391">
        <v>1838.17</v>
      </c>
      <c r="L2391">
        <v>18381.650000000001</v>
      </c>
      <c r="M2391">
        <v>16543.48</v>
      </c>
      <c r="N2391" t="s">
        <v>57</v>
      </c>
      <c r="O2391">
        <v>2025</v>
      </c>
    </row>
    <row r="2392" spans="1:15" x14ac:dyDescent="0.3">
      <c r="A2392" t="s">
        <v>2477</v>
      </c>
      <c r="B2392" t="s">
        <v>109</v>
      </c>
      <c r="C2392" t="s">
        <v>90</v>
      </c>
      <c r="D2392" t="s">
        <v>115</v>
      </c>
      <c r="E2392" t="s">
        <v>56</v>
      </c>
      <c r="F2392" s="1">
        <v>45508</v>
      </c>
      <c r="G2392">
        <v>3</v>
      </c>
      <c r="H2392">
        <v>7756.89</v>
      </c>
      <c r="I2392">
        <v>15</v>
      </c>
      <c r="J2392" t="s">
        <v>36</v>
      </c>
      <c r="K2392">
        <v>3490.6</v>
      </c>
      <c r="L2392">
        <v>23270.67</v>
      </c>
      <c r="M2392">
        <v>19780.07</v>
      </c>
      <c r="N2392" t="s">
        <v>21</v>
      </c>
      <c r="O2392">
        <v>2024</v>
      </c>
    </row>
    <row r="2393" spans="1:15" x14ac:dyDescent="0.3">
      <c r="A2393" t="s">
        <v>2478</v>
      </c>
      <c r="B2393" t="s">
        <v>53</v>
      </c>
      <c r="C2393" t="s">
        <v>34</v>
      </c>
      <c r="D2393" t="s">
        <v>66</v>
      </c>
      <c r="E2393" t="s">
        <v>81</v>
      </c>
      <c r="F2393" s="1">
        <v>45578</v>
      </c>
      <c r="G2393">
        <v>1</v>
      </c>
      <c r="H2393">
        <v>40242.519999999997</v>
      </c>
      <c r="I2393">
        <v>15</v>
      </c>
      <c r="J2393" t="s">
        <v>45</v>
      </c>
      <c r="K2393">
        <v>6036.38</v>
      </c>
      <c r="L2393">
        <v>40242.519999999997</v>
      </c>
      <c r="M2393">
        <v>34206.14</v>
      </c>
      <c r="N2393" t="s">
        <v>57</v>
      </c>
      <c r="O2393">
        <v>2024</v>
      </c>
    </row>
    <row r="2394" spans="1:15" x14ac:dyDescent="0.3">
      <c r="A2394" t="s">
        <v>2479</v>
      </c>
      <c r="B2394" t="s">
        <v>53</v>
      </c>
      <c r="C2394" t="s">
        <v>54</v>
      </c>
      <c r="D2394" t="s">
        <v>77</v>
      </c>
      <c r="E2394" t="s">
        <v>50</v>
      </c>
      <c r="F2394" s="1">
        <v>45755</v>
      </c>
      <c r="G2394">
        <v>4</v>
      </c>
      <c r="H2394">
        <v>4612.6099999999997</v>
      </c>
      <c r="I2394">
        <v>15</v>
      </c>
      <c r="J2394" t="s">
        <v>40</v>
      </c>
      <c r="K2394">
        <v>2767.57</v>
      </c>
      <c r="L2394">
        <v>18450.439999999999</v>
      </c>
      <c r="M2394">
        <v>15682.87</v>
      </c>
      <c r="N2394" t="s">
        <v>27</v>
      </c>
      <c r="O2394">
        <v>2025</v>
      </c>
    </row>
    <row r="2395" spans="1:15" x14ac:dyDescent="0.3">
      <c r="A2395" t="s">
        <v>2480</v>
      </c>
      <c r="B2395" t="s">
        <v>114</v>
      </c>
      <c r="C2395" t="s">
        <v>17</v>
      </c>
      <c r="D2395" t="s">
        <v>157</v>
      </c>
      <c r="E2395" t="s">
        <v>81</v>
      </c>
      <c r="F2395" s="1">
        <v>45298</v>
      </c>
      <c r="G2395">
        <v>8</v>
      </c>
      <c r="H2395">
        <v>6415.34</v>
      </c>
      <c r="I2395">
        <v>10</v>
      </c>
      <c r="J2395" t="s">
        <v>45</v>
      </c>
      <c r="K2395">
        <v>5132.2700000000004</v>
      </c>
      <c r="L2395">
        <v>51322.720000000001</v>
      </c>
      <c r="M2395">
        <v>46190.45</v>
      </c>
      <c r="N2395" t="s">
        <v>116</v>
      </c>
      <c r="O2395">
        <v>2024</v>
      </c>
    </row>
    <row r="2396" spans="1:15" x14ac:dyDescent="0.3">
      <c r="A2396" t="s">
        <v>2481</v>
      </c>
      <c r="B2396" t="s">
        <v>47</v>
      </c>
      <c r="C2396" t="s">
        <v>54</v>
      </c>
      <c r="D2396" t="s">
        <v>70</v>
      </c>
      <c r="E2396" t="s">
        <v>25</v>
      </c>
      <c r="F2396" s="1">
        <v>45293</v>
      </c>
      <c r="G2396">
        <v>10</v>
      </c>
      <c r="H2396">
        <v>2361.25</v>
      </c>
      <c r="I2396">
        <v>15</v>
      </c>
      <c r="J2396" t="s">
        <v>45</v>
      </c>
      <c r="K2396">
        <v>3541.88</v>
      </c>
      <c r="L2396">
        <v>23612.5</v>
      </c>
      <c r="M2396">
        <v>20070.62</v>
      </c>
      <c r="N2396" t="s">
        <v>116</v>
      </c>
      <c r="O2396">
        <v>2024</v>
      </c>
    </row>
    <row r="2397" spans="1:15" x14ac:dyDescent="0.3">
      <c r="A2397" t="s">
        <v>2482</v>
      </c>
      <c r="B2397" t="s">
        <v>33</v>
      </c>
      <c r="C2397" t="s">
        <v>17</v>
      </c>
      <c r="D2397" t="s">
        <v>18</v>
      </c>
      <c r="E2397" t="s">
        <v>50</v>
      </c>
      <c r="F2397" s="1">
        <v>45374</v>
      </c>
      <c r="G2397">
        <v>1</v>
      </c>
      <c r="H2397">
        <v>70587.86</v>
      </c>
      <c r="I2397">
        <v>5</v>
      </c>
      <c r="J2397" t="s">
        <v>31</v>
      </c>
      <c r="K2397">
        <v>3529.39</v>
      </c>
      <c r="L2397">
        <v>70587.86</v>
      </c>
      <c r="M2397">
        <v>67058.47</v>
      </c>
      <c r="N2397" t="s">
        <v>83</v>
      </c>
      <c r="O2397">
        <v>2024</v>
      </c>
    </row>
    <row r="2398" spans="1:15" x14ac:dyDescent="0.3">
      <c r="A2398" t="s">
        <v>2483</v>
      </c>
      <c r="B2398" t="s">
        <v>38</v>
      </c>
      <c r="C2398" t="s">
        <v>90</v>
      </c>
      <c r="D2398" t="s">
        <v>105</v>
      </c>
      <c r="E2398" t="s">
        <v>81</v>
      </c>
      <c r="F2398" s="1">
        <v>45496</v>
      </c>
      <c r="G2398">
        <v>1</v>
      </c>
      <c r="H2398">
        <v>3178.72</v>
      </c>
      <c r="I2398">
        <v>0</v>
      </c>
      <c r="J2398" t="s">
        <v>36</v>
      </c>
      <c r="K2398">
        <v>0</v>
      </c>
      <c r="L2398">
        <v>3178.72</v>
      </c>
      <c r="M2398">
        <v>3178.72</v>
      </c>
      <c r="N2398" t="s">
        <v>122</v>
      </c>
      <c r="O2398">
        <v>2024</v>
      </c>
    </row>
    <row r="2399" spans="1:15" x14ac:dyDescent="0.3">
      <c r="A2399" t="s">
        <v>2484</v>
      </c>
      <c r="B2399" t="s">
        <v>33</v>
      </c>
      <c r="C2399" t="s">
        <v>90</v>
      </c>
      <c r="D2399" t="s">
        <v>91</v>
      </c>
      <c r="E2399" t="s">
        <v>30</v>
      </c>
      <c r="F2399" s="1">
        <v>45296</v>
      </c>
      <c r="G2399">
        <v>8</v>
      </c>
      <c r="H2399">
        <v>1446.16</v>
      </c>
      <c r="I2399">
        <v>0</v>
      </c>
      <c r="J2399" t="s">
        <v>26</v>
      </c>
      <c r="K2399">
        <v>0</v>
      </c>
      <c r="L2399">
        <v>11569.28</v>
      </c>
      <c r="M2399">
        <v>11569.28</v>
      </c>
      <c r="N2399" t="s">
        <v>116</v>
      </c>
      <c r="O2399">
        <v>2024</v>
      </c>
    </row>
    <row r="2400" spans="1:15" x14ac:dyDescent="0.3">
      <c r="A2400" t="s">
        <v>2485</v>
      </c>
      <c r="B2400" t="s">
        <v>74</v>
      </c>
      <c r="C2400" t="s">
        <v>54</v>
      </c>
      <c r="D2400" t="s">
        <v>77</v>
      </c>
      <c r="E2400" t="s">
        <v>19</v>
      </c>
      <c r="F2400" s="1">
        <v>46007</v>
      </c>
      <c r="G2400">
        <v>5</v>
      </c>
      <c r="H2400">
        <v>5262.13</v>
      </c>
      <c r="I2400">
        <v>5</v>
      </c>
      <c r="J2400" t="s">
        <v>45</v>
      </c>
      <c r="K2400">
        <v>1315.53</v>
      </c>
      <c r="L2400">
        <v>26310.65</v>
      </c>
      <c r="M2400">
        <v>24995.119999999999</v>
      </c>
      <c r="N2400" t="s">
        <v>51</v>
      </c>
      <c r="O2400">
        <v>2025</v>
      </c>
    </row>
    <row r="2401" spans="1:15" x14ac:dyDescent="0.3">
      <c r="A2401" t="s">
        <v>2486</v>
      </c>
      <c r="B2401" t="s">
        <v>89</v>
      </c>
      <c r="C2401" t="s">
        <v>54</v>
      </c>
      <c r="D2401" t="s">
        <v>77</v>
      </c>
      <c r="E2401" t="s">
        <v>56</v>
      </c>
      <c r="F2401" s="1">
        <v>45714</v>
      </c>
      <c r="G2401">
        <v>6</v>
      </c>
      <c r="H2401">
        <v>4664.38</v>
      </c>
      <c r="I2401">
        <v>10</v>
      </c>
      <c r="J2401" t="s">
        <v>20</v>
      </c>
      <c r="K2401">
        <v>2798.63</v>
      </c>
      <c r="L2401">
        <v>27986.28</v>
      </c>
      <c r="M2401">
        <v>25187.65</v>
      </c>
      <c r="N2401" t="s">
        <v>41</v>
      </c>
      <c r="O2401">
        <v>2025</v>
      </c>
    </row>
    <row r="2402" spans="1:15" x14ac:dyDescent="0.3">
      <c r="A2402" t="s">
        <v>2487</v>
      </c>
      <c r="B2402" t="s">
        <v>74</v>
      </c>
      <c r="C2402" t="s">
        <v>62</v>
      </c>
      <c r="D2402" t="s">
        <v>99</v>
      </c>
      <c r="E2402" t="s">
        <v>25</v>
      </c>
      <c r="F2402" s="1">
        <v>45382</v>
      </c>
      <c r="G2402">
        <v>10</v>
      </c>
      <c r="H2402">
        <v>1647.39</v>
      </c>
      <c r="I2402">
        <v>20</v>
      </c>
      <c r="J2402" t="s">
        <v>31</v>
      </c>
      <c r="K2402">
        <v>3294.78</v>
      </c>
      <c r="L2402">
        <v>16473.900000000001</v>
      </c>
      <c r="M2402">
        <v>13179.12</v>
      </c>
      <c r="N2402" t="s">
        <v>83</v>
      </c>
      <c r="O2402">
        <v>2024</v>
      </c>
    </row>
    <row r="2403" spans="1:15" x14ac:dyDescent="0.3">
      <c r="A2403" t="s">
        <v>2488</v>
      </c>
      <c r="B2403" t="s">
        <v>29</v>
      </c>
      <c r="C2403" t="s">
        <v>34</v>
      </c>
      <c r="D2403" t="s">
        <v>35</v>
      </c>
      <c r="E2403" t="s">
        <v>44</v>
      </c>
      <c r="F2403" s="1">
        <v>45843</v>
      </c>
      <c r="G2403">
        <v>2</v>
      </c>
      <c r="H2403">
        <v>23832.61</v>
      </c>
      <c r="I2403">
        <v>0</v>
      </c>
      <c r="J2403" t="s">
        <v>40</v>
      </c>
      <c r="K2403">
        <v>0</v>
      </c>
      <c r="L2403">
        <v>47665.22</v>
      </c>
      <c r="M2403">
        <v>47665.22</v>
      </c>
      <c r="N2403" t="s">
        <v>122</v>
      </c>
      <c r="O2403">
        <v>2025</v>
      </c>
    </row>
    <row r="2404" spans="1:15" x14ac:dyDescent="0.3">
      <c r="A2404" t="s">
        <v>2489</v>
      </c>
      <c r="B2404" t="s">
        <v>33</v>
      </c>
      <c r="C2404" t="s">
        <v>17</v>
      </c>
      <c r="D2404" t="s">
        <v>39</v>
      </c>
      <c r="E2404" t="s">
        <v>25</v>
      </c>
      <c r="F2404" s="1">
        <v>45652</v>
      </c>
      <c r="G2404">
        <v>9</v>
      </c>
      <c r="H2404">
        <v>21106.74</v>
      </c>
      <c r="I2404">
        <v>15</v>
      </c>
      <c r="J2404" t="s">
        <v>36</v>
      </c>
      <c r="K2404">
        <v>28494.1</v>
      </c>
      <c r="L2404">
        <v>189960.66</v>
      </c>
      <c r="M2404">
        <v>161466.56</v>
      </c>
      <c r="N2404" t="s">
        <v>51</v>
      </c>
      <c r="O2404">
        <v>2024</v>
      </c>
    </row>
    <row r="2405" spans="1:15" x14ac:dyDescent="0.3">
      <c r="A2405" t="s">
        <v>2490</v>
      </c>
      <c r="B2405" t="s">
        <v>47</v>
      </c>
      <c r="C2405" t="s">
        <v>34</v>
      </c>
      <c r="D2405" t="s">
        <v>85</v>
      </c>
      <c r="E2405" t="s">
        <v>56</v>
      </c>
      <c r="F2405" s="1">
        <v>45510</v>
      </c>
      <c r="G2405">
        <v>6</v>
      </c>
      <c r="H2405">
        <v>12113.55</v>
      </c>
      <c r="I2405">
        <v>20</v>
      </c>
      <c r="J2405" t="s">
        <v>40</v>
      </c>
      <c r="K2405">
        <v>14536.26</v>
      </c>
      <c r="L2405">
        <v>72681.3</v>
      </c>
      <c r="M2405">
        <v>58145.04</v>
      </c>
      <c r="N2405" t="s">
        <v>21</v>
      </c>
      <c r="O2405">
        <v>2024</v>
      </c>
    </row>
    <row r="2406" spans="1:15" x14ac:dyDescent="0.3">
      <c r="A2406" t="s">
        <v>2491</v>
      </c>
      <c r="B2406" t="s">
        <v>38</v>
      </c>
      <c r="C2406" t="s">
        <v>34</v>
      </c>
      <c r="D2406" t="s">
        <v>48</v>
      </c>
      <c r="E2406" t="s">
        <v>50</v>
      </c>
      <c r="F2406" s="1">
        <v>45834</v>
      </c>
      <c r="G2406">
        <v>1</v>
      </c>
      <c r="H2406">
        <v>8011.26</v>
      </c>
      <c r="I2406">
        <v>10</v>
      </c>
      <c r="J2406" t="s">
        <v>31</v>
      </c>
      <c r="K2406">
        <v>801.13</v>
      </c>
      <c r="L2406">
        <v>8011.26</v>
      </c>
      <c r="M2406">
        <v>7210.13</v>
      </c>
      <c r="N2406" t="s">
        <v>72</v>
      </c>
      <c r="O2406">
        <v>2025</v>
      </c>
    </row>
    <row r="2407" spans="1:15" x14ac:dyDescent="0.3">
      <c r="A2407" t="s">
        <v>2492</v>
      </c>
      <c r="B2407" t="s">
        <v>109</v>
      </c>
      <c r="C2407" t="s">
        <v>54</v>
      </c>
      <c r="D2407" t="s">
        <v>68</v>
      </c>
      <c r="E2407" t="s">
        <v>30</v>
      </c>
      <c r="F2407" s="1">
        <v>45750</v>
      </c>
      <c r="G2407">
        <v>4</v>
      </c>
      <c r="H2407">
        <v>4711.82</v>
      </c>
      <c r="I2407">
        <v>5</v>
      </c>
      <c r="J2407" t="s">
        <v>31</v>
      </c>
      <c r="K2407">
        <v>942.36</v>
      </c>
      <c r="L2407">
        <v>18847.28</v>
      </c>
      <c r="M2407">
        <v>17904.919999999998</v>
      </c>
      <c r="N2407" t="s">
        <v>27</v>
      </c>
      <c r="O2407">
        <v>2025</v>
      </c>
    </row>
    <row r="2408" spans="1:15" x14ac:dyDescent="0.3">
      <c r="A2408" t="s">
        <v>2493</v>
      </c>
      <c r="B2408" t="s">
        <v>114</v>
      </c>
      <c r="C2408" t="s">
        <v>62</v>
      </c>
      <c r="D2408" t="s">
        <v>119</v>
      </c>
      <c r="E2408" t="s">
        <v>81</v>
      </c>
      <c r="F2408" s="1">
        <v>45852</v>
      </c>
      <c r="G2408">
        <v>5</v>
      </c>
      <c r="H2408">
        <v>3996.71</v>
      </c>
      <c r="I2408">
        <v>10</v>
      </c>
      <c r="J2408" t="s">
        <v>20</v>
      </c>
      <c r="K2408">
        <v>1998.36</v>
      </c>
      <c r="L2408">
        <v>19983.55</v>
      </c>
      <c r="M2408">
        <v>17985.189999999999</v>
      </c>
      <c r="N2408" t="s">
        <v>122</v>
      </c>
      <c r="O2408">
        <v>2025</v>
      </c>
    </row>
    <row r="2409" spans="1:15" x14ac:dyDescent="0.3">
      <c r="A2409" t="s">
        <v>2494</v>
      </c>
      <c r="B2409" t="s">
        <v>114</v>
      </c>
      <c r="C2409" t="s">
        <v>34</v>
      </c>
      <c r="D2409" t="s">
        <v>35</v>
      </c>
      <c r="E2409" t="s">
        <v>44</v>
      </c>
      <c r="F2409" s="1">
        <v>45707</v>
      </c>
      <c r="G2409">
        <v>3</v>
      </c>
      <c r="H2409">
        <v>25876.2</v>
      </c>
      <c r="I2409">
        <v>10</v>
      </c>
      <c r="J2409" t="s">
        <v>40</v>
      </c>
      <c r="K2409">
        <v>7762.86</v>
      </c>
      <c r="L2409">
        <v>77628.600000000006</v>
      </c>
      <c r="M2409">
        <v>69865.740000000005</v>
      </c>
      <c r="N2409" t="s">
        <v>41</v>
      </c>
      <c r="O2409">
        <v>2025</v>
      </c>
    </row>
    <row r="2410" spans="1:15" x14ac:dyDescent="0.3">
      <c r="A2410" t="s">
        <v>2495</v>
      </c>
      <c r="B2410" t="s">
        <v>89</v>
      </c>
      <c r="C2410" t="s">
        <v>62</v>
      </c>
      <c r="D2410" t="s">
        <v>95</v>
      </c>
      <c r="E2410" t="s">
        <v>44</v>
      </c>
      <c r="F2410" s="1">
        <v>45575</v>
      </c>
      <c r="G2410">
        <v>1</v>
      </c>
      <c r="H2410">
        <v>878.56</v>
      </c>
      <c r="I2410">
        <v>15</v>
      </c>
      <c r="J2410" t="s">
        <v>71</v>
      </c>
      <c r="K2410">
        <v>131.78</v>
      </c>
      <c r="L2410">
        <v>878.56</v>
      </c>
      <c r="M2410">
        <v>746.78</v>
      </c>
      <c r="N2410" t="s">
        <v>57</v>
      </c>
      <c r="O2410">
        <v>2024</v>
      </c>
    </row>
    <row r="2411" spans="1:15" x14ac:dyDescent="0.3">
      <c r="A2411" t="s">
        <v>2496</v>
      </c>
      <c r="B2411" t="s">
        <v>33</v>
      </c>
      <c r="C2411" t="s">
        <v>54</v>
      </c>
      <c r="D2411" t="s">
        <v>137</v>
      </c>
      <c r="E2411" t="s">
        <v>25</v>
      </c>
      <c r="F2411" s="1">
        <v>45698</v>
      </c>
      <c r="G2411">
        <v>3</v>
      </c>
      <c r="H2411">
        <v>856.35</v>
      </c>
      <c r="I2411">
        <v>5</v>
      </c>
      <c r="J2411" t="s">
        <v>45</v>
      </c>
      <c r="K2411">
        <v>128.44999999999999</v>
      </c>
      <c r="L2411">
        <v>2569.0500000000002</v>
      </c>
      <c r="M2411">
        <v>2440.6</v>
      </c>
      <c r="N2411" t="s">
        <v>41</v>
      </c>
      <c r="O2411">
        <v>2025</v>
      </c>
    </row>
    <row r="2412" spans="1:15" x14ac:dyDescent="0.3">
      <c r="A2412" t="s">
        <v>2497</v>
      </c>
      <c r="B2412" t="s">
        <v>109</v>
      </c>
      <c r="C2412" t="s">
        <v>17</v>
      </c>
      <c r="D2412" t="s">
        <v>24</v>
      </c>
      <c r="E2412" t="s">
        <v>81</v>
      </c>
      <c r="F2412" s="1">
        <v>45624</v>
      </c>
      <c r="G2412">
        <v>2</v>
      </c>
      <c r="H2412">
        <v>3005.07</v>
      </c>
      <c r="I2412">
        <v>10</v>
      </c>
      <c r="J2412" t="s">
        <v>45</v>
      </c>
      <c r="K2412">
        <v>601.01</v>
      </c>
      <c r="L2412">
        <v>6010.14</v>
      </c>
      <c r="M2412">
        <v>5409.13</v>
      </c>
      <c r="N2412" t="s">
        <v>96</v>
      </c>
      <c r="O2412">
        <v>2024</v>
      </c>
    </row>
    <row r="2413" spans="1:15" x14ac:dyDescent="0.3">
      <c r="A2413" t="s">
        <v>2498</v>
      </c>
      <c r="B2413" t="s">
        <v>47</v>
      </c>
      <c r="C2413" t="s">
        <v>17</v>
      </c>
      <c r="D2413" t="s">
        <v>24</v>
      </c>
      <c r="E2413" t="s">
        <v>50</v>
      </c>
      <c r="F2413" s="1">
        <v>45377</v>
      </c>
      <c r="G2413">
        <v>2</v>
      </c>
      <c r="H2413">
        <v>3047.02</v>
      </c>
      <c r="I2413">
        <v>20</v>
      </c>
      <c r="J2413" t="s">
        <v>82</v>
      </c>
      <c r="K2413">
        <v>1218.81</v>
      </c>
      <c r="L2413">
        <v>6094.04</v>
      </c>
      <c r="M2413">
        <v>4875.2299999999996</v>
      </c>
      <c r="N2413" t="s">
        <v>83</v>
      </c>
      <c r="O2413">
        <v>2024</v>
      </c>
    </row>
    <row r="2414" spans="1:15" x14ac:dyDescent="0.3">
      <c r="A2414" t="s">
        <v>2499</v>
      </c>
      <c r="B2414" t="s">
        <v>93</v>
      </c>
      <c r="C2414" t="s">
        <v>90</v>
      </c>
      <c r="D2414" t="s">
        <v>105</v>
      </c>
      <c r="E2414" t="s">
        <v>30</v>
      </c>
      <c r="F2414" s="1">
        <v>45437</v>
      </c>
      <c r="G2414">
        <v>6</v>
      </c>
      <c r="H2414">
        <v>3854.76</v>
      </c>
      <c r="I2414">
        <v>15</v>
      </c>
      <c r="J2414" t="s">
        <v>26</v>
      </c>
      <c r="K2414">
        <v>3469.28</v>
      </c>
      <c r="L2414">
        <v>23128.560000000001</v>
      </c>
      <c r="M2414">
        <v>19659.28</v>
      </c>
      <c r="N2414" t="s">
        <v>101</v>
      </c>
      <c r="O2414">
        <v>2024</v>
      </c>
    </row>
    <row r="2415" spans="1:15" x14ac:dyDescent="0.3">
      <c r="A2415" t="s">
        <v>2500</v>
      </c>
      <c r="B2415" t="s">
        <v>61</v>
      </c>
      <c r="C2415" t="s">
        <v>90</v>
      </c>
      <c r="D2415" t="s">
        <v>105</v>
      </c>
      <c r="E2415" t="s">
        <v>30</v>
      </c>
      <c r="F2415" s="1">
        <v>45464</v>
      </c>
      <c r="G2415">
        <v>1</v>
      </c>
      <c r="H2415">
        <v>3505.36</v>
      </c>
      <c r="I2415">
        <v>20</v>
      </c>
      <c r="J2415" t="s">
        <v>36</v>
      </c>
      <c r="K2415">
        <v>701.07</v>
      </c>
      <c r="L2415">
        <v>3505.36</v>
      </c>
      <c r="M2415">
        <v>2804.29</v>
      </c>
      <c r="N2415" t="s">
        <v>72</v>
      </c>
      <c r="O2415">
        <v>2024</v>
      </c>
    </row>
    <row r="2416" spans="1:15" x14ac:dyDescent="0.3">
      <c r="A2416" t="s">
        <v>2501</v>
      </c>
      <c r="B2416" t="s">
        <v>33</v>
      </c>
      <c r="C2416" t="s">
        <v>62</v>
      </c>
      <c r="D2416" t="s">
        <v>63</v>
      </c>
      <c r="E2416" t="s">
        <v>44</v>
      </c>
      <c r="F2416" s="1">
        <v>46007</v>
      </c>
      <c r="G2416">
        <v>2</v>
      </c>
      <c r="H2416">
        <v>2119.88</v>
      </c>
      <c r="I2416">
        <v>0</v>
      </c>
      <c r="J2416" t="s">
        <v>40</v>
      </c>
      <c r="K2416">
        <v>0</v>
      </c>
      <c r="L2416">
        <v>4239.76</v>
      </c>
      <c r="M2416">
        <v>4239.76</v>
      </c>
      <c r="N2416" t="s">
        <v>51</v>
      </c>
      <c r="O2416">
        <v>2025</v>
      </c>
    </row>
    <row r="2417" spans="1:15" x14ac:dyDescent="0.3">
      <c r="A2417" t="s">
        <v>2502</v>
      </c>
      <c r="B2417" t="s">
        <v>53</v>
      </c>
      <c r="C2417" t="s">
        <v>17</v>
      </c>
      <c r="D2417" t="s">
        <v>59</v>
      </c>
      <c r="E2417" t="s">
        <v>56</v>
      </c>
      <c r="F2417" s="1">
        <v>45871</v>
      </c>
      <c r="G2417">
        <v>6</v>
      </c>
      <c r="H2417">
        <v>27949.52</v>
      </c>
      <c r="I2417">
        <v>0</v>
      </c>
      <c r="J2417" t="s">
        <v>45</v>
      </c>
      <c r="K2417">
        <v>0</v>
      </c>
      <c r="L2417">
        <v>167697.12</v>
      </c>
      <c r="M2417">
        <v>167697.12</v>
      </c>
      <c r="N2417" t="s">
        <v>21</v>
      </c>
      <c r="O2417">
        <v>2025</v>
      </c>
    </row>
    <row r="2418" spans="1:15" x14ac:dyDescent="0.3">
      <c r="A2418" t="s">
        <v>2503</v>
      </c>
      <c r="B2418" t="s">
        <v>38</v>
      </c>
      <c r="C2418" t="s">
        <v>17</v>
      </c>
      <c r="D2418" t="s">
        <v>59</v>
      </c>
      <c r="E2418" t="s">
        <v>56</v>
      </c>
      <c r="F2418" s="1">
        <v>45372</v>
      </c>
      <c r="G2418">
        <v>6</v>
      </c>
      <c r="H2418">
        <v>23193.71</v>
      </c>
      <c r="I2418">
        <v>5</v>
      </c>
      <c r="J2418" t="s">
        <v>26</v>
      </c>
      <c r="K2418">
        <v>6958.11</v>
      </c>
      <c r="L2418">
        <v>139162.26</v>
      </c>
      <c r="M2418">
        <v>132204.15</v>
      </c>
      <c r="N2418" t="s">
        <v>83</v>
      </c>
      <c r="O2418">
        <v>2024</v>
      </c>
    </row>
    <row r="2419" spans="1:15" x14ac:dyDescent="0.3">
      <c r="A2419" t="s">
        <v>2504</v>
      </c>
      <c r="B2419" t="s">
        <v>74</v>
      </c>
      <c r="C2419" t="s">
        <v>34</v>
      </c>
      <c r="D2419" t="s">
        <v>48</v>
      </c>
      <c r="E2419" t="s">
        <v>30</v>
      </c>
      <c r="F2419" s="1">
        <v>45742</v>
      </c>
      <c r="G2419">
        <v>10</v>
      </c>
      <c r="H2419">
        <v>7879.57</v>
      </c>
      <c r="I2419">
        <v>15</v>
      </c>
      <c r="J2419" t="s">
        <v>40</v>
      </c>
      <c r="K2419">
        <v>11819.35</v>
      </c>
      <c r="L2419">
        <v>78795.7</v>
      </c>
      <c r="M2419">
        <v>66976.350000000006</v>
      </c>
      <c r="N2419" t="s">
        <v>83</v>
      </c>
      <c r="O2419">
        <v>2025</v>
      </c>
    </row>
    <row r="2420" spans="1:15" x14ac:dyDescent="0.3">
      <c r="A2420" t="s">
        <v>2505</v>
      </c>
      <c r="B2420" t="s">
        <v>38</v>
      </c>
      <c r="C2420" t="s">
        <v>62</v>
      </c>
      <c r="D2420" t="s">
        <v>95</v>
      </c>
      <c r="E2420" t="s">
        <v>56</v>
      </c>
      <c r="F2420" s="1">
        <v>45745</v>
      </c>
      <c r="G2420">
        <v>4</v>
      </c>
      <c r="H2420">
        <v>888.9</v>
      </c>
      <c r="I2420">
        <v>15</v>
      </c>
      <c r="J2420" t="s">
        <v>82</v>
      </c>
      <c r="K2420">
        <v>533.34</v>
      </c>
      <c r="L2420">
        <v>3555.6</v>
      </c>
      <c r="M2420">
        <v>3022.26</v>
      </c>
      <c r="N2420" t="s">
        <v>83</v>
      </c>
      <c r="O2420">
        <v>2025</v>
      </c>
    </row>
    <row r="2421" spans="1:15" x14ac:dyDescent="0.3">
      <c r="A2421" t="s">
        <v>2506</v>
      </c>
      <c r="B2421" t="s">
        <v>109</v>
      </c>
      <c r="C2421" t="s">
        <v>54</v>
      </c>
      <c r="D2421" t="s">
        <v>77</v>
      </c>
      <c r="E2421" t="s">
        <v>19</v>
      </c>
      <c r="F2421" s="1">
        <v>45951</v>
      </c>
      <c r="G2421">
        <v>1</v>
      </c>
      <c r="H2421">
        <v>6206</v>
      </c>
      <c r="I2421">
        <v>0</v>
      </c>
      <c r="J2421" t="s">
        <v>45</v>
      </c>
      <c r="K2421">
        <v>0</v>
      </c>
      <c r="L2421">
        <v>6206</v>
      </c>
      <c r="M2421">
        <v>6206</v>
      </c>
      <c r="N2421" t="s">
        <v>57</v>
      </c>
      <c r="O2421">
        <v>2025</v>
      </c>
    </row>
    <row r="2422" spans="1:15" x14ac:dyDescent="0.3">
      <c r="A2422" t="s">
        <v>2507</v>
      </c>
      <c r="B2422" t="s">
        <v>23</v>
      </c>
      <c r="C2422" t="s">
        <v>17</v>
      </c>
      <c r="D2422" t="s">
        <v>18</v>
      </c>
      <c r="E2422" t="s">
        <v>19</v>
      </c>
      <c r="F2422" s="1">
        <v>45603</v>
      </c>
      <c r="G2422">
        <v>1</v>
      </c>
      <c r="H2422">
        <v>67983.33</v>
      </c>
      <c r="I2422">
        <v>20</v>
      </c>
      <c r="J2422" t="s">
        <v>20</v>
      </c>
      <c r="K2422">
        <v>13596.67</v>
      </c>
      <c r="L2422">
        <v>67983.33</v>
      </c>
      <c r="M2422">
        <v>54386.66</v>
      </c>
      <c r="N2422" t="s">
        <v>96</v>
      </c>
      <c r="O2422">
        <v>2024</v>
      </c>
    </row>
    <row r="2423" spans="1:15" x14ac:dyDescent="0.3">
      <c r="A2423" t="s">
        <v>2508</v>
      </c>
      <c r="B2423" t="s">
        <v>43</v>
      </c>
      <c r="C2423" t="s">
        <v>17</v>
      </c>
      <c r="D2423" t="s">
        <v>18</v>
      </c>
      <c r="E2423" t="s">
        <v>19</v>
      </c>
      <c r="F2423" s="1">
        <v>45324</v>
      </c>
      <c r="G2423">
        <v>4</v>
      </c>
      <c r="H2423">
        <v>65461.63</v>
      </c>
      <c r="I2423">
        <v>20</v>
      </c>
      <c r="J2423" t="s">
        <v>36</v>
      </c>
      <c r="K2423">
        <v>52369.3</v>
      </c>
      <c r="L2423">
        <v>261846.52</v>
      </c>
      <c r="M2423">
        <v>209477.22</v>
      </c>
      <c r="N2423" t="s">
        <v>41</v>
      </c>
      <c r="O2423">
        <v>2024</v>
      </c>
    </row>
    <row r="2424" spans="1:15" x14ac:dyDescent="0.3">
      <c r="A2424" t="s">
        <v>2509</v>
      </c>
      <c r="B2424" t="s">
        <v>47</v>
      </c>
      <c r="C2424" t="s">
        <v>54</v>
      </c>
      <c r="D2424" t="s">
        <v>137</v>
      </c>
      <c r="E2424" t="s">
        <v>25</v>
      </c>
      <c r="F2424" s="1">
        <v>45933</v>
      </c>
      <c r="G2424">
        <v>10</v>
      </c>
      <c r="H2424">
        <v>1116.19</v>
      </c>
      <c r="I2424">
        <v>5</v>
      </c>
      <c r="J2424" t="s">
        <v>40</v>
      </c>
      <c r="K2424">
        <v>558.1</v>
      </c>
      <c r="L2424">
        <v>11161.9</v>
      </c>
      <c r="M2424">
        <v>10603.8</v>
      </c>
      <c r="N2424" t="s">
        <v>57</v>
      </c>
      <c r="O2424">
        <v>2025</v>
      </c>
    </row>
    <row r="2425" spans="1:15" x14ac:dyDescent="0.3">
      <c r="A2425" t="s">
        <v>2510</v>
      </c>
      <c r="B2425" t="s">
        <v>93</v>
      </c>
      <c r="C2425" t="s">
        <v>62</v>
      </c>
      <c r="D2425" t="s">
        <v>132</v>
      </c>
      <c r="E2425" t="s">
        <v>50</v>
      </c>
      <c r="F2425" s="1">
        <v>45646</v>
      </c>
      <c r="G2425">
        <v>4</v>
      </c>
      <c r="H2425">
        <v>3100.15</v>
      </c>
      <c r="I2425">
        <v>20</v>
      </c>
      <c r="J2425" t="s">
        <v>45</v>
      </c>
      <c r="K2425">
        <v>2480.12</v>
      </c>
      <c r="L2425">
        <v>12400.6</v>
      </c>
      <c r="M2425">
        <v>9920.48</v>
      </c>
      <c r="N2425" t="s">
        <v>51</v>
      </c>
      <c r="O2425">
        <v>2024</v>
      </c>
    </row>
    <row r="2426" spans="1:15" x14ac:dyDescent="0.3">
      <c r="A2426" t="s">
        <v>2511</v>
      </c>
      <c r="B2426" t="s">
        <v>109</v>
      </c>
      <c r="C2426" t="s">
        <v>62</v>
      </c>
      <c r="D2426" t="s">
        <v>63</v>
      </c>
      <c r="E2426" t="s">
        <v>19</v>
      </c>
      <c r="F2426" s="1">
        <v>45364</v>
      </c>
      <c r="G2426">
        <v>1</v>
      </c>
      <c r="H2426">
        <v>1646.7</v>
      </c>
      <c r="I2426">
        <v>15</v>
      </c>
      <c r="J2426" t="s">
        <v>31</v>
      </c>
      <c r="K2426">
        <v>247</v>
      </c>
      <c r="L2426">
        <v>1646.7</v>
      </c>
      <c r="M2426">
        <v>1399.7</v>
      </c>
      <c r="N2426" t="s">
        <v>83</v>
      </c>
      <c r="O2426">
        <v>2024</v>
      </c>
    </row>
    <row r="2427" spans="1:15" x14ac:dyDescent="0.3">
      <c r="A2427" t="s">
        <v>2512</v>
      </c>
      <c r="B2427" t="s">
        <v>109</v>
      </c>
      <c r="C2427" t="s">
        <v>54</v>
      </c>
      <c r="D2427" t="s">
        <v>77</v>
      </c>
      <c r="E2427" t="s">
        <v>30</v>
      </c>
      <c r="F2427" s="1">
        <v>45699</v>
      </c>
      <c r="G2427">
        <v>10</v>
      </c>
      <c r="H2427">
        <v>5035.59</v>
      </c>
      <c r="I2427">
        <v>20</v>
      </c>
      <c r="J2427" t="s">
        <v>26</v>
      </c>
      <c r="K2427">
        <v>10071.18</v>
      </c>
      <c r="L2427">
        <v>50355.9</v>
      </c>
      <c r="M2427">
        <v>40284.720000000001</v>
      </c>
      <c r="N2427" t="s">
        <v>41</v>
      </c>
      <c r="O2427">
        <v>2025</v>
      </c>
    </row>
    <row r="2428" spans="1:15" x14ac:dyDescent="0.3">
      <c r="A2428" t="s">
        <v>2513</v>
      </c>
      <c r="B2428" t="s">
        <v>65</v>
      </c>
      <c r="C2428" t="s">
        <v>17</v>
      </c>
      <c r="D2428" t="s">
        <v>18</v>
      </c>
      <c r="E2428" t="s">
        <v>56</v>
      </c>
      <c r="F2428" s="1">
        <v>45780</v>
      </c>
      <c r="G2428">
        <v>5</v>
      </c>
      <c r="H2428">
        <v>59216.44</v>
      </c>
      <c r="I2428">
        <v>5</v>
      </c>
      <c r="J2428" t="s">
        <v>71</v>
      </c>
      <c r="K2428">
        <v>14804.11</v>
      </c>
      <c r="L2428">
        <v>296082.2</v>
      </c>
      <c r="M2428">
        <v>281278.09000000003</v>
      </c>
      <c r="N2428" t="s">
        <v>101</v>
      </c>
      <c r="O2428">
        <v>2025</v>
      </c>
    </row>
    <row r="2429" spans="1:15" x14ac:dyDescent="0.3">
      <c r="A2429" t="s">
        <v>2514</v>
      </c>
      <c r="B2429" t="s">
        <v>43</v>
      </c>
      <c r="C2429" t="s">
        <v>90</v>
      </c>
      <c r="D2429" t="s">
        <v>91</v>
      </c>
      <c r="E2429" t="s">
        <v>30</v>
      </c>
      <c r="F2429" s="1">
        <v>45515</v>
      </c>
      <c r="G2429">
        <v>4</v>
      </c>
      <c r="H2429">
        <v>1563.85</v>
      </c>
      <c r="I2429">
        <v>10</v>
      </c>
      <c r="J2429" t="s">
        <v>36</v>
      </c>
      <c r="K2429">
        <v>625.54</v>
      </c>
      <c r="L2429">
        <v>6255.4</v>
      </c>
      <c r="M2429">
        <v>5629.86</v>
      </c>
      <c r="N2429" t="s">
        <v>21</v>
      </c>
      <c r="O2429">
        <v>2024</v>
      </c>
    </row>
    <row r="2430" spans="1:15" x14ac:dyDescent="0.3">
      <c r="A2430" t="s">
        <v>2515</v>
      </c>
      <c r="B2430" t="s">
        <v>16</v>
      </c>
      <c r="C2430" t="s">
        <v>62</v>
      </c>
      <c r="D2430" t="s">
        <v>132</v>
      </c>
      <c r="E2430" t="s">
        <v>19</v>
      </c>
      <c r="F2430" s="1">
        <v>45313</v>
      </c>
      <c r="G2430">
        <v>1</v>
      </c>
      <c r="H2430">
        <v>2495.39</v>
      </c>
      <c r="I2430">
        <v>15</v>
      </c>
      <c r="J2430" t="s">
        <v>20</v>
      </c>
      <c r="K2430">
        <v>374.31</v>
      </c>
      <c r="L2430">
        <v>2495.39</v>
      </c>
      <c r="M2430">
        <v>2121.08</v>
      </c>
      <c r="N2430" t="s">
        <v>116</v>
      </c>
      <c r="O2430">
        <v>2024</v>
      </c>
    </row>
    <row r="2431" spans="1:15" x14ac:dyDescent="0.3">
      <c r="A2431" t="s">
        <v>2516</v>
      </c>
      <c r="B2431" t="s">
        <v>33</v>
      </c>
      <c r="C2431" t="s">
        <v>90</v>
      </c>
      <c r="D2431" t="s">
        <v>107</v>
      </c>
      <c r="E2431" t="s">
        <v>19</v>
      </c>
      <c r="F2431" s="1">
        <v>45515</v>
      </c>
      <c r="G2431">
        <v>3</v>
      </c>
      <c r="H2431">
        <v>12698.65</v>
      </c>
      <c r="I2431">
        <v>0</v>
      </c>
      <c r="J2431" t="s">
        <v>26</v>
      </c>
      <c r="K2431">
        <v>0</v>
      </c>
      <c r="L2431">
        <v>38095.949999999997</v>
      </c>
      <c r="M2431">
        <v>38095.949999999997</v>
      </c>
      <c r="N2431" t="s">
        <v>21</v>
      </c>
      <c r="O2431">
        <v>2024</v>
      </c>
    </row>
    <row r="2432" spans="1:15" x14ac:dyDescent="0.3">
      <c r="A2432" t="s">
        <v>2517</v>
      </c>
      <c r="B2432" t="s">
        <v>29</v>
      </c>
      <c r="C2432" t="s">
        <v>17</v>
      </c>
      <c r="D2432" t="s">
        <v>157</v>
      </c>
      <c r="E2432" t="s">
        <v>56</v>
      </c>
      <c r="F2432" s="1">
        <v>45553</v>
      </c>
      <c r="G2432">
        <v>3</v>
      </c>
      <c r="H2432">
        <v>7872.98</v>
      </c>
      <c r="I2432">
        <v>5</v>
      </c>
      <c r="J2432" t="s">
        <v>45</v>
      </c>
      <c r="K2432">
        <v>1180.95</v>
      </c>
      <c r="L2432">
        <v>23618.94</v>
      </c>
      <c r="M2432">
        <v>22437.99</v>
      </c>
      <c r="N2432" t="s">
        <v>86</v>
      </c>
      <c r="O2432">
        <v>2024</v>
      </c>
    </row>
    <row r="2433" spans="1:15" x14ac:dyDescent="0.3">
      <c r="A2433" t="s">
        <v>2518</v>
      </c>
      <c r="B2433" t="s">
        <v>89</v>
      </c>
      <c r="C2433" t="s">
        <v>62</v>
      </c>
      <c r="D2433" t="s">
        <v>95</v>
      </c>
      <c r="E2433" t="s">
        <v>81</v>
      </c>
      <c r="F2433" s="1">
        <v>45480</v>
      </c>
      <c r="G2433">
        <v>10</v>
      </c>
      <c r="H2433">
        <v>732.23</v>
      </c>
      <c r="I2433">
        <v>5</v>
      </c>
      <c r="J2433" t="s">
        <v>40</v>
      </c>
      <c r="K2433">
        <v>366.12</v>
      </c>
      <c r="L2433">
        <v>7322.3</v>
      </c>
      <c r="M2433">
        <v>6956.18</v>
      </c>
      <c r="N2433" t="s">
        <v>122</v>
      </c>
      <c r="O2433">
        <v>2024</v>
      </c>
    </row>
    <row r="2434" spans="1:15" x14ac:dyDescent="0.3">
      <c r="A2434" t="s">
        <v>2519</v>
      </c>
      <c r="B2434" t="s">
        <v>29</v>
      </c>
      <c r="C2434" t="s">
        <v>54</v>
      </c>
      <c r="D2434" t="s">
        <v>55</v>
      </c>
      <c r="E2434" t="s">
        <v>44</v>
      </c>
      <c r="F2434" s="1">
        <v>45607</v>
      </c>
      <c r="G2434">
        <v>6</v>
      </c>
      <c r="H2434">
        <v>1470.48</v>
      </c>
      <c r="I2434">
        <v>0</v>
      </c>
      <c r="J2434" t="s">
        <v>20</v>
      </c>
      <c r="K2434">
        <v>0</v>
      </c>
      <c r="L2434">
        <v>8822.8799999999992</v>
      </c>
      <c r="M2434">
        <v>8822.8799999999992</v>
      </c>
      <c r="N2434" t="s">
        <v>96</v>
      </c>
      <c r="O2434">
        <v>2024</v>
      </c>
    </row>
    <row r="2435" spans="1:15" x14ac:dyDescent="0.3">
      <c r="A2435" t="s">
        <v>2520</v>
      </c>
      <c r="B2435" t="s">
        <v>93</v>
      </c>
      <c r="C2435" t="s">
        <v>17</v>
      </c>
      <c r="D2435" t="s">
        <v>18</v>
      </c>
      <c r="E2435" t="s">
        <v>25</v>
      </c>
      <c r="F2435" s="1">
        <v>45985</v>
      </c>
      <c r="G2435">
        <v>1</v>
      </c>
      <c r="H2435">
        <v>70716.53</v>
      </c>
      <c r="I2435">
        <v>0</v>
      </c>
      <c r="J2435" t="s">
        <v>31</v>
      </c>
      <c r="K2435">
        <v>0</v>
      </c>
      <c r="L2435">
        <v>70716.53</v>
      </c>
      <c r="M2435">
        <v>70716.53</v>
      </c>
      <c r="N2435" t="s">
        <v>96</v>
      </c>
      <c r="O2435">
        <v>2025</v>
      </c>
    </row>
    <row r="2436" spans="1:15" x14ac:dyDescent="0.3">
      <c r="A2436" t="s">
        <v>2521</v>
      </c>
      <c r="B2436" t="s">
        <v>114</v>
      </c>
      <c r="C2436" t="s">
        <v>54</v>
      </c>
      <c r="D2436" t="s">
        <v>77</v>
      </c>
      <c r="E2436" t="s">
        <v>56</v>
      </c>
      <c r="F2436" s="1">
        <v>45540</v>
      </c>
      <c r="G2436">
        <v>1</v>
      </c>
      <c r="H2436">
        <v>4689.33</v>
      </c>
      <c r="I2436">
        <v>0</v>
      </c>
      <c r="J2436" t="s">
        <v>40</v>
      </c>
      <c r="K2436">
        <v>0</v>
      </c>
      <c r="L2436">
        <v>4689.33</v>
      </c>
      <c r="M2436">
        <v>4689.33</v>
      </c>
      <c r="N2436" t="s">
        <v>86</v>
      </c>
      <c r="O2436">
        <v>2024</v>
      </c>
    </row>
    <row r="2437" spans="1:15" x14ac:dyDescent="0.3">
      <c r="A2437" t="s">
        <v>2522</v>
      </c>
      <c r="B2437" t="s">
        <v>23</v>
      </c>
      <c r="C2437" t="s">
        <v>17</v>
      </c>
      <c r="D2437" t="s">
        <v>157</v>
      </c>
      <c r="E2437" t="s">
        <v>56</v>
      </c>
      <c r="F2437" s="1">
        <v>45431</v>
      </c>
      <c r="G2437">
        <v>10</v>
      </c>
      <c r="H2437">
        <v>7923.16</v>
      </c>
      <c r="I2437">
        <v>10</v>
      </c>
      <c r="J2437" t="s">
        <v>20</v>
      </c>
      <c r="K2437">
        <v>7923.16</v>
      </c>
      <c r="L2437">
        <v>79231.600000000006</v>
      </c>
      <c r="M2437">
        <v>71308.44</v>
      </c>
      <c r="N2437" t="s">
        <v>101</v>
      </c>
      <c r="O2437">
        <v>2024</v>
      </c>
    </row>
    <row r="2438" spans="1:15" x14ac:dyDescent="0.3">
      <c r="A2438" t="s">
        <v>2523</v>
      </c>
      <c r="B2438" t="s">
        <v>33</v>
      </c>
      <c r="C2438" t="s">
        <v>62</v>
      </c>
      <c r="D2438" t="s">
        <v>99</v>
      </c>
      <c r="E2438" t="s">
        <v>44</v>
      </c>
      <c r="F2438" s="1">
        <v>45623</v>
      </c>
      <c r="G2438">
        <v>10</v>
      </c>
      <c r="H2438">
        <v>1840.04</v>
      </c>
      <c r="I2438">
        <v>0</v>
      </c>
      <c r="J2438" t="s">
        <v>71</v>
      </c>
      <c r="K2438">
        <v>0</v>
      </c>
      <c r="L2438">
        <v>18400.400000000001</v>
      </c>
      <c r="M2438">
        <v>18400.400000000001</v>
      </c>
      <c r="N2438" t="s">
        <v>96</v>
      </c>
      <c r="O2438">
        <v>2024</v>
      </c>
    </row>
    <row r="2439" spans="1:15" x14ac:dyDescent="0.3">
      <c r="A2439" t="s">
        <v>2524</v>
      </c>
      <c r="B2439" t="s">
        <v>16</v>
      </c>
      <c r="C2439" t="s">
        <v>34</v>
      </c>
      <c r="D2439" t="s">
        <v>66</v>
      </c>
      <c r="E2439" t="s">
        <v>81</v>
      </c>
      <c r="F2439" s="1">
        <v>45611</v>
      </c>
      <c r="G2439">
        <v>3</v>
      </c>
      <c r="H2439">
        <v>43947.65</v>
      </c>
      <c r="I2439">
        <v>5</v>
      </c>
      <c r="J2439" t="s">
        <v>31</v>
      </c>
      <c r="K2439">
        <v>6592.15</v>
      </c>
      <c r="L2439">
        <v>131842.95000000001</v>
      </c>
      <c r="M2439">
        <v>125250.8</v>
      </c>
      <c r="N2439" t="s">
        <v>96</v>
      </c>
      <c r="O2439">
        <v>2024</v>
      </c>
    </row>
    <row r="2440" spans="1:15" x14ac:dyDescent="0.3">
      <c r="A2440" t="s">
        <v>2525</v>
      </c>
      <c r="B2440" t="s">
        <v>61</v>
      </c>
      <c r="C2440" t="s">
        <v>34</v>
      </c>
      <c r="D2440" t="s">
        <v>35</v>
      </c>
      <c r="E2440" t="s">
        <v>44</v>
      </c>
      <c r="F2440" s="1">
        <v>45300</v>
      </c>
      <c r="G2440">
        <v>3</v>
      </c>
      <c r="H2440">
        <v>25359.83</v>
      </c>
      <c r="I2440">
        <v>10</v>
      </c>
      <c r="J2440" t="s">
        <v>36</v>
      </c>
      <c r="K2440">
        <v>7607.95</v>
      </c>
      <c r="L2440">
        <v>76079.490000000005</v>
      </c>
      <c r="M2440">
        <v>68471.539999999994</v>
      </c>
      <c r="N2440" t="s">
        <v>116</v>
      </c>
      <c r="O2440">
        <v>2024</v>
      </c>
    </row>
    <row r="2441" spans="1:15" x14ac:dyDescent="0.3">
      <c r="A2441" t="s">
        <v>2526</v>
      </c>
      <c r="B2441" t="s">
        <v>47</v>
      </c>
      <c r="C2441" t="s">
        <v>54</v>
      </c>
      <c r="D2441" t="s">
        <v>55</v>
      </c>
      <c r="E2441" t="s">
        <v>19</v>
      </c>
      <c r="F2441" s="1">
        <v>45766</v>
      </c>
      <c r="G2441">
        <v>1</v>
      </c>
      <c r="H2441">
        <v>1288.47</v>
      </c>
      <c r="I2441">
        <v>5</v>
      </c>
      <c r="J2441" t="s">
        <v>71</v>
      </c>
      <c r="K2441">
        <v>64.42</v>
      </c>
      <c r="L2441">
        <v>1288.47</v>
      </c>
      <c r="M2441">
        <v>1224.05</v>
      </c>
      <c r="N2441" t="s">
        <v>27</v>
      </c>
      <c r="O2441">
        <v>2025</v>
      </c>
    </row>
    <row r="2442" spans="1:15" x14ac:dyDescent="0.3">
      <c r="A2442" t="s">
        <v>2527</v>
      </c>
      <c r="B2442" t="s">
        <v>47</v>
      </c>
      <c r="C2442" t="s">
        <v>17</v>
      </c>
      <c r="D2442" t="s">
        <v>157</v>
      </c>
      <c r="E2442" t="s">
        <v>25</v>
      </c>
      <c r="F2442" s="1">
        <v>45457</v>
      </c>
      <c r="G2442">
        <v>4</v>
      </c>
      <c r="H2442">
        <v>7548.96</v>
      </c>
      <c r="I2442">
        <v>20</v>
      </c>
      <c r="J2442" t="s">
        <v>45</v>
      </c>
      <c r="K2442">
        <v>6039.17</v>
      </c>
      <c r="L2442">
        <v>30195.84</v>
      </c>
      <c r="M2442">
        <v>24156.67</v>
      </c>
      <c r="N2442" t="s">
        <v>72</v>
      </c>
      <c r="O2442">
        <v>2024</v>
      </c>
    </row>
    <row r="2443" spans="1:15" x14ac:dyDescent="0.3">
      <c r="A2443" t="s">
        <v>2528</v>
      </c>
      <c r="B2443" t="s">
        <v>29</v>
      </c>
      <c r="C2443" t="s">
        <v>17</v>
      </c>
      <c r="D2443" t="s">
        <v>59</v>
      </c>
      <c r="E2443" t="s">
        <v>56</v>
      </c>
      <c r="F2443" s="1">
        <v>45393</v>
      </c>
      <c r="G2443">
        <v>10</v>
      </c>
      <c r="H2443">
        <v>27034.73</v>
      </c>
      <c r="I2443">
        <v>5</v>
      </c>
      <c r="J2443" t="s">
        <v>36</v>
      </c>
      <c r="K2443">
        <v>13517.36</v>
      </c>
      <c r="L2443">
        <v>270347.3</v>
      </c>
      <c r="M2443">
        <v>256829.94</v>
      </c>
      <c r="N2443" t="s">
        <v>27</v>
      </c>
      <c r="O2443">
        <v>2024</v>
      </c>
    </row>
    <row r="2444" spans="1:15" x14ac:dyDescent="0.3">
      <c r="A2444" t="s">
        <v>2529</v>
      </c>
      <c r="B2444" t="s">
        <v>114</v>
      </c>
      <c r="C2444" t="s">
        <v>17</v>
      </c>
      <c r="D2444" t="s">
        <v>39</v>
      </c>
      <c r="E2444" t="s">
        <v>81</v>
      </c>
      <c r="F2444" s="1">
        <v>45826</v>
      </c>
      <c r="G2444">
        <v>10</v>
      </c>
      <c r="H2444">
        <v>20294.37</v>
      </c>
      <c r="I2444">
        <v>0</v>
      </c>
      <c r="J2444" t="s">
        <v>82</v>
      </c>
      <c r="K2444">
        <v>0</v>
      </c>
      <c r="L2444">
        <v>202943.7</v>
      </c>
      <c r="M2444">
        <v>202943.7</v>
      </c>
      <c r="N2444" t="s">
        <v>72</v>
      </c>
      <c r="O2444">
        <v>2025</v>
      </c>
    </row>
    <row r="2445" spans="1:15" x14ac:dyDescent="0.3">
      <c r="A2445" t="s">
        <v>2530</v>
      </c>
      <c r="B2445" t="s">
        <v>47</v>
      </c>
      <c r="C2445" t="s">
        <v>62</v>
      </c>
      <c r="D2445" t="s">
        <v>132</v>
      </c>
      <c r="E2445" t="s">
        <v>56</v>
      </c>
      <c r="F2445" s="1">
        <v>45406</v>
      </c>
      <c r="G2445">
        <v>9</v>
      </c>
      <c r="H2445">
        <v>2522.83</v>
      </c>
      <c r="I2445">
        <v>20</v>
      </c>
      <c r="J2445" t="s">
        <v>82</v>
      </c>
      <c r="K2445">
        <v>4541.09</v>
      </c>
      <c r="L2445">
        <v>22705.47</v>
      </c>
      <c r="M2445">
        <v>18164.38</v>
      </c>
      <c r="N2445" t="s">
        <v>27</v>
      </c>
      <c r="O2445">
        <v>2024</v>
      </c>
    </row>
    <row r="2446" spans="1:15" x14ac:dyDescent="0.3">
      <c r="A2446" t="s">
        <v>2531</v>
      </c>
      <c r="B2446" t="s">
        <v>65</v>
      </c>
      <c r="C2446" t="s">
        <v>62</v>
      </c>
      <c r="D2446" t="s">
        <v>119</v>
      </c>
      <c r="E2446" t="s">
        <v>81</v>
      </c>
      <c r="F2446" s="1">
        <v>45894</v>
      </c>
      <c r="G2446">
        <v>6</v>
      </c>
      <c r="H2446">
        <v>3647.85</v>
      </c>
      <c r="I2446">
        <v>15</v>
      </c>
      <c r="J2446" t="s">
        <v>82</v>
      </c>
      <c r="K2446">
        <v>3283.06</v>
      </c>
      <c r="L2446">
        <v>21887.1</v>
      </c>
      <c r="M2446">
        <v>18604.04</v>
      </c>
      <c r="N2446" t="s">
        <v>21</v>
      </c>
      <c r="O2446">
        <v>2025</v>
      </c>
    </row>
    <row r="2447" spans="1:15" x14ac:dyDescent="0.3">
      <c r="A2447" t="s">
        <v>2532</v>
      </c>
      <c r="B2447" t="s">
        <v>16</v>
      </c>
      <c r="C2447" t="s">
        <v>90</v>
      </c>
      <c r="D2447" t="s">
        <v>107</v>
      </c>
      <c r="E2447" t="s">
        <v>30</v>
      </c>
      <c r="F2447" s="1">
        <v>45682</v>
      </c>
      <c r="G2447">
        <v>9</v>
      </c>
      <c r="H2447">
        <v>12350.29</v>
      </c>
      <c r="I2447">
        <v>0</v>
      </c>
      <c r="J2447" t="s">
        <v>82</v>
      </c>
      <c r="K2447">
        <v>0</v>
      </c>
      <c r="L2447">
        <v>111152.61</v>
      </c>
      <c r="M2447">
        <v>111152.61</v>
      </c>
      <c r="N2447" t="s">
        <v>116</v>
      </c>
      <c r="O2447">
        <v>2025</v>
      </c>
    </row>
    <row r="2448" spans="1:15" x14ac:dyDescent="0.3">
      <c r="A2448" t="s">
        <v>2533</v>
      </c>
      <c r="B2448" t="s">
        <v>89</v>
      </c>
      <c r="C2448" t="s">
        <v>62</v>
      </c>
      <c r="D2448" t="s">
        <v>63</v>
      </c>
      <c r="E2448" t="s">
        <v>81</v>
      </c>
      <c r="F2448" s="1">
        <v>45360</v>
      </c>
      <c r="G2448">
        <v>9</v>
      </c>
      <c r="H2448">
        <v>2060.59</v>
      </c>
      <c r="I2448">
        <v>20</v>
      </c>
      <c r="J2448" t="s">
        <v>20</v>
      </c>
      <c r="K2448">
        <v>3709.06</v>
      </c>
      <c r="L2448">
        <v>18545.310000000001</v>
      </c>
      <c r="M2448">
        <v>14836.25</v>
      </c>
      <c r="N2448" t="s">
        <v>83</v>
      </c>
      <c r="O2448">
        <v>2024</v>
      </c>
    </row>
    <row r="2449" spans="1:15" x14ac:dyDescent="0.3">
      <c r="A2449" t="s">
        <v>2534</v>
      </c>
      <c r="B2449" t="s">
        <v>114</v>
      </c>
      <c r="C2449" t="s">
        <v>34</v>
      </c>
      <c r="D2449" t="s">
        <v>66</v>
      </c>
      <c r="E2449" t="s">
        <v>81</v>
      </c>
      <c r="F2449" s="1">
        <v>45468</v>
      </c>
      <c r="G2449">
        <v>9</v>
      </c>
      <c r="H2449">
        <v>38761.11</v>
      </c>
      <c r="I2449">
        <v>10</v>
      </c>
      <c r="J2449" t="s">
        <v>71</v>
      </c>
      <c r="K2449">
        <v>34885</v>
      </c>
      <c r="L2449">
        <v>348849.99</v>
      </c>
      <c r="M2449">
        <v>313964.99</v>
      </c>
      <c r="N2449" t="s">
        <v>72</v>
      </c>
      <c r="O2449">
        <v>2024</v>
      </c>
    </row>
    <row r="2450" spans="1:15" x14ac:dyDescent="0.3">
      <c r="A2450" t="s">
        <v>2535</v>
      </c>
      <c r="B2450" t="s">
        <v>65</v>
      </c>
      <c r="C2450" t="s">
        <v>17</v>
      </c>
      <c r="D2450" t="s">
        <v>18</v>
      </c>
      <c r="E2450" t="s">
        <v>50</v>
      </c>
      <c r="F2450" s="1">
        <v>45780</v>
      </c>
      <c r="G2450">
        <v>3</v>
      </c>
      <c r="H2450">
        <v>58519.81</v>
      </c>
      <c r="I2450">
        <v>5</v>
      </c>
      <c r="J2450" t="s">
        <v>36</v>
      </c>
      <c r="K2450">
        <v>8777.9699999999993</v>
      </c>
      <c r="L2450">
        <v>175559.43</v>
      </c>
      <c r="M2450">
        <v>166781.46</v>
      </c>
      <c r="N2450" t="s">
        <v>101</v>
      </c>
      <c r="O2450">
        <v>2025</v>
      </c>
    </row>
    <row r="2451" spans="1:15" x14ac:dyDescent="0.3">
      <c r="A2451" t="s">
        <v>2536</v>
      </c>
      <c r="B2451" t="s">
        <v>93</v>
      </c>
      <c r="C2451" t="s">
        <v>54</v>
      </c>
      <c r="D2451" t="s">
        <v>55</v>
      </c>
      <c r="E2451" t="s">
        <v>19</v>
      </c>
      <c r="F2451" s="1">
        <v>45932</v>
      </c>
      <c r="G2451">
        <v>4</v>
      </c>
      <c r="H2451">
        <v>1232.6400000000001</v>
      </c>
      <c r="I2451">
        <v>5</v>
      </c>
      <c r="J2451" t="s">
        <v>36</v>
      </c>
      <c r="K2451">
        <v>246.53</v>
      </c>
      <c r="L2451">
        <v>4930.5600000000004</v>
      </c>
      <c r="M2451">
        <v>4684.03</v>
      </c>
      <c r="N2451" t="s">
        <v>57</v>
      </c>
      <c r="O2451">
        <v>2025</v>
      </c>
    </row>
    <row r="2452" spans="1:15" x14ac:dyDescent="0.3">
      <c r="A2452" t="s">
        <v>2537</v>
      </c>
      <c r="B2452" t="s">
        <v>47</v>
      </c>
      <c r="C2452" t="s">
        <v>17</v>
      </c>
      <c r="D2452" t="s">
        <v>39</v>
      </c>
      <c r="E2452" t="s">
        <v>19</v>
      </c>
      <c r="F2452" s="1">
        <v>45790</v>
      </c>
      <c r="G2452">
        <v>5</v>
      </c>
      <c r="H2452">
        <v>19146.75</v>
      </c>
      <c r="I2452">
        <v>5</v>
      </c>
      <c r="J2452" t="s">
        <v>40</v>
      </c>
      <c r="K2452">
        <v>4786.6899999999996</v>
      </c>
      <c r="L2452">
        <v>95733.75</v>
      </c>
      <c r="M2452">
        <v>90947.06</v>
      </c>
      <c r="N2452" t="s">
        <v>101</v>
      </c>
      <c r="O2452">
        <v>2025</v>
      </c>
    </row>
    <row r="2453" spans="1:15" x14ac:dyDescent="0.3">
      <c r="A2453" t="s">
        <v>2538</v>
      </c>
      <c r="B2453" t="s">
        <v>47</v>
      </c>
      <c r="C2453" t="s">
        <v>54</v>
      </c>
      <c r="D2453" t="s">
        <v>70</v>
      </c>
      <c r="E2453" t="s">
        <v>56</v>
      </c>
      <c r="F2453" s="1">
        <v>45883</v>
      </c>
      <c r="G2453">
        <v>10</v>
      </c>
      <c r="H2453">
        <v>2694.09</v>
      </c>
      <c r="I2453">
        <v>0</v>
      </c>
      <c r="J2453" t="s">
        <v>45</v>
      </c>
      <c r="K2453">
        <v>0</v>
      </c>
      <c r="L2453">
        <v>26940.9</v>
      </c>
      <c r="M2453">
        <v>26940.9</v>
      </c>
      <c r="N2453" t="s">
        <v>21</v>
      </c>
      <c r="O2453">
        <v>2025</v>
      </c>
    </row>
    <row r="2454" spans="1:15" x14ac:dyDescent="0.3">
      <c r="A2454" t="s">
        <v>2539</v>
      </c>
      <c r="B2454" t="s">
        <v>53</v>
      </c>
      <c r="C2454" t="s">
        <v>34</v>
      </c>
      <c r="D2454" t="s">
        <v>80</v>
      </c>
      <c r="E2454" t="s">
        <v>25</v>
      </c>
      <c r="F2454" s="1">
        <v>45343</v>
      </c>
      <c r="G2454">
        <v>5</v>
      </c>
      <c r="H2454">
        <v>6805.66</v>
      </c>
      <c r="I2454">
        <v>5</v>
      </c>
      <c r="J2454" t="s">
        <v>20</v>
      </c>
      <c r="K2454">
        <v>1701.42</v>
      </c>
      <c r="L2454">
        <v>34028.300000000003</v>
      </c>
      <c r="M2454">
        <v>32326.880000000001</v>
      </c>
      <c r="N2454" t="s">
        <v>41</v>
      </c>
      <c r="O2454">
        <v>2024</v>
      </c>
    </row>
    <row r="2455" spans="1:15" x14ac:dyDescent="0.3">
      <c r="A2455" t="s">
        <v>2540</v>
      </c>
      <c r="B2455" t="s">
        <v>53</v>
      </c>
      <c r="C2455" t="s">
        <v>34</v>
      </c>
      <c r="D2455" t="s">
        <v>85</v>
      </c>
      <c r="E2455" t="s">
        <v>30</v>
      </c>
      <c r="F2455" s="1">
        <v>45801</v>
      </c>
      <c r="G2455">
        <v>6</v>
      </c>
      <c r="H2455">
        <v>13351.46</v>
      </c>
      <c r="I2455">
        <v>5</v>
      </c>
      <c r="J2455" t="s">
        <v>71</v>
      </c>
      <c r="K2455">
        <v>4005.44</v>
      </c>
      <c r="L2455">
        <v>80108.759999999995</v>
      </c>
      <c r="M2455">
        <v>76103.320000000007</v>
      </c>
      <c r="N2455" t="s">
        <v>101</v>
      </c>
      <c r="O2455">
        <v>2025</v>
      </c>
    </row>
    <row r="2456" spans="1:15" x14ac:dyDescent="0.3">
      <c r="A2456" t="s">
        <v>2541</v>
      </c>
      <c r="B2456" t="s">
        <v>33</v>
      </c>
      <c r="C2456" t="s">
        <v>17</v>
      </c>
      <c r="D2456" t="s">
        <v>59</v>
      </c>
      <c r="E2456" t="s">
        <v>30</v>
      </c>
      <c r="F2456" s="1">
        <v>45334</v>
      </c>
      <c r="G2456">
        <v>3</v>
      </c>
      <c r="H2456">
        <v>25645.86</v>
      </c>
      <c r="I2456">
        <v>15</v>
      </c>
      <c r="J2456" t="s">
        <v>20</v>
      </c>
      <c r="K2456">
        <v>11540.64</v>
      </c>
      <c r="L2456">
        <v>76937.58</v>
      </c>
      <c r="M2456">
        <v>65396.94</v>
      </c>
      <c r="N2456" t="s">
        <v>41</v>
      </c>
      <c r="O2456">
        <v>2024</v>
      </c>
    </row>
    <row r="2457" spans="1:15" x14ac:dyDescent="0.3">
      <c r="A2457" t="s">
        <v>2542</v>
      </c>
      <c r="B2457" t="s">
        <v>23</v>
      </c>
      <c r="C2457" t="s">
        <v>62</v>
      </c>
      <c r="D2457" t="s">
        <v>95</v>
      </c>
      <c r="E2457" t="s">
        <v>19</v>
      </c>
      <c r="F2457" s="1">
        <v>45493</v>
      </c>
      <c r="G2457">
        <v>1</v>
      </c>
      <c r="H2457">
        <v>856.44</v>
      </c>
      <c r="I2457">
        <v>0</v>
      </c>
      <c r="J2457" t="s">
        <v>31</v>
      </c>
      <c r="K2457">
        <v>0</v>
      </c>
      <c r="L2457">
        <v>856.44</v>
      </c>
      <c r="M2457">
        <v>856.44</v>
      </c>
      <c r="N2457" t="s">
        <v>122</v>
      </c>
      <c r="O2457">
        <v>2024</v>
      </c>
    </row>
    <row r="2458" spans="1:15" x14ac:dyDescent="0.3">
      <c r="A2458" t="s">
        <v>2543</v>
      </c>
      <c r="B2458" t="s">
        <v>29</v>
      </c>
      <c r="C2458" t="s">
        <v>62</v>
      </c>
      <c r="D2458" t="s">
        <v>132</v>
      </c>
      <c r="E2458" t="s">
        <v>44</v>
      </c>
      <c r="F2458" s="1">
        <v>45759</v>
      </c>
      <c r="G2458">
        <v>8</v>
      </c>
      <c r="H2458">
        <v>2472.41</v>
      </c>
      <c r="I2458">
        <v>20</v>
      </c>
      <c r="J2458" t="s">
        <v>71</v>
      </c>
      <c r="K2458">
        <v>3955.86</v>
      </c>
      <c r="L2458">
        <v>19779.28</v>
      </c>
      <c r="M2458">
        <v>15823.42</v>
      </c>
      <c r="N2458" t="s">
        <v>27</v>
      </c>
      <c r="O2458">
        <v>2025</v>
      </c>
    </row>
    <row r="2459" spans="1:15" x14ac:dyDescent="0.3">
      <c r="A2459" t="s">
        <v>2544</v>
      </c>
      <c r="B2459" t="s">
        <v>65</v>
      </c>
      <c r="C2459" t="s">
        <v>17</v>
      </c>
      <c r="D2459" t="s">
        <v>24</v>
      </c>
      <c r="E2459" t="s">
        <v>50</v>
      </c>
      <c r="F2459" s="1">
        <v>45364</v>
      </c>
      <c r="G2459">
        <v>1</v>
      </c>
      <c r="H2459">
        <v>3188.82</v>
      </c>
      <c r="I2459">
        <v>20</v>
      </c>
      <c r="J2459" t="s">
        <v>36</v>
      </c>
      <c r="K2459">
        <v>637.76</v>
      </c>
      <c r="L2459">
        <v>3188.82</v>
      </c>
      <c r="M2459">
        <v>2551.06</v>
      </c>
      <c r="N2459" t="s">
        <v>83</v>
      </c>
      <c r="O2459">
        <v>2024</v>
      </c>
    </row>
    <row r="2460" spans="1:15" x14ac:dyDescent="0.3">
      <c r="A2460" t="s">
        <v>2545</v>
      </c>
      <c r="B2460" t="s">
        <v>61</v>
      </c>
      <c r="C2460" t="s">
        <v>17</v>
      </c>
      <c r="D2460" t="s">
        <v>157</v>
      </c>
      <c r="E2460" t="s">
        <v>44</v>
      </c>
      <c r="F2460" s="1">
        <v>45772</v>
      </c>
      <c r="G2460">
        <v>5</v>
      </c>
      <c r="H2460">
        <v>6961.71</v>
      </c>
      <c r="I2460">
        <v>20</v>
      </c>
      <c r="J2460" t="s">
        <v>82</v>
      </c>
      <c r="K2460">
        <v>6961.71</v>
      </c>
      <c r="L2460">
        <v>34808.550000000003</v>
      </c>
      <c r="M2460">
        <v>27846.84</v>
      </c>
      <c r="N2460" t="s">
        <v>27</v>
      </c>
      <c r="O2460">
        <v>2025</v>
      </c>
    </row>
    <row r="2461" spans="1:15" x14ac:dyDescent="0.3">
      <c r="A2461" t="s">
        <v>2546</v>
      </c>
      <c r="B2461" t="s">
        <v>93</v>
      </c>
      <c r="C2461" t="s">
        <v>17</v>
      </c>
      <c r="D2461" t="s">
        <v>59</v>
      </c>
      <c r="E2461" t="s">
        <v>30</v>
      </c>
      <c r="F2461" s="1">
        <v>45414</v>
      </c>
      <c r="G2461">
        <v>1</v>
      </c>
      <c r="H2461">
        <v>24147.94</v>
      </c>
      <c r="I2461">
        <v>20</v>
      </c>
      <c r="J2461" t="s">
        <v>20</v>
      </c>
      <c r="K2461">
        <v>4829.59</v>
      </c>
      <c r="L2461">
        <v>24147.94</v>
      </c>
      <c r="M2461">
        <v>19318.349999999999</v>
      </c>
      <c r="N2461" t="s">
        <v>101</v>
      </c>
      <c r="O2461">
        <v>2024</v>
      </c>
    </row>
    <row r="2462" spans="1:15" x14ac:dyDescent="0.3">
      <c r="A2462" t="s">
        <v>2547</v>
      </c>
      <c r="B2462" t="s">
        <v>93</v>
      </c>
      <c r="C2462" t="s">
        <v>62</v>
      </c>
      <c r="D2462" t="s">
        <v>95</v>
      </c>
      <c r="E2462" t="s">
        <v>56</v>
      </c>
      <c r="F2462" s="1">
        <v>45458</v>
      </c>
      <c r="G2462">
        <v>3</v>
      </c>
      <c r="H2462">
        <v>833.5</v>
      </c>
      <c r="I2462">
        <v>5</v>
      </c>
      <c r="J2462" t="s">
        <v>31</v>
      </c>
      <c r="K2462">
        <v>125.03</v>
      </c>
      <c r="L2462">
        <v>2500.5</v>
      </c>
      <c r="M2462">
        <v>2375.4699999999998</v>
      </c>
      <c r="N2462" t="s">
        <v>72</v>
      </c>
      <c r="O2462">
        <v>2024</v>
      </c>
    </row>
    <row r="2463" spans="1:15" x14ac:dyDescent="0.3">
      <c r="A2463" t="s">
        <v>2548</v>
      </c>
      <c r="B2463" t="s">
        <v>89</v>
      </c>
      <c r="C2463" t="s">
        <v>17</v>
      </c>
      <c r="D2463" t="s">
        <v>157</v>
      </c>
      <c r="E2463" t="s">
        <v>25</v>
      </c>
      <c r="F2463" s="1">
        <v>45667</v>
      </c>
      <c r="G2463">
        <v>7</v>
      </c>
      <c r="H2463">
        <v>7275.07</v>
      </c>
      <c r="I2463">
        <v>10</v>
      </c>
      <c r="J2463" t="s">
        <v>26</v>
      </c>
      <c r="K2463">
        <v>5092.55</v>
      </c>
      <c r="L2463">
        <v>50925.49</v>
      </c>
      <c r="M2463">
        <v>45832.94</v>
      </c>
      <c r="N2463" t="s">
        <v>116</v>
      </c>
      <c r="O2463">
        <v>2025</v>
      </c>
    </row>
    <row r="2464" spans="1:15" x14ac:dyDescent="0.3">
      <c r="A2464" t="s">
        <v>2549</v>
      </c>
      <c r="B2464" t="s">
        <v>89</v>
      </c>
      <c r="C2464" t="s">
        <v>90</v>
      </c>
      <c r="D2464" t="s">
        <v>152</v>
      </c>
      <c r="E2464" t="s">
        <v>44</v>
      </c>
      <c r="F2464" s="1">
        <v>45684</v>
      </c>
      <c r="G2464">
        <v>4</v>
      </c>
      <c r="H2464">
        <v>10751.07</v>
      </c>
      <c r="I2464">
        <v>5</v>
      </c>
      <c r="J2464" t="s">
        <v>26</v>
      </c>
      <c r="K2464">
        <v>2150.21</v>
      </c>
      <c r="L2464">
        <v>43004.28</v>
      </c>
      <c r="M2464">
        <v>40854.07</v>
      </c>
      <c r="N2464" t="s">
        <v>116</v>
      </c>
      <c r="O2464">
        <v>2025</v>
      </c>
    </row>
    <row r="2465" spans="1:15" x14ac:dyDescent="0.3">
      <c r="A2465" t="s">
        <v>2550</v>
      </c>
      <c r="B2465" t="s">
        <v>65</v>
      </c>
      <c r="C2465" t="s">
        <v>17</v>
      </c>
      <c r="D2465" t="s">
        <v>24</v>
      </c>
      <c r="E2465" t="s">
        <v>44</v>
      </c>
      <c r="F2465" s="1">
        <v>45662</v>
      </c>
      <c r="G2465">
        <v>6</v>
      </c>
      <c r="H2465">
        <v>2745.33</v>
      </c>
      <c r="I2465">
        <v>20</v>
      </c>
      <c r="J2465" t="s">
        <v>31</v>
      </c>
      <c r="K2465">
        <v>3294.4</v>
      </c>
      <c r="L2465">
        <v>16471.98</v>
      </c>
      <c r="M2465">
        <v>13177.58</v>
      </c>
      <c r="N2465" t="s">
        <v>116</v>
      </c>
      <c r="O2465">
        <v>2025</v>
      </c>
    </row>
    <row r="2466" spans="1:15" x14ac:dyDescent="0.3">
      <c r="A2466" t="s">
        <v>2551</v>
      </c>
      <c r="B2466" t="s">
        <v>43</v>
      </c>
      <c r="C2466" t="s">
        <v>62</v>
      </c>
      <c r="D2466" t="s">
        <v>119</v>
      </c>
      <c r="E2466" t="s">
        <v>30</v>
      </c>
      <c r="F2466" s="1">
        <v>45743</v>
      </c>
      <c r="G2466">
        <v>7</v>
      </c>
      <c r="H2466">
        <v>3492.58</v>
      </c>
      <c r="I2466">
        <v>5</v>
      </c>
      <c r="J2466" t="s">
        <v>26</v>
      </c>
      <c r="K2466">
        <v>1222.4000000000001</v>
      </c>
      <c r="L2466">
        <v>24448.06</v>
      </c>
      <c r="M2466">
        <v>23225.66</v>
      </c>
      <c r="N2466" t="s">
        <v>83</v>
      </c>
      <c r="O2466">
        <v>2025</v>
      </c>
    </row>
    <row r="2467" spans="1:15" x14ac:dyDescent="0.3">
      <c r="A2467" t="s">
        <v>2552</v>
      </c>
      <c r="B2467" t="s">
        <v>74</v>
      </c>
      <c r="C2467" t="s">
        <v>62</v>
      </c>
      <c r="D2467" t="s">
        <v>132</v>
      </c>
      <c r="E2467" t="s">
        <v>50</v>
      </c>
      <c r="F2467" s="1">
        <v>45873</v>
      </c>
      <c r="G2467">
        <v>7</v>
      </c>
      <c r="H2467">
        <v>2464.87</v>
      </c>
      <c r="I2467">
        <v>10</v>
      </c>
      <c r="J2467" t="s">
        <v>20</v>
      </c>
      <c r="K2467">
        <v>1725.41</v>
      </c>
      <c r="L2467">
        <v>17254.09</v>
      </c>
      <c r="M2467">
        <v>15528.68</v>
      </c>
      <c r="N2467" t="s">
        <v>21</v>
      </c>
      <c r="O2467">
        <v>2025</v>
      </c>
    </row>
    <row r="2468" spans="1:15" x14ac:dyDescent="0.3">
      <c r="A2468" t="s">
        <v>2553</v>
      </c>
      <c r="B2468" t="s">
        <v>53</v>
      </c>
      <c r="C2468" t="s">
        <v>54</v>
      </c>
      <c r="D2468" t="s">
        <v>68</v>
      </c>
      <c r="E2468" t="s">
        <v>56</v>
      </c>
      <c r="F2468" s="1">
        <v>45424</v>
      </c>
      <c r="G2468">
        <v>3</v>
      </c>
      <c r="H2468">
        <v>4483.51</v>
      </c>
      <c r="I2468">
        <v>15</v>
      </c>
      <c r="J2468" t="s">
        <v>20</v>
      </c>
      <c r="K2468">
        <v>2017.58</v>
      </c>
      <c r="L2468">
        <v>13450.53</v>
      </c>
      <c r="M2468">
        <v>11432.95</v>
      </c>
      <c r="N2468" t="s">
        <v>101</v>
      </c>
      <c r="O2468">
        <v>2024</v>
      </c>
    </row>
    <row r="2469" spans="1:15" x14ac:dyDescent="0.3">
      <c r="A2469" t="s">
        <v>2554</v>
      </c>
      <c r="B2469" t="s">
        <v>43</v>
      </c>
      <c r="C2469" t="s">
        <v>17</v>
      </c>
      <c r="D2469" t="s">
        <v>18</v>
      </c>
      <c r="E2469" t="s">
        <v>50</v>
      </c>
      <c r="F2469" s="1">
        <v>45513</v>
      </c>
      <c r="G2469">
        <v>7</v>
      </c>
      <c r="H2469">
        <v>69313.8</v>
      </c>
      <c r="I2469">
        <v>10</v>
      </c>
      <c r="J2469" t="s">
        <v>40</v>
      </c>
      <c r="K2469">
        <v>48519.66</v>
      </c>
      <c r="L2469">
        <v>485196.6</v>
      </c>
      <c r="M2469">
        <v>436676.94</v>
      </c>
      <c r="N2469" t="s">
        <v>21</v>
      </c>
      <c r="O2469">
        <v>2024</v>
      </c>
    </row>
    <row r="2470" spans="1:15" x14ac:dyDescent="0.3">
      <c r="A2470" t="s">
        <v>2555</v>
      </c>
      <c r="B2470" t="s">
        <v>43</v>
      </c>
      <c r="C2470" t="s">
        <v>54</v>
      </c>
      <c r="D2470" t="s">
        <v>137</v>
      </c>
      <c r="E2470" t="s">
        <v>30</v>
      </c>
      <c r="F2470" s="1">
        <v>45395</v>
      </c>
      <c r="G2470">
        <v>9</v>
      </c>
      <c r="H2470">
        <v>1001.28</v>
      </c>
      <c r="I2470">
        <v>0</v>
      </c>
      <c r="J2470" t="s">
        <v>36</v>
      </c>
      <c r="K2470">
        <v>0</v>
      </c>
      <c r="L2470">
        <v>9011.52</v>
      </c>
      <c r="M2470">
        <v>9011.52</v>
      </c>
      <c r="N2470" t="s">
        <v>27</v>
      </c>
      <c r="O2470">
        <v>2024</v>
      </c>
    </row>
    <row r="2471" spans="1:15" x14ac:dyDescent="0.3">
      <c r="A2471" t="s">
        <v>2556</v>
      </c>
      <c r="B2471" t="s">
        <v>93</v>
      </c>
      <c r="C2471" t="s">
        <v>54</v>
      </c>
      <c r="D2471" t="s">
        <v>68</v>
      </c>
      <c r="E2471" t="s">
        <v>30</v>
      </c>
      <c r="F2471" s="1">
        <v>45929</v>
      </c>
      <c r="G2471">
        <v>7</v>
      </c>
      <c r="H2471">
        <v>4215.96</v>
      </c>
      <c r="I2471">
        <v>5</v>
      </c>
      <c r="J2471" t="s">
        <v>82</v>
      </c>
      <c r="K2471">
        <v>1475.59</v>
      </c>
      <c r="L2471">
        <v>29511.72</v>
      </c>
      <c r="M2471">
        <v>28036.13</v>
      </c>
      <c r="N2471" t="s">
        <v>86</v>
      </c>
      <c r="O2471">
        <v>2025</v>
      </c>
    </row>
    <row r="2472" spans="1:15" x14ac:dyDescent="0.3">
      <c r="A2472" t="s">
        <v>2557</v>
      </c>
      <c r="B2472" t="s">
        <v>61</v>
      </c>
      <c r="C2472" t="s">
        <v>62</v>
      </c>
      <c r="D2472" t="s">
        <v>95</v>
      </c>
      <c r="E2472" t="s">
        <v>81</v>
      </c>
      <c r="F2472" s="1">
        <v>45561</v>
      </c>
      <c r="G2472">
        <v>4</v>
      </c>
      <c r="H2472">
        <v>760.2</v>
      </c>
      <c r="I2472">
        <v>10</v>
      </c>
      <c r="J2472" t="s">
        <v>31</v>
      </c>
      <c r="K2472">
        <v>304.08</v>
      </c>
      <c r="L2472">
        <v>3040.8</v>
      </c>
      <c r="M2472">
        <v>2736.72</v>
      </c>
      <c r="N2472" t="s">
        <v>86</v>
      </c>
      <c r="O2472">
        <v>2024</v>
      </c>
    </row>
    <row r="2473" spans="1:15" x14ac:dyDescent="0.3">
      <c r="A2473" t="s">
        <v>2558</v>
      </c>
      <c r="B2473" t="s">
        <v>16</v>
      </c>
      <c r="C2473" t="s">
        <v>34</v>
      </c>
      <c r="D2473" t="s">
        <v>85</v>
      </c>
      <c r="E2473" t="s">
        <v>19</v>
      </c>
      <c r="F2473" s="1">
        <v>45483</v>
      </c>
      <c r="G2473">
        <v>6</v>
      </c>
      <c r="H2473">
        <v>12800.13</v>
      </c>
      <c r="I2473">
        <v>10</v>
      </c>
      <c r="J2473" t="s">
        <v>71</v>
      </c>
      <c r="K2473">
        <v>7680.08</v>
      </c>
      <c r="L2473">
        <v>76800.78</v>
      </c>
      <c r="M2473">
        <v>69120.7</v>
      </c>
      <c r="N2473" t="s">
        <v>122</v>
      </c>
      <c r="O2473">
        <v>2024</v>
      </c>
    </row>
    <row r="2474" spans="1:15" x14ac:dyDescent="0.3">
      <c r="A2474" t="s">
        <v>2559</v>
      </c>
      <c r="B2474" t="s">
        <v>29</v>
      </c>
      <c r="C2474" t="s">
        <v>54</v>
      </c>
      <c r="D2474" t="s">
        <v>55</v>
      </c>
      <c r="E2474" t="s">
        <v>50</v>
      </c>
      <c r="F2474" s="1">
        <v>45499</v>
      </c>
      <c r="G2474">
        <v>1</v>
      </c>
      <c r="H2474">
        <v>1322.68</v>
      </c>
      <c r="I2474">
        <v>5</v>
      </c>
      <c r="J2474" t="s">
        <v>40</v>
      </c>
      <c r="K2474">
        <v>66.13</v>
      </c>
      <c r="L2474">
        <v>1322.68</v>
      </c>
      <c r="M2474">
        <v>1256.55</v>
      </c>
      <c r="N2474" t="s">
        <v>122</v>
      </c>
      <c r="O2474">
        <v>2024</v>
      </c>
    </row>
    <row r="2475" spans="1:15" x14ac:dyDescent="0.3">
      <c r="A2475" t="s">
        <v>2560</v>
      </c>
      <c r="B2475" t="s">
        <v>16</v>
      </c>
      <c r="C2475" t="s">
        <v>17</v>
      </c>
      <c r="D2475" t="s">
        <v>18</v>
      </c>
      <c r="E2475" t="s">
        <v>44</v>
      </c>
      <c r="F2475" s="1">
        <v>45976</v>
      </c>
      <c r="G2475">
        <v>9</v>
      </c>
      <c r="H2475">
        <v>73278.710000000006</v>
      </c>
      <c r="I2475">
        <v>0</v>
      </c>
      <c r="J2475" t="s">
        <v>45</v>
      </c>
      <c r="K2475">
        <v>0</v>
      </c>
      <c r="L2475">
        <v>659508.39</v>
      </c>
      <c r="M2475">
        <v>659508.39</v>
      </c>
      <c r="N2475" t="s">
        <v>96</v>
      </c>
      <c r="O2475">
        <v>2025</v>
      </c>
    </row>
    <row r="2476" spans="1:15" x14ac:dyDescent="0.3">
      <c r="A2476" t="s">
        <v>2561</v>
      </c>
      <c r="B2476" t="s">
        <v>33</v>
      </c>
      <c r="C2476" t="s">
        <v>62</v>
      </c>
      <c r="D2476" t="s">
        <v>119</v>
      </c>
      <c r="E2476" t="s">
        <v>44</v>
      </c>
      <c r="F2476" s="1">
        <v>45691</v>
      </c>
      <c r="G2476">
        <v>10</v>
      </c>
      <c r="H2476">
        <v>3740.75</v>
      </c>
      <c r="I2476">
        <v>15</v>
      </c>
      <c r="J2476" t="s">
        <v>71</v>
      </c>
      <c r="K2476">
        <v>5611.12</v>
      </c>
      <c r="L2476">
        <v>37407.5</v>
      </c>
      <c r="M2476">
        <v>31796.38</v>
      </c>
      <c r="N2476" t="s">
        <v>41</v>
      </c>
      <c r="O2476">
        <v>2025</v>
      </c>
    </row>
    <row r="2477" spans="1:15" x14ac:dyDescent="0.3">
      <c r="A2477" t="s">
        <v>2562</v>
      </c>
      <c r="B2477" t="s">
        <v>23</v>
      </c>
      <c r="C2477" t="s">
        <v>62</v>
      </c>
      <c r="D2477" t="s">
        <v>99</v>
      </c>
      <c r="E2477" t="s">
        <v>81</v>
      </c>
      <c r="F2477" s="1">
        <v>45942</v>
      </c>
      <c r="G2477">
        <v>6</v>
      </c>
      <c r="H2477">
        <v>1875.63</v>
      </c>
      <c r="I2477">
        <v>10</v>
      </c>
      <c r="J2477" t="s">
        <v>40</v>
      </c>
      <c r="K2477">
        <v>1125.3800000000001</v>
      </c>
      <c r="L2477">
        <v>11253.78</v>
      </c>
      <c r="M2477">
        <v>10128.4</v>
      </c>
      <c r="N2477" t="s">
        <v>57</v>
      </c>
      <c r="O2477">
        <v>2025</v>
      </c>
    </row>
    <row r="2478" spans="1:15" x14ac:dyDescent="0.3">
      <c r="A2478" t="s">
        <v>2563</v>
      </c>
      <c r="B2478" t="s">
        <v>33</v>
      </c>
      <c r="C2478" t="s">
        <v>34</v>
      </c>
      <c r="D2478" t="s">
        <v>35</v>
      </c>
      <c r="E2478" t="s">
        <v>81</v>
      </c>
      <c r="F2478" s="1">
        <v>45569</v>
      </c>
      <c r="G2478">
        <v>7</v>
      </c>
      <c r="H2478">
        <v>27408.28</v>
      </c>
      <c r="I2478">
        <v>20</v>
      </c>
      <c r="J2478" t="s">
        <v>71</v>
      </c>
      <c r="K2478">
        <v>38371.589999999997</v>
      </c>
      <c r="L2478">
        <v>191857.96</v>
      </c>
      <c r="M2478">
        <v>153486.37</v>
      </c>
      <c r="N2478" t="s">
        <v>57</v>
      </c>
      <c r="O2478">
        <v>2024</v>
      </c>
    </row>
    <row r="2479" spans="1:15" x14ac:dyDescent="0.3">
      <c r="A2479" t="s">
        <v>2564</v>
      </c>
      <c r="B2479" t="s">
        <v>74</v>
      </c>
      <c r="C2479" t="s">
        <v>54</v>
      </c>
      <c r="D2479" t="s">
        <v>68</v>
      </c>
      <c r="E2479" t="s">
        <v>25</v>
      </c>
      <c r="F2479" s="1">
        <v>45505</v>
      </c>
      <c r="G2479">
        <v>5</v>
      </c>
      <c r="H2479">
        <v>4192.28</v>
      </c>
      <c r="I2479">
        <v>5</v>
      </c>
      <c r="J2479" t="s">
        <v>31</v>
      </c>
      <c r="K2479">
        <v>1048.07</v>
      </c>
      <c r="L2479">
        <v>20961.400000000001</v>
      </c>
      <c r="M2479">
        <v>19913.330000000002</v>
      </c>
      <c r="N2479" t="s">
        <v>21</v>
      </c>
      <c r="O2479">
        <v>2024</v>
      </c>
    </row>
    <row r="2480" spans="1:15" x14ac:dyDescent="0.3">
      <c r="A2480" t="s">
        <v>2565</v>
      </c>
      <c r="B2480" t="s">
        <v>33</v>
      </c>
      <c r="C2480" t="s">
        <v>62</v>
      </c>
      <c r="D2480" t="s">
        <v>119</v>
      </c>
      <c r="E2480" t="s">
        <v>25</v>
      </c>
      <c r="F2480" s="1">
        <v>45878</v>
      </c>
      <c r="G2480">
        <v>6</v>
      </c>
      <c r="H2480">
        <v>3959.63</v>
      </c>
      <c r="I2480">
        <v>20</v>
      </c>
      <c r="J2480" t="s">
        <v>26</v>
      </c>
      <c r="K2480">
        <v>4751.5600000000004</v>
      </c>
      <c r="L2480">
        <v>23757.78</v>
      </c>
      <c r="M2480">
        <v>19006.22</v>
      </c>
      <c r="N2480" t="s">
        <v>21</v>
      </c>
      <c r="O2480">
        <v>2025</v>
      </c>
    </row>
    <row r="2481" spans="1:15" x14ac:dyDescent="0.3">
      <c r="A2481" t="s">
        <v>2566</v>
      </c>
      <c r="B2481" t="s">
        <v>47</v>
      </c>
      <c r="C2481" t="s">
        <v>62</v>
      </c>
      <c r="D2481" t="s">
        <v>132</v>
      </c>
      <c r="E2481" t="s">
        <v>44</v>
      </c>
      <c r="F2481" s="1">
        <v>45481</v>
      </c>
      <c r="G2481">
        <v>7</v>
      </c>
      <c r="H2481">
        <v>2622.47</v>
      </c>
      <c r="I2481">
        <v>10</v>
      </c>
      <c r="J2481" t="s">
        <v>45</v>
      </c>
      <c r="K2481">
        <v>1835.73</v>
      </c>
      <c r="L2481">
        <v>18357.29</v>
      </c>
      <c r="M2481">
        <v>16521.560000000001</v>
      </c>
      <c r="N2481" t="s">
        <v>122</v>
      </c>
      <c r="O2481">
        <v>2024</v>
      </c>
    </row>
    <row r="2482" spans="1:15" x14ac:dyDescent="0.3">
      <c r="A2482" t="s">
        <v>2567</v>
      </c>
      <c r="B2482" t="s">
        <v>23</v>
      </c>
      <c r="C2482" t="s">
        <v>62</v>
      </c>
      <c r="D2482" t="s">
        <v>132</v>
      </c>
      <c r="E2482" t="s">
        <v>56</v>
      </c>
      <c r="F2482" s="1">
        <v>45749</v>
      </c>
      <c r="G2482">
        <v>3</v>
      </c>
      <c r="H2482">
        <v>2320.5300000000002</v>
      </c>
      <c r="I2482">
        <v>5</v>
      </c>
      <c r="J2482" t="s">
        <v>40</v>
      </c>
      <c r="K2482">
        <v>348.08</v>
      </c>
      <c r="L2482">
        <v>6961.59</v>
      </c>
      <c r="M2482">
        <v>6613.51</v>
      </c>
      <c r="N2482" t="s">
        <v>27</v>
      </c>
      <c r="O2482">
        <v>2025</v>
      </c>
    </row>
    <row r="2483" spans="1:15" x14ac:dyDescent="0.3">
      <c r="A2483" t="s">
        <v>2568</v>
      </c>
      <c r="B2483" t="s">
        <v>38</v>
      </c>
      <c r="C2483" t="s">
        <v>17</v>
      </c>
      <c r="D2483" t="s">
        <v>157</v>
      </c>
      <c r="E2483" t="s">
        <v>19</v>
      </c>
      <c r="F2483" s="1">
        <v>45537</v>
      </c>
      <c r="G2483">
        <v>6</v>
      </c>
      <c r="H2483">
        <v>7659.61</v>
      </c>
      <c r="I2483">
        <v>20</v>
      </c>
      <c r="J2483" t="s">
        <v>36</v>
      </c>
      <c r="K2483">
        <v>9191.5300000000007</v>
      </c>
      <c r="L2483">
        <v>45957.66</v>
      </c>
      <c r="M2483">
        <v>36766.129999999997</v>
      </c>
      <c r="N2483" t="s">
        <v>86</v>
      </c>
      <c r="O2483">
        <v>2024</v>
      </c>
    </row>
    <row r="2484" spans="1:15" x14ac:dyDescent="0.3">
      <c r="A2484" t="s">
        <v>2569</v>
      </c>
      <c r="B2484" t="s">
        <v>53</v>
      </c>
      <c r="C2484" t="s">
        <v>17</v>
      </c>
      <c r="D2484" t="s">
        <v>39</v>
      </c>
      <c r="E2484" t="s">
        <v>56</v>
      </c>
      <c r="F2484" s="1">
        <v>45584</v>
      </c>
      <c r="G2484">
        <v>1</v>
      </c>
      <c r="H2484">
        <v>22758.6</v>
      </c>
      <c r="I2484">
        <v>10</v>
      </c>
      <c r="J2484" t="s">
        <v>82</v>
      </c>
      <c r="K2484">
        <v>2275.86</v>
      </c>
      <c r="L2484">
        <v>22758.6</v>
      </c>
      <c r="M2484">
        <v>20482.740000000002</v>
      </c>
      <c r="N2484" t="s">
        <v>57</v>
      </c>
      <c r="O2484">
        <v>2024</v>
      </c>
    </row>
    <row r="2485" spans="1:15" x14ac:dyDescent="0.3">
      <c r="A2485" t="s">
        <v>2570</v>
      </c>
      <c r="B2485" t="s">
        <v>29</v>
      </c>
      <c r="C2485" t="s">
        <v>54</v>
      </c>
      <c r="D2485" t="s">
        <v>77</v>
      </c>
      <c r="E2485" t="s">
        <v>50</v>
      </c>
      <c r="F2485" s="1">
        <v>45717</v>
      </c>
      <c r="G2485">
        <v>2</v>
      </c>
      <c r="H2485">
        <v>4876.25</v>
      </c>
      <c r="I2485">
        <v>10</v>
      </c>
      <c r="J2485" t="s">
        <v>36</v>
      </c>
      <c r="K2485">
        <v>975.25</v>
      </c>
      <c r="L2485">
        <v>9752.5</v>
      </c>
      <c r="M2485">
        <v>8777.25</v>
      </c>
      <c r="N2485" t="s">
        <v>83</v>
      </c>
      <c r="O2485">
        <v>2025</v>
      </c>
    </row>
    <row r="2486" spans="1:15" x14ac:dyDescent="0.3">
      <c r="A2486" t="s">
        <v>2571</v>
      </c>
      <c r="B2486" t="s">
        <v>16</v>
      </c>
      <c r="C2486" t="s">
        <v>62</v>
      </c>
      <c r="D2486" t="s">
        <v>63</v>
      </c>
      <c r="E2486" t="s">
        <v>44</v>
      </c>
      <c r="F2486" s="1">
        <v>45755</v>
      </c>
      <c r="G2486">
        <v>10</v>
      </c>
      <c r="H2486">
        <v>1805.69</v>
      </c>
      <c r="I2486">
        <v>15</v>
      </c>
      <c r="J2486" t="s">
        <v>26</v>
      </c>
      <c r="K2486">
        <v>2708.54</v>
      </c>
      <c r="L2486">
        <v>18056.900000000001</v>
      </c>
      <c r="M2486">
        <v>15348.36</v>
      </c>
      <c r="N2486" t="s">
        <v>27</v>
      </c>
      <c r="O2486">
        <v>2025</v>
      </c>
    </row>
    <row r="2487" spans="1:15" x14ac:dyDescent="0.3">
      <c r="A2487" t="s">
        <v>2572</v>
      </c>
      <c r="B2487" t="s">
        <v>114</v>
      </c>
      <c r="C2487" t="s">
        <v>34</v>
      </c>
      <c r="D2487" t="s">
        <v>80</v>
      </c>
      <c r="E2487" t="s">
        <v>30</v>
      </c>
      <c r="F2487" s="1">
        <v>45322</v>
      </c>
      <c r="G2487">
        <v>9</v>
      </c>
      <c r="H2487">
        <v>6368.42</v>
      </c>
      <c r="I2487">
        <v>0</v>
      </c>
      <c r="J2487" t="s">
        <v>26</v>
      </c>
      <c r="K2487">
        <v>0</v>
      </c>
      <c r="L2487">
        <v>57315.78</v>
      </c>
      <c r="M2487">
        <v>57315.78</v>
      </c>
      <c r="N2487" t="s">
        <v>116</v>
      </c>
      <c r="O2487">
        <v>2024</v>
      </c>
    </row>
    <row r="2488" spans="1:15" x14ac:dyDescent="0.3">
      <c r="A2488" t="s">
        <v>2573</v>
      </c>
      <c r="B2488" t="s">
        <v>38</v>
      </c>
      <c r="C2488" t="s">
        <v>90</v>
      </c>
      <c r="D2488" t="s">
        <v>91</v>
      </c>
      <c r="E2488" t="s">
        <v>19</v>
      </c>
      <c r="F2488" s="1">
        <v>45437</v>
      </c>
      <c r="G2488">
        <v>2</v>
      </c>
      <c r="H2488">
        <v>1379.78</v>
      </c>
      <c r="I2488">
        <v>20</v>
      </c>
      <c r="J2488" t="s">
        <v>36</v>
      </c>
      <c r="K2488">
        <v>551.91</v>
      </c>
      <c r="L2488">
        <v>2759.56</v>
      </c>
      <c r="M2488">
        <v>2207.65</v>
      </c>
      <c r="N2488" t="s">
        <v>101</v>
      </c>
      <c r="O2488">
        <v>2024</v>
      </c>
    </row>
    <row r="2489" spans="1:15" x14ac:dyDescent="0.3">
      <c r="A2489" t="s">
        <v>2574</v>
      </c>
      <c r="B2489" t="s">
        <v>114</v>
      </c>
      <c r="C2489" t="s">
        <v>90</v>
      </c>
      <c r="D2489" t="s">
        <v>105</v>
      </c>
      <c r="E2489" t="s">
        <v>81</v>
      </c>
      <c r="F2489" s="1">
        <v>45617</v>
      </c>
      <c r="G2489">
        <v>3</v>
      </c>
      <c r="H2489">
        <v>3666.27</v>
      </c>
      <c r="I2489">
        <v>10</v>
      </c>
      <c r="J2489" t="s">
        <v>40</v>
      </c>
      <c r="K2489">
        <v>1099.8800000000001</v>
      </c>
      <c r="L2489">
        <v>10998.81</v>
      </c>
      <c r="M2489">
        <v>9898.93</v>
      </c>
      <c r="N2489" t="s">
        <v>96</v>
      </c>
      <c r="O2489">
        <v>2024</v>
      </c>
    </row>
    <row r="2490" spans="1:15" x14ac:dyDescent="0.3">
      <c r="A2490" t="s">
        <v>2575</v>
      </c>
      <c r="B2490" t="s">
        <v>114</v>
      </c>
      <c r="C2490" t="s">
        <v>34</v>
      </c>
      <c r="D2490" t="s">
        <v>35</v>
      </c>
      <c r="E2490" t="s">
        <v>81</v>
      </c>
      <c r="F2490" s="1">
        <v>45557</v>
      </c>
      <c r="G2490">
        <v>5</v>
      </c>
      <c r="H2490">
        <v>27775.88</v>
      </c>
      <c r="I2490">
        <v>15</v>
      </c>
      <c r="J2490" t="s">
        <v>71</v>
      </c>
      <c r="K2490">
        <v>20831.91</v>
      </c>
      <c r="L2490">
        <v>138879.4</v>
      </c>
      <c r="M2490">
        <v>118047.49</v>
      </c>
      <c r="N2490" t="s">
        <v>86</v>
      </c>
      <c r="O2490">
        <v>2024</v>
      </c>
    </row>
    <row r="2491" spans="1:15" x14ac:dyDescent="0.3">
      <c r="A2491" t="s">
        <v>2576</v>
      </c>
      <c r="B2491" t="s">
        <v>89</v>
      </c>
      <c r="C2491" t="s">
        <v>17</v>
      </c>
      <c r="D2491" t="s">
        <v>18</v>
      </c>
      <c r="E2491" t="s">
        <v>50</v>
      </c>
      <c r="F2491" s="1">
        <v>45955</v>
      </c>
      <c r="G2491">
        <v>1</v>
      </c>
      <c r="H2491">
        <v>76710.58</v>
      </c>
      <c r="I2491">
        <v>15</v>
      </c>
      <c r="J2491" t="s">
        <v>36</v>
      </c>
      <c r="K2491">
        <v>11506.59</v>
      </c>
      <c r="L2491">
        <v>76710.58</v>
      </c>
      <c r="M2491">
        <v>65203.99</v>
      </c>
      <c r="N2491" t="s">
        <v>57</v>
      </c>
      <c r="O2491">
        <v>2025</v>
      </c>
    </row>
    <row r="2492" spans="1:15" x14ac:dyDescent="0.3">
      <c r="A2492" t="s">
        <v>2577</v>
      </c>
      <c r="B2492" t="s">
        <v>29</v>
      </c>
      <c r="C2492" t="s">
        <v>62</v>
      </c>
      <c r="D2492" t="s">
        <v>63</v>
      </c>
      <c r="E2492" t="s">
        <v>56</v>
      </c>
      <c r="F2492" s="1">
        <v>45755</v>
      </c>
      <c r="G2492">
        <v>3</v>
      </c>
      <c r="H2492">
        <v>1879.79</v>
      </c>
      <c r="I2492">
        <v>15</v>
      </c>
      <c r="J2492" t="s">
        <v>71</v>
      </c>
      <c r="K2492">
        <v>845.91</v>
      </c>
      <c r="L2492">
        <v>5639.37</v>
      </c>
      <c r="M2492">
        <v>4793.46</v>
      </c>
      <c r="N2492" t="s">
        <v>27</v>
      </c>
      <c r="O2492">
        <v>2025</v>
      </c>
    </row>
    <row r="2493" spans="1:15" x14ac:dyDescent="0.3">
      <c r="A2493" t="s">
        <v>2578</v>
      </c>
      <c r="B2493" t="s">
        <v>29</v>
      </c>
      <c r="C2493" t="s">
        <v>62</v>
      </c>
      <c r="D2493" t="s">
        <v>99</v>
      </c>
      <c r="E2493" t="s">
        <v>50</v>
      </c>
      <c r="F2493" s="1">
        <v>45295</v>
      </c>
      <c r="G2493">
        <v>2</v>
      </c>
      <c r="H2493">
        <v>1454.5</v>
      </c>
      <c r="I2493">
        <v>0</v>
      </c>
      <c r="J2493" t="s">
        <v>71</v>
      </c>
      <c r="K2493">
        <v>0</v>
      </c>
      <c r="L2493">
        <v>2909</v>
      </c>
      <c r="M2493">
        <v>2909</v>
      </c>
      <c r="N2493" t="s">
        <v>116</v>
      </c>
      <c r="O2493">
        <v>2024</v>
      </c>
    </row>
    <row r="2494" spans="1:15" x14ac:dyDescent="0.3">
      <c r="A2494" t="s">
        <v>2579</v>
      </c>
      <c r="B2494" t="s">
        <v>38</v>
      </c>
      <c r="C2494" t="s">
        <v>17</v>
      </c>
      <c r="D2494" t="s">
        <v>39</v>
      </c>
      <c r="E2494" t="s">
        <v>50</v>
      </c>
      <c r="F2494" s="1">
        <v>45841</v>
      </c>
      <c r="G2494">
        <v>2</v>
      </c>
      <c r="H2494">
        <v>16310.64</v>
      </c>
      <c r="I2494">
        <v>10</v>
      </c>
      <c r="J2494" t="s">
        <v>71</v>
      </c>
      <c r="K2494">
        <v>3262.13</v>
      </c>
      <c r="L2494">
        <v>32621.279999999999</v>
      </c>
      <c r="M2494">
        <v>29359.15</v>
      </c>
      <c r="N2494" t="s">
        <v>122</v>
      </c>
      <c r="O2494">
        <v>2025</v>
      </c>
    </row>
    <row r="2495" spans="1:15" x14ac:dyDescent="0.3">
      <c r="A2495" t="s">
        <v>2580</v>
      </c>
      <c r="B2495" t="s">
        <v>61</v>
      </c>
      <c r="C2495" t="s">
        <v>62</v>
      </c>
      <c r="D2495" t="s">
        <v>132</v>
      </c>
      <c r="E2495" t="s">
        <v>25</v>
      </c>
      <c r="F2495" s="1">
        <v>45317</v>
      </c>
      <c r="G2495">
        <v>3</v>
      </c>
      <c r="H2495">
        <v>2552.4</v>
      </c>
      <c r="I2495">
        <v>5</v>
      </c>
      <c r="J2495" t="s">
        <v>26</v>
      </c>
      <c r="K2495">
        <v>382.86</v>
      </c>
      <c r="L2495">
        <v>7657.2</v>
      </c>
      <c r="M2495">
        <v>7274.34</v>
      </c>
      <c r="N2495" t="s">
        <v>116</v>
      </c>
      <c r="O2495">
        <v>2024</v>
      </c>
    </row>
    <row r="2496" spans="1:15" x14ac:dyDescent="0.3">
      <c r="A2496" t="s">
        <v>2581</v>
      </c>
      <c r="B2496" t="s">
        <v>43</v>
      </c>
      <c r="C2496" t="s">
        <v>34</v>
      </c>
      <c r="D2496" t="s">
        <v>80</v>
      </c>
      <c r="E2496" t="s">
        <v>50</v>
      </c>
      <c r="F2496" s="1">
        <v>45766</v>
      </c>
      <c r="G2496">
        <v>4</v>
      </c>
      <c r="H2496">
        <v>5579.87</v>
      </c>
      <c r="I2496">
        <v>0</v>
      </c>
      <c r="J2496" t="s">
        <v>45</v>
      </c>
      <c r="K2496">
        <v>0</v>
      </c>
      <c r="L2496">
        <v>22319.48</v>
      </c>
      <c r="M2496">
        <v>22319.48</v>
      </c>
      <c r="N2496" t="s">
        <v>27</v>
      </c>
      <c r="O2496">
        <v>2025</v>
      </c>
    </row>
    <row r="2497" spans="1:15" x14ac:dyDescent="0.3">
      <c r="A2497" t="s">
        <v>2582</v>
      </c>
      <c r="B2497" t="s">
        <v>29</v>
      </c>
      <c r="C2497" t="s">
        <v>54</v>
      </c>
      <c r="D2497" t="s">
        <v>137</v>
      </c>
      <c r="E2497" t="s">
        <v>81</v>
      </c>
      <c r="F2497" s="1">
        <v>45514</v>
      </c>
      <c r="G2497">
        <v>7</v>
      </c>
      <c r="H2497">
        <v>929.04</v>
      </c>
      <c r="I2497">
        <v>0</v>
      </c>
      <c r="J2497" t="s">
        <v>82</v>
      </c>
      <c r="K2497">
        <v>0</v>
      </c>
      <c r="L2497">
        <v>6503.28</v>
      </c>
      <c r="M2497">
        <v>6503.28</v>
      </c>
      <c r="N2497" t="s">
        <v>21</v>
      </c>
      <c r="O2497">
        <v>2024</v>
      </c>
    </row>
    <row r="2498" spans="1:15" x14ac:dyDescent="0.3">
      <c r="A2498" t="s">
        <v>2583</v>
      </c>
      <c r="B2498" t="s">
        <v>114</v>
      </c>
      <c r="C2498" t="s">
        <v>90</v>
      </c>
      <c r="D2498" t="s">
        <v>107</v>
      </c>
      <c r="E2498" t="s">
        <v>25</v>
      </c>
      <c r="F2498" s="1">
        <v>45416</v>
      </c>
      <c r="G2498">
        <v>4</v>
      </c>
      <c r="H2498">
        <v>11934.25</v>
      </c>
      <c r="I2498">
        <v>10</v>
      </c>
      <c r="J2498" t="s">
        <v>20</v>
      </c>
      <c r="K2498">
        <v>4773.7</v>
      </c>
      <c r="L2498">
        <v>47737</v>
      </c>
      <c r="M2498">
        <v>42963.3</v>
      </c>
      <c r="N2498" t="s">
        <v>101</v>
      </c>
      <c r="O2498">
        <v>2024</v>
      </c>
    </row>
    <row r="2499" spans="1:15" x14ac:dyDescent="0.3">
      <c r="A2499" t="s">
        <v>2584</v>
      </c>
      <c r="B2499" t="s">
        <v>65</v>
      </c>
      <c r="C2499" t="s">
        <v>62</v>
      </c>
      <c r="D2499" t="s">
        <v>63</v>
      </c>
      <c r="E2499" t="s">
        <v>44</v>
      </c>
      <c r="F2499" s="1">
        <v>45472</v>
      </c>
      <c r="G2499">
        <v>1</v>
      </c>
      <c r="H2499">
        <v>1890.42</v>
      </c>
      <c r="I2499">
        <v>5</v>
      </c>
      <c r="J2499" t="s">
        <v>31</v>
      </c>
      <c r="K2499">
        <v>94.52</v>
      </c>
      <c r="L2499">
        <v>1890.42</v>
      </c>
      <c r="M2499">
        <v>1795.9</v>
      </c>
      <c r="N2499" t="s">
        <v>72</v>
      </c>
      <c r="O2499">
        <v>2024</v>
      </c>
    </row>
    <row r="2500" spans="1:15" x14ac:dyDescent="0.3">
      <c r="A2500" t="s">
        <v>2585</v>
      </c>
      <c r="B2500" t="s">
        <v>74</v>
      </c>
      <c r="C2500" t="s">
        <v>54</v>
      </c>
      <c r="D2500" t="s">
        <v>68</v>
      </c>
      <c r="E2500" t="s">
        <v>50</v>
      </c>
      <c r="F2500" s="1">
        <v>45422</v>
      </c>
      <c r="G2500">
        <v>6</v>
      </c>
      <c r="H2500">
        <v>5137.16</v>
      </c>
      <c r="I2500">
        <v>10</v>
      </c>
      <c r="J2500" t="s">
        <v>45</v>
      </c>
      <c r="K2500">
        <v>3082.3</v>
      </c>
      <c r="L2500">
        <v>30822.959999999999</v>
      </c>
      <c r="M2500">
        <v>27740.66</v>
      </c>
      <c r="N2500" t="s">
        <v>101</v>
      </c>
      <c r="O2500">
        <v>2024</v>
      </c>
    </row>
    <row r="2501" spans="1:15" x14ac:dyDescent="0.3">
      <c r="A2501" t="s">
        <v>2586</v>
      </c>
      <c r="B2501" t="s">
        <v>53</v>
      </c>
      <c r="C2501" t="s">
        <v>34</v>
      </c>
      <c r="D2501" t="s">
        <v>85</v>
      </c>
      <c r="E2501" t="s">
        <v>50</v>
      </c>
      <c r="F2501" s="1">
        <v>45947</v>
      </c>
      <c r="G2501">
        <v>8</v>
      </c>
      <c r="H2501">
        <v>12628.57</v>
      </c>
      <c r="I2501">
        <v>20</v>
      </c>
      <c r="J2501" t="s">
        <v>36</v>
      </c>
      <c r="K2501">
        <v>20205.71</v>
      </c>
      <c r="L2501">
        <v>101028.56</v>
      </c>
      <c r="M2501">
        <v>80822.850000000006</v>
      </c>
      <c r="N2501" t="s">
        <v>57</v>
      </c>
      <c r="O2501">
        <v>2025</v>
      </c>
    </row>
    <row r="2502" spans="1:15" x14ac:dyDescent="0.3">
      <c r="A2502" t="s">
        <v>2587</v>
      </c>
      <c r="B2502" t="s">
        <v>93</v>
      </c>
      <c r="C2502" t="s">
        <v>34</v>
      </c>
      <c r="D2502" t="s">
        <v>66</v>
      </c>
      <c r="E2502" t="s">
        <v>81</v>
      </c>
      <c r="F2502" s="1">
        <v>45293</v>
      </c>
      <c r="G2502">
        <v>5</v>
      </c>
      <c r="H2502">
        <v>39635.910000000003</v>
      </c>
      <c r="I2502">
        <v>15</v>
      </c>
      <c r="J2502" t="s">
        <v>36</v>
      </c>
      <c r="K2502">
        <v>29726.93</v>
      </c>
      <c r="L2502">
        <v>198179.55</v>
      </c>
      <c r="M2502">
        <v>168452.62</v>
      </c>
      <c r="N2502" t="s">
        <v>116</v>
      </c>
      <c r="O2502">
        <v>2024</v>
      </c>
    </row>
    <row r="2503" spans="1:15" x14ac:dyDescent="0.3">
      <c r="A2503" t="s">
        <v>2588</v>
      </c>
      <c r="B2503" t="s">
        <v>29</v>
      </c>
      <c r="C2503" t="s">
        <v>34</v>
      </c>
      <c r="D2503" t="s">
        <v>48</v>
      </c>
      <c r="E2503" t="s">
        <v>50</v>
      </c>
      <c r="F2503" s="1">
        <v>45725</v>
      </c>
      <c r="G2503">
        <v>7</v>
      </c>
      <c r="H2503">
        <v>7374.22</v>
      </c>
      <c r="I2503">
        <v>10</v>
      </c>
      <c r="J2503" t="s">
        <v>20</v>
      </c>
      <c r="K2503">
        <v>5161.95</v>
      </c>
      <c r="L2503">
        <v>51619.54</v>
      </c>
      <c r="M2503">
        <v>46457.59</v>
      </c>
      <c r="N2503" t="s">
        <v>83</v>
      </c>
      <c r="O2503">
        <v>2025</v>
      </c>
    </row>
    <row r="2504" spans="1:15" x14ac:dyDescent="0.3">
      <c r="A2504" t="s">
        <v>2589</v>
      </c>
      <c r="B2504" t="s">
        <v>23</v>
      </c>
      <c r="C2504" t="s">
        <v>17</v>
      </c>
      <c r="D2504" t="s">
        <v>157</v>
      </c>
      <c r="E2504" t="s">
        <v>25</v>
      </c>
      <c r="F2504" s="1">
        <v>45856</v>
      </c>
      <c r="G2504">
        <v>8</v>
      </c>
      <c r="H2504">
        <v>6379.73</v>
      </c>
      <c r="I2504">
        <v>5</v>
      </c>
      <c r="J2504" t="s">
        <v>26</v>
      </c>
      <c r="K2504">
        <v>2551.89</v>
      </c>
      <c r="L2504">
        <v>51037.84</v>
      </c>
      <c r="M2504">
        <v>48485.95</v>
      </c>
      <c r="N2504" t="s">
        <v>122</v>
      </c>
      <c r="O2504">
        <v>2025</v>
      </c>
    </row>
    <row r="2505" spans="1:15" x14ac:dyDescent="0.3">
      <c r="A2505" t="s">
        <v>2590</v>
      </c>
      <c r="B2505" t="s">
        <v>89</v>
      </c>
      <c r="C2505" t="s">
        <v>90</v>
      </c>
      <c r="D2505" t="s">
        <v>91</v>
      </c>
      <c r="E2505" t="s">
        <v>44</v>
      </c>
      <c r="F2505" s="1">
        <v>45809</v>
      </c>
      <c r="G2505">
        <v>3</v>
      </c>
      <c r="H2505">
        <v>1661.16</v>
      </c>
      <c r="I2505">
        <v>5</v>
      </c>
      <c r="J2505" t="s">
        <v>82</v>
      </c>
      <c r="K2505">
        <v>249.17</v>
      </c>
      <c r="L2505">
        <v>4983.4799999999996</v>
      </c>
      <c r="M2505">
        <v>4734.3100000000004</v>
      </c>
      <c r="N2505" t="s">
        <v>72</v>
      </c>
      <c r="O2505">
        <v>2025</v>
      </c>
    </row>
    <row r="2506" spans="1:15" x14ac:dyDescent="0.3">
      <c r="A2506" t="s">
        <v>2591</v>
      </c>
      <c r="B2506" t="s">
        <v>47</v>
      </c>
      <c r="C2506" t="s">
        <v>90</v>
      </c>
      <c r="D2506" t="s">
        <v>105</v>
      </c>
      <c r="E2506" t="s">
        <v>25</v>
      </c>
      <c r="F2506" s="1">
        <v>45419</v>
      </c>
      <c r="G2506">
        <v>3</v>
      </c>
      <c r="H2506">
        <v>3496.87</v>
      </c>
      <c r="I2506">
        <v>10</v>
      </c>
      <c r="J2506" t="s">
        <v>71</v>
      </c>
      <c r="K2506">
        <v>1049.06</v>
      </c>
      <c r="L2506">
        <v>10490.61</v>
      </c>
      <c r="M2506">
        <v>9441.5499999999993</v>
      </c>
      <c r="N2506" t="s">
        <v>101</v>
      </c>
      <c r="O2506">
        <v>2024</v>
      </c>
    </row>
    <row r="2507" spans="1:15" x14ac:dyDescent="0.3">
      <c r="A2507" t="s">
        <v>2592</v>
      </c>
      <c r="B2507" t="s">
        <v>114</v>
      </c>
      <c r="C2507" t="s">
        <v>54</v>
      </c>
      <c r="D2507" t="s">
        <v>55</v>
      </c>
      <c r="E2507" t="s">
        <v>81</v>
      </c>
      <c r="F2507" s="1">
        <v>46015</v>
      </c>
      <c r="G2507">
        <v>2</v>
      </c>
      <c r="H2507">
        <v>1506.01</v>
      </c>
      <c r="I2507">
        <v>15</v>
      </c>
      <c r="J2507" t="s">
        <v>36</v>
      </c>
      <c r="K2507">
        <v>451.8</v>
      </c>
      <c r="L2507">
        <v>3012.02</v>
      </c>
      <c r="M2507">
        <v>2560.2199999999998</v>
      </c>
      <c r="N2507" t="s">
        <v>51</v>
      </c>
      <c r="O2507">
        <v>2025</v>
      </c>
    </row>
    <row r="2508" spans="1:15" x14ac:dyDescent="0.3">
      <c r="A2508" t="s">
        <v>2593</v>
      </c>
      <c r="B2508" t="s">
        <v>65</v>
      </c>
      <c r="C2508" t="s">
        <v>90</v>
      </c>
      <c r="D2508" t="s">
        <v>115</v>
      </c>
      <c r="E2508" t="s">
        <v>44</v>
      </c>
      <c r="F2508" s="1">
        <v>45704</v>
      </c>
      <c r="G2508">
        <v>8</v>
      </c>
      <c r="H2508">
        <v>7600.61</v>
      </c>
      <c r="I2508">
        <v>15</v>
      </c>
      <c r="J2508" t="s">
        <v>40</v>
      </c>
      <c r="K2508">
        <v>9120.73</v>
      </c>
      <c r="L2508">
        <v>60804.88</v>
      </c>
      <c r="M2508">
        <v>51684.15</v>
      </c>
      <c r="N2508" t="s">
        <v>41</v>
      </c>
      <c r="O2508">
        <v>2025</v>
      </c>
    </row>
    <row r="2509" spans="1:15" x14ac:dyDescent="0.3">
      <c r="A2509" t="s">
        <v>2594</v>
      </c>
      <c r="B2509" t="s">
        <v>53</v>
      </c>
      <c r="C2509" t="s">
        <v>62</v>
      </c>
      <c r="D2509" t="s">
        <v>63</v>
      </c>
      <c r="E2509" t="s">
        <v>50</v>
      </c>
      <c r="F2509" s="1">
        <v>45999</v>
      </c>
      <c r="G2509">
        <v>3</v>
      </c>
      <c r="H2509">
        <v>1852.11</v>
      </c>
      <c r="I2509">
        <v>5</v>
      </c>
      <c r="J2509" t="s">
        <v>20</v>
      </c>
      <c r="K2509">
        <v>277.82</v>
      </c>
      <c r="L2509">
        <v>5556.33</v>
      </c>
      <c r="M2509">
        <v>5278.51</v>
      </c>
      <c r="N2509" t="s">
        <v>51</v>
      </c>
      <c r="O2509">
        <v>2025</v>
      </c>
    </row>
    <row r="2510" spans="1:15" x14ac:dyDescent="0.3">
      <c r="A2510" t="s">
        <v>2595</v>
      </c>
      <c r="B2510" t="s">
        <v>61</v>
      </c>
      <c r="C2510" t="s">
        <v>54</v>
      </c>
      <c r="D2510" t="s">
        <v>70</v>
      </c>
      <c r="E2510" t="s">
        <v>25</v>
      </c>
      <c r="F2510" s="1">
        <v>45551</v>
      </c>
      <c r="G2510">
        <v>3</v>
      </c>
      <c r="H2510">
        <v>2466.3200000000002</v>
      </c>
      <c r="I2510">
        <v>20</v>
      </c>
      <c r="J2510" t="s">
        <v>40</v>
      </c>
      <c r="K2510">
        <v>1479.79</v>
      </c>
      <c r="L2510">
        <v>7398.96</v>
      </c>
      <c r="M2510">
        <v>5919.17</v>
      </c>
      <c r="N2510" t="s">
        <v>86</v>
      </c>
      <c r="O2510">
        <v>2024</v>
      </c>
    </row>
    <row r="2511" spans="1:15" x14ac:dyDescent="0.3">
      <c r="A2511" t="s">
        <v>2596</v>
      </c>
      <c r="B2511" t="s">
        <v>53</v>
      </c>
      <c r="C2511" t="s">
        <v>34</v>
      </c>
      <c r="D2511" t="s">
        <v>85</v>
      </c>
      <c r="E2511" t="s">
        <v>30</v>
      </c>
      <c r="F2511" s="1">
        <v>45706</v>
      </c>
      <c r="G2511">
        <v>1</v>
      </c>
      <c r="H2511">
        <v>11931.08</v>
      </c>
      <c r="I2511">
        <v>20</v>
      </c>
      <c r="J2511" t="s">
        <v>45</v>
      </c>
      <c r="K2511">
        <v>2386.2199999999998</v>
      </c>
      <c r="L2511">
        <v>11931.08</v>
      </c>
      <c r="M2511">
        <v>9544.86</v>
      </c>
      <c r="N2511" t="s">
        <v>41</v>
      </c>
      <c r="O2511">
        <v>2025</v>
      </c>
    </row>
    <row r="2512" spans="1:15" x14ac:dyDescent="0.3">
      <c r="A2512" t="s">
        <v>2597</v>
      </c>
      <c r="B2512" t="s">
        <v>33</v>
      </c>
      <c r="C2512" t="s">
        <v>62</v>
      </c>
      <c r="D2512" t="s">
        <v>63</v>
      </c>
      <c r="E2512" t="s">
        <v>30</v>
      </c>
      <c r="F2512" s="1">
        <v>45690</v>
      </c>
      <c r="G2512">
        <v>4</v>
      </c>
      <c r="H2512">
        <v>1994.9</v>
      </c>
      <c r="I2512">
        <v>15</v>
      </c>
      <c r="J2512" t="s">
        <v>26</v>
      </c>
      <c r="K2512">
        <v>1196.94</v>
      </c>
      <c r="L2512">
        <v>7979.6</v>
      </c>
      <c r="M2512">
        <v>6782.66</v>
      </c>
      <c r="N2512" t="s">
        <v>41</v>
      </c>
      <c r="O2512">
        <v>2025</v>
      </c>
    </row>
    <row r="2513" spans="1:15" x14ac:dyDescent="0.3">
      <c r="A2513" t="s">
        <v>2598</v>
      </c>
      <c r="B2513" t="s">
        <v>38</v>
      </c>
      <c r="C2513" t="s">
        <v>34</v>
      </c>
      <c r="D2513" t="s">
        <v>80</v>
      </c>
      <c r="E2513" t="s">
        <v>30</v>
      </c>
      <c r="F2513" s="1">
        <v>45836</v>
      </c>
      <c r="G2513">
        <v>1</v>
      </c>
      <c r="H2513">
        <v>5807.33</v>
      </c>
      <c r="I2513">
        <v>15</v>
      </c>
      <c r="J2513" t="s">
        <v>82</v>
      </c>
      <c r="K2513">
        <v>871.1</v>
      </c>
      <c r="L2513">
        <v>5807.33</v>
      </c>
      <c r="M2513">
        <v>4936.2299999999996</v>
      </c>
      <c r="N2513" t="s">
        <v>72</v>
      </c>
      <c r="O2513">
        <v>2025</v>
      </c>
    </row>
    <row r="2514" spans="1:15" x14ac:dyDescent="0.3">
      <c r="A2514" t="s">
        <v>2599</v>
      </c>
      <c r="B2514" t="s">
        <v>38</v>
      </c>
      <c r="C2514" t="s">
        <v>62</v>
      </c>
      <c r="D2514" t="s">
        <v>95</v>
      </c>
      <c r="E2514" t="s">
        <v>50</v>
      </c>
      <c r="F2514" s="1">
        <v>45789</v>
      </c>
      <c r="G2514">
        <v>6</v>
      </c>
      <c r="H2514">
        <v>765.82</v>
      </c>
      <c r="I2514">
        <v>20</v>
      </c>
      <c r="J2514" t="s">
        <v>26</v>
      </c>
      <c r="K2514">
        <v>918.98</v>
      </c>
      <c r="L2514">
        <v>4594.92</v>
      </c>
      <c r="M2514">
        <v>3675.94</v>
      </c>
      <c r="N2514" t="s">
        <v>101</v>
      </c>
      <c r="O2514">
        <v>2025</v>
      </c>
    </row>
    <row r="2515" spans="1:15" x14ac:dyDescent="0.3">
      <c r="A2515" t="s">
        <v>2600</v>
      </c>
      <c r="B2515" t="s">
        <v>61</v>
      </c>
      <c r="C2515" t="s">
        <v>62</v>
      </c>
      <c r="D2515" t="s">
        <v>95</v>
      </c>
      <c r="E2515" t="s">
        <v>81</v>
      </c>
      <c r="F2515" s="1">
        <v>45444</v>
      </c>
      <c r="G2515">
        <v>1</v>
      </c>
      <c r="H2515">
        <v>897.7</v>
      </c>
      <c r="I2515">
        <v>0</v>
      </c>
      <c r="J2515" t="s">
        <v>45</v>
      </c>
      <c r="K2515">
        <v>0</v>
      </c>
      <c r="L2515">
        <v>897.7</v>
      </c>
      <c r="M2515">
        <v>897.7</v>
      </c>
      <c r="N2515" t="s">
        <v>72</v>
      </c>
      <c r="O2515">
        <v>2024</v>
      </c>
    </row>
    <row r="2516" spans="1:15" x14ac:dyDescent="0.3">
      <c r="A2516" t="s">
        <v>2601</v>
      </c>
      <c r="B2516" t="s">
        <v>53</v>
      </c>
      <c r="C2516" t="s">
        <v>34</v>
      </c>
      <c r="D2516" t="s">
        <v>35</v>
      </c>
      <c r="E2516" t="s">
        <v>56</v>
      </c>
      <c r="F2516" s="1">
        <v>45812</v>
      </c>
      <c r="G2516">
        <v>5</v>
      </c>
      <c r="H2516">
        <v>26649.81</v>
      </c>
      <c r="I2516">
        <v>5</v>
      </c>
      <c r="J2516" t="s">
        <v>26</v>
      </c>
      <c r="K2516">
        <v>6662.45</v>
      </c>
      <c r="L2516">
        <v>133249.04999999999</v>
      </c>
      <c r="M2516">
        <v>126586.6</v>
      </c>
      <c r="N2516" t="s">
        <v>72</v>
      </c>
      <c r="O2516">
        <v>2025</v>
      </c>
    </row>
    <row r="2517" spans="1:15" x14ac:dyDescent="0.3">
      <c r="A2517" t="s">
        <v>2602</v>
      </c>
      <c r="B2517" t="s">
        <v>61</v>
      </c>
      <c r="C2517" t="s">
        <v>54</v>
      </c>
      <c r="D2517" t="s">
        <v>68</v>
      </c>
      <c r="E2517" t="s">
        <v>19</v>
      </c>
      <c r="F2517" s="1">
        <v>45356</v>
      </c>
      <c r="G2517">
        <v>6</v>
      </c>
      <c r="H2517">
        <v>4871.8100000000004</v>
      </c>
      <c r="I2517">
        <v>15</v>
      </c>
      <c r="J2517" t="s">
        <v>31</v>
      </c>
      <c r="K2517">
        <v>4384.63</v>
      </c>
      <c r="L2517">
        <v>29230.86</v>
      </c>
      <c r="M2517">
        <v>24846.23</v>
      </c>
      <c r="N2517" t="s">
        <v>83</v>
      </c>
      <c r="O2517">
        <v>2024</v>
      </c>
    </row>
    <row r="2518" spans="1:15" x14ac:dyDescent="0.3">
      <c r="A2518" t="s">
        <v>2603</v>
      </c>
      <c r="B2518" t="s">
        <v>33</v>
      </c>
      <c r="C2518" t="s">
        <v>17</v>
      </c>
      <c r="D2518" t="s">
        <v>39</v>
      </c>
      <c r="E2518" t="s">
        <v>19</v>
      </c>
      <c r="F2518" s="1">
        <v>45470</v>
      </c>
      <c r="G2518">
        <v>2</v>
      </c>
      <c r="H2518">
        <v>17857.29</v>
      </c>
      <c r="I2518">
        <v>15</v>
      </c>
      <c r="J2518" t="s">
        <v>82</v>
      </c>
      <c r="K2518">
        <v>5357.19</v>
      </c>
      <c r="L2518">
        <v>35714.58</v>
      </c>
      <c r="M2518">
        <v>30357.39</v>
      </c>
      <c r="N2518" t="s">
        <v>72</v>
      </c>
      <c r="O2518">
        <v>2024</v>
      </c>
    </row>
    <row r="2519" spans="1:15" x14ac:dyDescent="0.3">
      <c r="A2519" t="s">
        <v>2604</v>
      </c>
      <c r="B2519" t="s">
        <v>47</v>
      </c>
      <c r="C2519" t="s">
        <v>62</v>
      </c>
      <c r="D2519" t="s">
        <v>95</v>
      </c>
      <c r="E2519" t="s">
        <v>81</v>
      </c>
      <c r="F2519" s="1">
        <v>45629</v>
      </c>
      <c r="G2519">
        <v>7</v>
      </c>
      <c r="H2519">
        <v>851.76</v>
      </c>
      <c r="I2519">
        <v>20</v>
      </c>
      <c r="J2519" t="s">
        <v>45</v>
      </c>
      <c r="K2519">
        <v>1192.46</v>
      </c>
      <c r="L2519">
        <v>5962.32</v>
      </c>
      <c r="M2519">
        <v>4769.8599999999997</v>
      </c>
      <c r="N2519" t="s">
        <v>51</v>
      </c>
      <c r="O2519">
        <v>2024</v>
      </c>
    </row>
    <row r="2520" spans="1:15" x14ac:dyDescent="0.3">
      <c r="A2520" t="s">
        <v>2605</v>
      </c>
      <c r="B2520" t="s">
        <v>16</v>
      </c>
      <c r="C2520" t="s">
        <v>17</v>
      </c>
      <c r="D2520" t="s">
        <v>24</v>
      </c>
      <c r="E2520" t="s">
        <v>56</v>
      </c>
      <c r="F2520" s="1">
        <v>45897</v>
      </c>
      <c r="G2520">
        <v>6</v>
      </c>
      <c r="H2520">
        <v>3038.14</v>
      </c>
      <c r="I2520">
        <v>15</v>
      </c>
      <c r="J2520" t="s">
        <v>20</v>
      </c>
      <c r="K2520">
        <v>2734.33</v>
      </c>
      <c r="L2520">
        <v>18228.84</v>
      </c>
      <c r="M2520">
        <v>15494.51</v>
      </c>
      <c r="N2520" t="s">
        <v>21</v>
      </c>
      <c r="O2520">
        <v>2025</v>
      </c>
    </row>
    <row r="2521" spans="1:15" x14ac:dyDescent="0.3">
      <c r="A2521" t="s">
        <v>2606</v>
      </c>
      <c r="B2521" t="s">
        <v>109</v>
      </c>
      <c r="C2521" t="s">
        <v>62</v>
      </c>
      <c r="D2521" t="s">
        <v>63</v>
      </c>
      <c r="E2521" t="s">
        <v>56</v>
      </c>
      <c r="F2521" s="1">
        <v>45432</v>
      </c>
      <c r="G2521">
        <v>1</v>
      </c>
      <c r="H2521">
        <v>1734.13</v>
      </c>
      <c r="I2521">
        <v>15</v>
      </c>
      <c r="J2521" t="s">
        <v>26</v>
      </c>
      <c r="K2521">
        <v>260.12</v>
      </c>
      <c r="L2521">
        <v>1734.13</v>
      </c>
      <c r="M2521">
        <v>1474.01</v>
      </c>
      <c r="N2521" t="s">
        <v>101</v>
      </c>
      <c r="O2521">
        <v>2024</v>
      </c>
    </row>
    <row r="2522" spans="1:15" x14ac:dyDescent="0.3">
      <c r="A2522" t="s">
        <v>2607</v>
      </c>
      <c r="B2522" t="s">
        <v>47</v>
      </c>
      <c r="C2522" t="s">
        <v>34</v>
      </c>
      <c r="D2522" t="s">
        <v>80</v>
      </c>
      <c r="E2522" t="s">
        <v>81</v>
      </c>
      <c r="F2522" s="1">
        <v>45390</v>
      </c>
      <c r="G2522">
        <v>3</v>
      </c>
      <c r="H2522">
        <v>6493.45</v>
      </c>
      <c r="I2522">
        <v>0</v>
      </c>
      <c r="J2522" t="s">
        <v>71</v>
      </c>
      <c r="K2522">
        <v>0</v>
      </c>
      <c r="L2522">
        <v>19480.349999999999</v>
      </c>
      <c r="M2522">
        <v>19480.349999999999</v>
      </c>
      <c r="N2522" t="s">
        <v>27</v>
      </c>
      <c r="O2522">
        <v>2024</v>
      </c>
    </row>
    <row r="2523" spans="1:15" x14ac:dyDescent="0.3">
      <c r="A2523" t="s">
        <v>2608</v>
      </c>
      <c r="B2523" t="s">
        <v>47</v>
      </c>
      <c r="C2523" t="s">
        <v>34</v>
      </c>
      <c r="D2523" t="s">
        <v>48</v>
      </c>
      <c r="E2523" t="s">
        <v>50</v>
      </c>
      <c r="F2523" s="1">
        <v>45732</v>
      </c>
      <c r="G2523">
        <v>10</v>
      </c>
      <c r="H2523">
        <v>8007.07</v>
      </c>
      <c r="I2523">
        <v>20</v>
      </c>
      <c r="J2523" t="s">
        <v>20</v>
      </c>
      <c r="K2523">
        <v>16014.14</v>
      </c>
      <c r="L2523">
        <v>80070.7</v>
      </c>
      <c r="M2523">
        <v>64056.56</v>
      </c>
      <c r="N2523" t="s">
        <v>83</v>
      </c>
      <c r="O2523">
        <v>2025</v>
      </c>
    </row>
    <row r="2524" spans="1:15" x14ac:dyDescent="0.3">
      <c r="A2524" t="s">
        <v>2609</v>
      </c>
      <c r="B2524" t="s">
        <v>23</v>
      </c>
      <c r="C2524" t="s">
        <v>54</v>
      </c>
      <c r="D2524" t="s">
        <v>68</v>
      </c>
      <c r="E2524" t="s">
        <v>25</v>
      </c>
      <c r="F2524" s="1">
        <v>45512</v>
      </c>
      <c r="G2524">
        <v>2</v>
      </c>
      <c r="H2524">
        <v>4235.6000000000004</v>
      </c>
      <c r="I2524">
        <v>15</v>
      </c>
      <c r="J2524" t="s">
        <v>71</v>
      </c>
      <c r="K2524">
        <v>1270.68</v>
      </c>
      <c r="L2524">
        <v>8471.2000000000007</v>
      </c>
      <c r="M2524">
        <v>7200.52</v>
      </c>
      <c r="N2524" t="s">
        <v>21</v>
      </c>
      <c r="O2524">
        <v>2024</v>
      </c>
    </row>
    <row r="2525" spans="1:15" x14ac:dyDescent="0.3">
      <c r="A2525" t="s">
        <v>2610</v>
      </c>
      <c r="B2525" t="s">
        <v>47</v>
      </c>
      <c r="C2525" t="s">
        <v>90</v>
      </c>
      <c r="D2525" t="s">
        <v>107</v>
      </c>
      <c r="E2525" t="s">
        <v>44</v>
      </c>
      <c r="F2525" s="1">
        <v>45427</v>
      </c>
      <c r="G2525">
        <v>8</v>
      </c>
      <c r="H2525">
        <v>12756.1</v>
      </c>
      <c r="I2525">
        <v>0</v>
      </c>
      <c r="J2525" t="s">
        <v>36</v>
      </c>
      <c r="K2525">
        <v>0</v>
      </c>
      <c r="L2525">
        <v>102048.8</v>
      </c>
      <c r="M2525">
        <v>102048.8</v>
      </c>
      <c r="N2525" t="s">
        <v>101</v>
      </c>
      <c r="O2525">
        <v>2024</v>
      </c>
    </row>
    <row r="2526" spans="1:15" x14ac:dyDescent="0.3">
      <c r="A2526" t="s">
        <v>2611</v>
      </c>
      <c r="B2526" t="s">
        <v>16</v>
      </c>
      <c r="C2526" t="s">
        <v>90</v>
      </c>
      <c r="D2526" t="s">
        <v>115</v>
      </c>
      <c r="E2526" t="s">
        <v>81</v>
      </c>
      <c r="F2526" s="1">
        <v>45956</v>
      </c>
      <c r="G2526">
        <v>9</v>
      </c>
      <c r="H2526">
        <v>8844.7800000000007</v>
      </c>
      <c r="I2526">
        <v>5</v>
      </c>
      <c r="J2526" t="s">
        <v>71</v>
      </c>
      <c r="K2526">
        <v>3980.15</v>
      </c>
      <c r="L2526">
        <v>79603.02</v>
      </c>
      <c r="M2526">
        <v>75622.87</v>
      </c>
      <c r="N2526" t="s">
        <v>57</v>
      </c>
      <c r="O2526">
        <v>2025</v>
      </c>
    </row>
    <row r="2527" spans="1:15" x14ac:dyDescent="0.3">
      <c r="A2527" t="s">
        <v>2612</v>
      </c>
      <c r="B2527" t="s">
        <v>114</v>
      </c>
      <c r="C2527" t="s">
        <v>34</v>
      </c>
      <c r="D2527" t="s">
        <v>66</v>
      </c>
      <c r="E2527" t="s">
        <v>30</v>
      </c>
      <c r="F2527" s="1">
        <v>45499</v>
      </c>
      <c r="G2527">
        <v>2</v>
      </c>
      <c r="H2527">
        <v>42026.18</v>
      </c>
      <c r="I2527">
        <v>15</v>
      </c>
      <c r="J2527" t="s">
        <v>40</v>
      </c>
      <c r="K2527">
        <v>12607.85</v>
      </c>
      <c r="L2527">
        <v>84052.36</v>
      </c>
      <c r="M2527">
        <v>71444.509999999995</v>
      </c>
      <c r="N2527" t="s">
        <v>122</v>
      </c>
      <c r="O2527">
        <v>2024</v>
      </c>
    </row>
    <row r="2528" spans="1:15" x14ac:dyDescent="0.3">
      <c r="A2528" t="s">
        <v>2613</v>
      </c>
      <c r="B2528" t="s">
        <v>29</v>
      </c>
      <c r="C2528" t="s">
        <v>62</v>
      </c>
      <c r="D2528" t="s">
        <v>119</v>
      </c>
      <c r="E2528" t="s">
        <v>25</v>
      </c>
      <c r="F2528" s="1">
        <v>45478</v>
      </c>
      <c r="G2528">
        <v>4</v>
      </c>
      <c r="H2528">
        <v>3259.1</v>
      </c>
      <c r="I2528">
        <v>0</v>
      </c>
      <c r="J2528" t="s">
        <v>45</v>
      </c>
      <c r="K2528">
        <v>0</v>
      </c>
      <c r="L2528">
        <v>13036.4</v>
      </c>
      <c r="M2528">
        <v>13036.4</v>
      </c>
      <c r="N2528" t="s">
        <v>122</v>
      </c>
      <c r="O2528">
        <v>2024</v>
      </c>
    </row>
    <row r="2529" spans="1:15" x14ac:dyDescent="0.3">
      <c r="A2529" t="s">
        <v>2614</v>
      </c>
      <c r="B2529" t="s">
        <v>93</v>
      </c>
      <c r="C2529" t="s">
        <v>34</v>
      </c>
      <c r="D2529" t="s">
        <v>80</v>
      </c>
      <c r="E2529" t="s">
        <v>25</v>
      </c>
      <c r="F2529" s="1">
        <v>45316</v>
      </c>
      <c r="G2529">
        <v>6</v>
      </c>
      <c r="H2529">
        <v>6129.43</v>
      </c>
      <c r="I2529">
        <v>15</v>
      </c>
      <c r="J2529" t="s">
        <v>45</v>
      </c>
      <c r="K2529">
        <v>5516.49</v>
      </c>
      <c r="L2529">
        <v>36776.58</v>
      </c>
      <c r="M2529">
        <v>31260.09</v>
      </c>
      <c r="N2529" t="s">
        <v>116</v>
      </c>
      <c r="O2529">
        <v>2024</v>
      </c>
    </row>
    <row r="2530" spans="1:15" x14ac:dyDescent="0.3">
      <c r="A2530" t="s">
        <v>2615</v>
      </c>
      <c r="B2530" t="s">
        <v>93</v>
      </c>
      <c r="C2530" t="s">
        <v>62</v>
      </c>
      <c r="D2530" t="s">
        <v>119</v>
      </c>
      <c r="E2530" t="s">
        <v>30</v>
      </c>
      <c r="F2530" s="1">
        <v>45582</v>
      </c>
      <c r="G2530">
        <v>8</v>
      </c>
      <c r="H2530">
        <v>3471.63</v>
      </c>
      <c r="I2530">
        <v>0</v>
      </c>
      <c r="J2530" t="s">
        <v>71</v>
      </c>
      <c r="K2530">
        <v>0</v>
      </c>
      <c r="L2530">
        <v>27773.040000000001</v>
      </c>
      <c r="M2530">
        <v>27773.040000000001</v>
      </c>
      <c r="N2530" t="s">
        <v>57</v>
      </c>
      <c r="O2530">
        <v>2024</v>
      </c>
    </row>
    <row r="2531" spans="1:15" x14ac:dyDescent="0.3">
      <c r="A2531" t="s">
        <v>2616</v>
      </c>
      <c r="B2531" t="s">
        <v>23</v>
      </c>
      <c r="C2531" t="s">
        <v>17</v>
      </c>
      <c r="D2531" t="s">
        <v>59</v>
      </c>
      <c r="E2531" t="s">
        <v>81</v>
      </c>
      <c r="F2531" s="1">
        <v>45697</v>
      </c>
      <c r="G2531">
        <v>5</v>
      </c>
      <c r="H2531">
        <v>24432.42</v>
      </c>
      <c r="I2531">
        <v>15</v>
      </c>
      <c r="J2531" t="s">
        <v>71</v>
      </c>
      <c r="K2531">
        <v>18324.310000000001</v>
      </c>
      <c r="L2531">
        <v>122162.1</v>
      </c>
      <c r="M2531">
        <v>103837.79</v>
      </c>
      <c r="N2531" t="s">
        <v>41</v>
      </c>
      <c r="O2531">
        <v>2025</v>
      </c>
    </row>
    <row r="2532" spans="1:15" x14ac:dyDescent="0.3">
      <c r="A2532" t="s">
        <v>2617</v>
      </c>
      <c r="B2532" t="s">
        <v>43</v>
      </c>
      <c r="C2532" t="s">
        <v>90</v>
      </c>
      <c r="D2532" t="s">
        <v>152</v>
      </c>
      <c r="E2532" t="s">
        <v>81</v>
      </c>
      <c r="F2532" s="1">
        <v>45899</v>
      </c>
      <c r="G2532">
        <v>8</v>
      </c>
      <c r="H2532">
        <v>11308.39</v>
      </c>
      <c r="I2532">
        <v>0</v>
      </c>
      <c r="J2532" t="s">
        <v>71</v>
      </c>
      <c r="K2532">
        <v>0</v>
      </c>
      <c r="L2532">
        <v>90467.12</v>
      </c>
      <c r="M2532">
        <v>90467.12</v>
      </c>
      <c r="N2532" t="s">
        <v>21</v>
      </c>
      <c r="O2532">
        <v>2025</v>
      </c>
    </row>
    <row r="2533" spans="1:15" x14ac:dyDescent="0.3">
      <c r="A2533" t="s">
        <v>2618</v>
      </c>
      <c r="B2533" t="s">
        <v>23</v>
      </c>
      <c r="C2533" t="s">
        <v>90</v>
      </c>
      <c r="D2533" t="s">
        <v>107</v>
      </c>
      <c r="E2533" t="s">
        <v>19</v>
      </c>
      <c r="F2533" s="1">
        <v>45999</v>
      </c>
      <c r="G2533">
        <v>1</v>
      </c>
      <c r="H2533">
        <v>12727.87</v>
      </c>
      <c r="I2533">
        <v>10</v>
      </c>
      <c r="J2533" t="s">
        <v>31</v>
      </c>
      <c r="K2533">
        <v>1272.79</v>
      </c>
      <c r="L2533">
        <v>12727.87</v>
      </c>
      <c r="M2533">
        <v>11455.08</v>
      </c>
      <c r="N2533" t="s">
        <v>51</v>
      </c>
      <c r="O2533">
        <v>2025</v>
      </c>
    </row>
    <row r="2534" spans="1:15" x14ac:dyDescent="0.3">
      <c r="A2534" t="s">
        <v>2619</v>
      </c>
      <c r="B2534" t="s">
        <v>23</v>
      </c>
      <c r="C2534" t="s">
        <v>17</v>
      </c>
      <c r="D2534" t="s">
        <v>18</v>
      </c>
      <c r="E2534" t="s">
        <v>50</v>
      </c>
      <c r="F2534" s="1">
        <v>45614</v>
      </c>
      <c r="G2534">
        <v>4</v>
      </c>
      <c r="H2534">
        <v>72755.89</v>
      </c>
      <c r="I2534">
        <v>0</v>
      </c>
      <c r="J2534" t="s">
        <v>45</v>
      </c>
      <c r="K2534">
        <v>0</v>
      </c>
      <c r="L2534">
        <v>291023.56</v>
      </c>
      <c r="M2534">
        <v>291023.56</v>
      </c>
      <c r="N2534" t="s">
        <v>96</v>
      </c>
      <c r="O2534">
        <v>2024</v>
      </c>
    </row>
    <row r="2535" spans="1:15" x14ac:dyDescent="0.3">
      <c r="A2535" t="s">
        <v>2620</v>
      </c>
      <c r="B2535" t="s">
        <v>43</v>
      </c>
      <c r="C2535" t="s">
        <v>54</v>
      </c>
      <c r="D2535" t="s">
        <v>68</v>
      </c>
      <c r="E2535" t="s">
        <v>81</v>
      </c>
      <c r="F2535" s="1">
        <v>45923</v>
      </c>
      <c r="G2535">
        <v>3</v>
      </c>
      <c r="H2535">
        <v>5133.25</v>
      </c>
      <c r="I2535">
        <v>15</v>
      </c>
      <c r="J2535" t="s">
        <v>31</v>
      </c>
      <c r="K2535">
        <v>2309.96</v>
      </c>
      <c r="L2535">
        <v>15399.75</v>
      </c>
      <c r="M2535">
        <v>13089.79</v>
      </c>
      <c r="N2535" t="s">
        <v>86</v>
      </c>
      <c r="O2535">
        <v>2025</v>
      </c>
    </row>
    <row r="2536" spans="1:15" x14ac:dyDescent="0.3">
      <c r="A2536" t="s">
        <v>2621</v>
      </c>
      <c r="B2536" t="s">
        <v>114</v>
      </c>
      <c r="C2536" t="s">
        <v>17</v>
      </c>
      <c r="D2536" t="s">
        <v>18</v>
      </c>
      <c r="E2536" t="s">
        <v>30</v>
      </c>
      <c r="F2536" s="1">
        <v>45432</v>
      </c>
      <c r="G2536">
        <v>10</v>
      </c>
      <c r="H2536">
        <v>69809.11</v>
      </c>
      <c r="I2536">
        <v>5</v>
      </c>
      <c r="J2536" t="s">
        <v>45</v>
      </c>
      <c r="K2536">
        <v>34904.559999999998</v>
      </c>
      <c r="L2536">
        <v>698091.1</v>
      </c>
      <c r="M2536">
        <v>663186.54</v>
      </c>
      <c r="N2536" t="s">
        <v>101</v>
      </c>
      <c r="O2536">
        <v>2024</v>
      </c>
    </row>
    <row r="2537" spans="1:15" x14ac:dyDescent="0.3">
      <c r="A2537" t="s">
        <v>2622</v>
      </c>
      <c r="B2537" t="s">
        <v>109</v>
      </c>
      <c r="C2537" t="s">
        <v>62</v>
      </c>
      <c r="D2537" t="s">
        <v>63</v>
      </c>
      <c r="E2537" t="s">
        <v>30</v>
      </c>
      <c r="F2537" s="1">
        <v>45899</v>
      </c>
      <c r="G2537">
        <v>8</v>
      </c>
      <c r="H2537">
        <v>1943.56</v>
      </c>
      <c r="I2537">
        <v>5</v>
      </c>
      <c r="J2537" t="s">
        <v>45</v>
      </c>
      <c r="K2537">
        <v>777.42</v>
      </c>
      <c r="L2537">
        <v>15548.48</v>
      </c>
      <c r="M2537">
        <v>14771.06</v>
      </c>
      <c r="N2537" t="s">
        <v>21</v>
      </c>
      <c r="O2537">
        <v>2025</v>
      </c>
    </row>
    <row r="2538" spans="1:15" x14ac:dyDescent="0.3">
      <c r="A2538" t="s">
        <v>2623</v>
      </c>
      <c r="B2538" t="s">
        <v>47</v>
      </c>
      <c r="C2538" t="s">
        <v>62</v>
      </c>
      <c r="D2538" t="s">
        <v>119</v>
      </c>
      <c r="E2538" t="s">
        <v>50</v>
      </c>
      <c r="F2538" s="1">
        <v>45765</v>
      </c>
      <c r="G2538">
        <v>7</v>
      </c>
      <c r="H2538">
        <v>3740.12</v>
      </c>
      <c r="I2538">
        <v>15</v>
      </c>
      <c r="J2538" t="s">
        <v>36</v>
      </c>
      <c r="K2538">
        <v>3927.13</v>
      </c>
      <c r="L2538">
        <v>26180.84</v>
      </c>
      <c r="M2538">
        <v>22253.71</v>
      </c>
      <c r="N2538" t="s">
        <v>27</v>
      </c>
      <c r="O2538">
        <v>2025</v>
      </c>
    </row>
    <row r="2539" spans="1:15" x14ac:dyDescent="0.3">
      <c r="A2539" t="s">
        <v>2624</v>
      </c>
      <c r="B2539" t="s">
        <v>47</v>
      </c>
      <c r="C2539" t="s">
        <v>62</v>
      </c>
      <c r="D2539" t="s">
        <v>63</v>
      </c>
      <c r="E2539" t="s">
        <v>44</v>
      </c>
      <c r="F2539" s="1">
        <v>45920</v>
      </c>
      <c r="G2539">
        <v>5</v>
      </c>
      <c r="H2539">
        <v>2032.27</v>
      </c>
      <c r="I2539">
        <v>20</v>
      </c>
      <c r="J2539" t="s">
        <v>45</v>
      </c>
      <c r="K2539">
        <v>2032.27</v>
      </c>
      <c r="L2539">
        <v>10161.35</v>
      </c>
      <c r="M2539">
        <v>8129.08</v>
      </c>
      <c r="N2539" t="s">
        <v>86</v>
      </c>
      <c r="O2539">
        <v>2025</v>
      </c>
    </row>
    <row r="2540" spans="1:15" x14ac:dyDescent="0.3">
      <c r="A2540" t="s">
        <v>2625</v>
      </c>
      <c r="B2540" t="s">
        <v>74</v>
      </c>
      <c r="C2540" t="s">
        <v>54</v>
      </c>
      <c r="D2540" t="s">
        <v>77</v>
      </c>
      <c r="E2540" t="s">
        <v>19</v>
      </c>
      <c r="F2540" s="1">
        <v>45649</v>
      </c>
      <c r="G2540">
        <v>5</v>
      </c>
      <c r="H2540">
        <v>5519.18</v>
      </c>
      <c r="I2540">
        <v>15</v>
      </c>
      <c r="J2540" t="s">
        <v>31</v>
      </c>
      <c r="K2540">
        <v>4139.3900000000003</v>
      </c>
      <c r="L2540">
        <v>27595.9</v>
      </c>
      <c r="M2540">
        <v>23456.51</v>
      </c>
      <c r="N2540" t="s">
        <v>51</v>
      </c>
      <c r="O2540">
        <v>2024</v>
      </c>
    </row>
    <row r="2541" spans="1:15" x14ac:dyDescent="0.3">
      <c r="A2541" t="s">
        <v>2626</v>
      </c>
      <c r="B2541" t="s">
        <v>33</v>
      </c>
      <c r="C2541" t="s">
        <v>34</v>
      </c>
      <c r="D2541" t="s">
        <v>48</v>
      </c>
      <c r="E2541" t="s">
        <v>44</v>
      </c>
      <c r="F2541" s="1">
        <v>45591</v>
      </c>
      <c r="G2541">
        <v>4</v>
      </c>
      <c r="H2541">
        <v>8596.26</v>
      </c>
      <c r="I2541">
        <v>10</v>
      </c>
      <c r="J2541" t="s">
        <v>40</v>
      </c>
      <c r="K2541">
        <v>3438.5</v>
      </c>
      <c r="L2541">
        <v>34385.040000000001</v>
      </c>
      <c r="M2541">
        <v>30946.54</v>
      </c>
      <c r="N2541" t="s">
        <v>57</v>
      </c>
      <c r="O2541">
        <v>2024</v>
      </c>
    </row>
    <row r="2542" spans="1:15" x14ac:dyDescent="0.3">
      <c r="A2542" t="s">
        <v>2627</v>
      </c>
      <c r="B2542" t="s">
        <v>93</v>
      </c>
      <c r="C2542" t="s">
        <v>17</v>
      </c>
      <c r="D2542" t="s">
        <v>39</v>
      </c>
      <c r="E2542" t="s">
        <v>25</v>
      </c>
      <c r="F2542" s="1">
        <v>45875</v>
      </c>
      <c r="G2542">
        <v>10</v>
      </c>
      <c r="H2542">
        <v>18850.900000000001</v>
      </c>
      <c r="I2542">
        <v>20</v>
      </c>
      <c r="J2542" t="s">
        <v>31</v>
      </c>
      <c r="K2542">
        <v>37701.800000000003</v>
      </c>
      <c r="L2542">
        <v>188509</v>
      </c>
      <c r="M2542">
        <v>150807.20000000001</v>
      </c>
      <c r="N2542" t="s">
        <v>21</v>
      </c>
      <c r="O2542">
        <v>2025</v>
      </c>
    </row>
    <row r="2543" spans="1:15" x14ac:dyDescent="0.3">
      <c r="A2543" t="s">
        <v>2628</v>
      </c>
      <c r="B2543" t="s">
        <v>43</v>
      </c>
      <c r="C2543" t="s">
        <v>34</v>
      </c>
      <c r="D2543" t="s">
        <v>48</v>
      </c>
      <c r="E2543" t="s">
        <v>81</v>
      </c>
      <c r="F2543" s="1">
        <v>45583</v>
      </c>
      <c r="G2543">
        <v>4</v>
      </c>
      <c r="H2543">
        <v>9184.82</v>
      </c>
      <c r="I2543">
        <v>10</v>
      </c>
      <c r="J2543" t="s">
        <v>71</v>
      </c>
      <c r="K2543">
        <v>3673.93</v>
      </c>
      <c r="L2543">
        <v>36739.279999999999</v>
      </c>
      <c r="M2543">
        <v>33065.35</v>
      </c>
      <c r="N2543" t="s">
        <v>57</v>
      </c>
      <c r="O2543">
        <v>2024</v>
      </c>
    </row>
    <row r="2544" spans="1:15" x14ac:dyDescent="0.3">
      <c r="A2544" t="s">
        <v>2629</v>
      </c>
      <c r="B2544" t="s">
        <v>109</v>
      </c>
      <c r="C2544" t="s">
        <v>90</v>
      </c>
      <c r="D2544" t="s">
        <v>115</v>
      </c>
      <c r="E2544" t="s">
        <v>81</v>
      </c>
      <c r="F2544" s="1">
        <v>45441</v>
      </c>
      <c r="G2544">
        <v>4</v>
      </c>
      <c r="H2544">
        <v>7295.49</v>
      </c>
      <c r="I2544">
        <v>10</v>
      </c>
      <c r="J2544" t="s">
        <v>36</v>
      </c>
      <c r="K2544">
        <v>2918.2</v>
      </c>
      <c r="L2544">
        <v>29181.96</v>
      </c>
      <c r="M2544">
        <v>26263.759999999998</v>
      </c>
      <c r="N2544" t="s">
        <v>101</v>
      </c>
      <c r="O2544">
        <v>2024</v>
      </c>
    </row>
    <row r="2545" spans="1:15" x14ac:dyDescent="0.3">
      <c r="A2545" t="s">
        <v>2630</v>
      </c>
      <c r="B2545" t="s">
        <v>53</v>
      </c>
      <c r="C2545" t="s">
        <v>54</v>
      </c>
      <c r="D2545" t="s">
        <v>68</v>
      </c>
      <c r="E2545" t="s">
        <v>81</v>
      </c>
      <c r="F2545" s="1">
        <v>45515</v>
      </c>
      <c r="G2545">
        <v>10</v>
      </c>
      <c r="H2545">
        <v>4802.63</v>
      </c>
      <c r="I2545">
        <v>20</v>
      </c>
      <c r="J2545" t="s">
        <v>71</v>
      </c>
      <c r="K2545">
        <v>9605.26</v>
      </c>
      <c r="L2545">
        <v>48026.3</v>
      </c>
      <c r="M2545">
        <v>38421.040000000001</v>
      </c>
      <c r="N2545" t="s">
        <v>21</v>
      </c>
      <c r="O2545">
        <v>2024</v>
      </c>
    </row>
    <row r="2546" spans="1:15" x14ac:dyDescent="0.3">
      <c r="A2546" t="s">
        <v>2631</v>
      </c>
      <c r="B2546" t="s">
        <v>38</v>
      </c>
      <c r="C2546" t="s">
        <v>54</v>
      </c>
      <c r="D2546" t="s">
        <v>77</v>
      </c>
      <c r="E2546" t="s">
        <v>19</v>
      </c>
      <c r="F2546" s="1">
        <v>45547</v>
      </c>
      <c r="G2546">
        <v>3</v>
      </c>
      <c r="H2546">
        <v>4629.51</v>
      </c>
      <c r="I2546">
        <v>0</v>
      </c>
      <c r="J2546" t="s">
        <v>82</v>
      </c>
      <c r="K2546">
        <v>0</v>
      </c>
      <c r="L2546">
        <v>13888.53</v>
      </c>
      <c r="M2546">
        <v>13888.53</v>
      </c>
      <c r="N2546" t="s">
        <v>86</v>
      </c>
      <c r="O2546">
        <v>2024</v>
      </c>
    </row>
    <row r="2547" spans="1:15" x14ac:dyDescent="0.3">
      <c r="A2547" t="s">
        <v>2632</v>
      </c>
      <c r="B2547" t="s">
        <v>53</v>
      </c>
      <c r="C2547" t="s">
        <v>54</v>
      </c>
      <c r="D2547" t="s">
        <v>68</v>
      </c>
      <c r="E2547" t="s">
        <v>25</v>
      </c>
      <c r="F2547" s="1">
        <v>45409</v>
      </c>
      <c r="G2547">
        <v>8</v>
      </c>
      <c r="H2547">
        <v>4906.8900000000003</v>
      </c>
      <c r="I2547">
        <v>15</v>
      </c>
      <c r="J2547" t="s">
        <v>36</v>
      </c>
      <c r="K2547">
        <v>5888.27</v>
      </c>
      <c r="L2547">
        <v>39255.120000000003</v>
      </c>
      <c r="M2547">
        <v>33366.85</v>
      </c>
      <c r="N2547" t="s">
        <v>27</v>
      </c>
      <c r="O2547">
        <v>2024</v>
      </c>
    </row>
    <row r="2548" spans="1:15" x14ac:dyDescent="0.3">
      <c r="A2548" t="s">
        <v>2633</v>
      </c>
      <c r="B2548" t="s">
        <v>114</v>
      </c>
      <c r="C2548" t="s">
        <v>62</v>
      </c>
      <c r="D2548" t="s">
        <v>119</v>
      </c>
      <c r="E2548" t="s">
        <v>44</v>
      </c>
      <c r="F2548" s="1">
        <v>45489</v>
      </c>
      <c r="G2548">
        <v>5</v>
      </c>
      <c r="H2548">
        <v>3701.51</v>
      </c>
      <c r="I2548">
        <v>15</v>
      </c>
      <c r="J2548" t="s">
        <v>45</v>
      </c>
      <c r="K2548">
        <v>2776.13</v>
      </c>
      <c r="L2548">
        <v>18507.55</v>
      </c>
      <c r="M2548">
        <v>15731.42</v>
      </c>
      <c r="N2548" t="s">
        <v>122</v>
      </c>
      <c r="O2548">
        <v>2024</v>
      </c>
    </row>
    <row r="2549" spans="1:15" x14ac:dyDescent="0.3">
      <c r="A2549" t="s">
        <v>2634</v>
      </c>
      <c r="B2549" t="s">
        <v>89</v>
      </c>
      <c r="C2549" t="s">
        <v>62</v>
      </c>
      <c r="D2549" t="s">
        <v>119</v>
      </c>
      <c r="E2549" t="s">
        <v>44</v>
      </c>
      <c r="F2549" s="1">
        <v>45420</v>
      </c>
      <c r="G2549">
        <v>1</v>
      </c>
      <c r="H2549">
        <v>3363.88</v>
      </c>
      <c r="I2549">
        <v>0</v>
      </c>
      <c r="J2549" t="s">
        <v>36</v>
      </c>
      <c r="K2549">
        <v>0</v>
      </c>
      <c r="L2549">
        <v>3363.88</v>
      </c>
      <c r="M2549">
        <v>3363.88</v>
      </c>
      <c r="N2549" t="s">
        <v>101</v>
      </c>
      <c r="O2549">
        <v>2024</v>
      </c>
    </row>
    <row r="2550" spans="1:15" x14ac:dyDescent="0.3">
      <c r="A2550" t="s">
        <v>2635</v>
      </c>
      <c r="B2550" t="s">
        <v>93</v>
      </c>
      <c r="C2550" t="s">
        <v>62</v>
      </c>
      <c r="D2550" t="s">
        <v>119</v>
      </c>
      <c r="E2550" t="s">
        <v>56</v>
      </c>
      <c r="F2550" s="1">
        <v>45682</v>
      </c>
      <c r="G2550">
        <v>2</v>
      </c>
      <c r="H2550">
        <v>3279.83</v>
      </c>
      <c r="I2550">
        <v>20</v>
      </c>
      <c r="J2550" t="s">
        <v>40</v>
      </c>
      <c r="K2550">
        <v>1311.93</v>
      </c>
      <c r="L2550">
        <v>6559.66</v>
      </c>
      <c r="M2550">
        <v>5247.73</v>
      </c>
      <c r="N2550" t="s">
        <v>116</v>
      </c>
      <c r="O2550">
        <v>2025</v>
      </c>
    </row>
    <row r="2551" spans="1:15" x14ac:dyDescent="0.3">
      <c r="A2551" t="s">
        <v>2636</v>
      </c>
      <c r="B2551" t="s">
        <v>109</v>
      </c>
      <c r="C2551" t="s">
        <v>34</v>
      </c>
      <c r="D2551" t="s">
        <v>66</v>
      </c>
      <c r="E2551" t="s">
        <v>44</v>
      </c>
      <c r="F2551" s="1">
        <v>45436</v>
      </c>
      <c r="G2551">
        <v>6</v>
      </c>
      <c r="H2551">
        <v>37066.36</v>
      </c>
      <c r="I2551">
        <v>0</v>
      </c>
      <c r="J2551" t="s">
        <v>26</v>
      </c>
      <c r="K2551">
        <v>0</v>
      </c>
      <c r="L2551">
        <v>222398.16</v>
      </c>
      <c r="M2551">
        <v>222398.16</v>
      </c>
      <c r="N2551" t="s">
        <v>101</v>
      </c>
      <c r="O2551">
        <v>2024</v>
      </c>
    </row>
    <row r="2552" spans="1:15" x14ac:dyDescent="0.3">
      <c r="A2552" t="s">
        <v>2637</v>
      </c>
      <c r="B2552" t="s">
        <v>33</v>
      </c>
      <c r="C2552" t="s">
        <v>34</v>
      </c>
      <c r="D2552" t="s">
        <v>35</v>
      </c>
      <c r="E2552" t="s">
        <v>44</v>
      </c>
      <c r="F2552" s="1">
        <v>45656</v>
      </c>
      <c r="G2552">
        <v>9</v>
      </c>
      <c r="H2552">
        <v>29610.48</v>
      </c>
      <c r="I2552">
        <v>15</v>
      </c>
      <c r="J2552" t="s">
        <v>31</v>
      </c>
      <c r="K2552">
        <v>39974.15</v>
      </c>
      <c r="L2552">
        <v>266494.32</v>
      </c>
      <c r="M2552">
        <v>226520.17</v>
      </c>
      <c r="N2552" t="s">
        <v>51</v>
      </c>
      <c r="O2552">
        <v>2024</v>
      </c>
    </row>
    <row r="2553" spans="1:15" x14ac:dyDescent="0.3">
      <c r="A2553" t="s">
        <v>2638</v>
      </c>
      <c r="B2553" t="s">
        <v>93</v>
      </c>
      <c r="C2553" t="s">
        <v>34</v>
      </c>
      <c r="D2553" t="s">
        <v>48</v>
      </c>
      <c r="E2553" t="s">
        <v>19</v>
      </c>
      <c r="F2553" s="1">
        <v>45294</v>
      </c>
      <c r="G2553">
        <v>9</v>
      </c>
      <c r="H2553">
        <v>9079.84</v>
      </c>
      <c r="I2553">
        <v>0</v>
      </c>
      <c r="J2553" t="s">
        <v>71</v>
      </c>
      <c r="K2553">
        <v>0</v>
      </c>
      <c r="L2553">
        <v>81718.559999999998</v>
      </c>
      <c r="M2553">
        <v>81718.559999999998</v>
      </c>
      <c r="N2553" t="s">
        <v>116</v>
      </c>
      <c r="O2553">
        <v>2024</v>
      </c>
    </row>
    <row r="2554" spans="1:15" x14ac:dyDescent="0.3">
      <c r="A2554" t="s">
        <v>2639</v>
      </c>
      <c r="B2554" t="s">
        <v>29</v>
      </c>
      <c r="C2554" t="s">
        <v>54</v>
      </c>
      <c r="D2554" t="s">
        <v>77</v>
      </c>
      <c r="E2554" t="s">
        <v>25</v>
      </c>
      <c r="F2554" s="1">
        <v>46014</v>
      </c>
      <c r="G2554">
        <v>6</v>
      </c>
      <c r="H2554">
        <v>5709.76</v>
      </c>
      <c r="I2554">
        <v>5</v>
      </c>
      <c r="J2554" t="s">
        <v>40</v>
      </c>
      <c r="K2554">
        <v>1712.93</v>
      </c>
      <c r="L2554">
        <v>34258.559999999998</v>
      </c>
      <c r="M2554">
        <v>32545.63</v>
      </c>
      <c r="N2554" t="s">
        <v>51</v>
      </c>
      <c r="O2554">
        <v>2025</v>
      </c>
    </row>
    <row r="2555" spans="1:15" x14ac:dyDescent="0.3">
      <c r="A2555" t="s">
        <v>2640</v>
      </c>
      <c r="B2555" t="s">
        <v>23</v>
      </c>
      <c r="C2555" t="s">
        <v>62</v>
      </c>
      <c r="D2555" t="s">
        <v>119</v>
      </c>
      <c r="E2555" t="s">
        <v>56</v>
      </c>
      <c r="F2555" s="1">
        <v>45378</v>
      </c>
      <c r="G2555">
        <v>2</v>
      </c>
      <c r="H2555">
        <v>3344.97</v>
      </c>
      <c r="I2555">
        <v>20</v>
      </c>
      <c r="J2555" t="s">
        <v>20</v>
      </c>
      <c r="K2555">
        <v>1337.99</v>
      </c>
      <c r="L2555">
        <v>6689.94</v>
      </c>
      <c r="M2555">
        <v>5351.95</v>
      </c>
      <c r="N2555" t="s">
        <v>83</v>
      </c>
      <c r="O2555">
        <v>2024</v>
      </c>
    </row>
    <row r="2556" spans="1:15" x14ac:dyDescent="0.3">
      <c r="A2556" t="s">
        <v>2641</v>
      </c>
      <c r="B2556" t="s">
        <v>109</v>
      </c>
      <c r="C2556" t="s">
        <v>54</v>
      </c>
      <c r="D2556" t="s">
        <v>137</v>
      </c>
      <c r="E2556" t="s">
        <v>50</v>
      </c>
      <c r="F2556" s="1">
        <v>45479</v>
      </c>
      <c r="G2556">
        <v>4</v>
      </c>
      <c r="H2556">
        <v>996.48</v>
      </c>
      <c r="I2556">
        <v>5</v>
      </c>
      <c r="J2556" t="s">
        <v>40</v>
      </c>
      <c r="K2556">
        <v>199.3</v>
      </c>
      <c r="L2556">
        <v>3985.92</v>
      </c>
      <c r="M2556">
        <v>3786.62</v>
      </c>
      <c r="N2556" t="s">
        <v>122</v>
      </c>
      <c r="O2556">
        <v>2024</v>
      </c>
    </row>
    <row r="2557" spans="1:15" x14ac:dyDescent="0.3">
      <c r="A2557" t="s">
        <v>2642</v>
      </c>
      <c r="B2557" t="s">
        <v>38</v>
      </c>
      <c r="C2557" t="s">
        <v>34</v>
      </c>
      <c r="D2557" t="s">
        <v>80</v>
      </c>
      <c r="E2557" t="s">
        <v>50</v>
      </c>
      <c r="F2557" s="1">
        <v>45609</v>
      </c>
      <c r="G2557">
        <v>8</v>
      </c>
      <c r="H2557">
        <v>6423.05</v>
      </c>
      <c r="I2557">
        <v>10</v>
      </c>
      <c r="J2557" t="s">
        <v>20</v>
      </c>
      <c r="K2557">
        <v>5138.4399999999996</v>
      </c>
      <c r="L2557">
        <v>51384.4</v>
      </c>
      <c r="M2557">
        <v>46245.96</v>
      </c>
      <c r="N2557" t="s">
        <v>96</v>
      </c>
      <c r="O2557">
        <v>2024</v>
      </c>
    </row>
    <row r="2558" spans="1:15" x14ac:dyDescent="0.3">
      <c r="A2558" t="s">
        <v>2643</v>
      </c>
      <c r="B2558" t="s">
        <v>61</v>
      </c>
      <c r="C2558" t="s">
        <v>90</v>
      </c>
      <c r="D2558" t="s">
        <v>107</v>
      </c>
      <c r="E2558" t="s">
        <v>25</v>
      </c>
      <c r="F2558" s="1">
        <v>45600</v>
      </c>
      <c r="G2558">
        <v>4</v>
      </c>
      <c r="H2558">
        <v>14068.84</v>
      </c>
      <c r="I2558">
        <v>20</v>
      </c>
      <c r="J2558" t="s">
        <v>26</v>
      </c>
      <c r="K2558">
        <v>11255.07</v>
      </c>
      <c r="L2558">
        <v>56275.360000000001</v>
      </c>
      <c r="M2558">
        <v>45020.29</v>
      </c>
      <c r="N2558" t="s">
        <v>96</v>
      </c>
      <c r="O2558">
        <v>2024</v>
      </c>
    </row>
    <row r="2559" spans="1:15" x14ac:dyDescent="0.3">
      <c r="A2559" t="s">
        <v>2644</v>
      </c>
      <c r="B2559" t="s">
        <v>16</v>
      </c>
      <c r="C2559" t="s">
        <v>90</v>
      </c>
      <c r="D2559" t="s">
        <v>91</v>
      </c>
      <c r="E2559" t="s">
        <v>30</v>
      </c>
      <c r="F2559" s="1">
        <v>45845</v>
      </c>
      <c r="G2559">
        <v>1</v>
      </c>
      <c r="H2559">
        <v>1362.25</v>
      </c>
      <c r="I2559">
        <v>10</v>
      </c>
      <c r="J2559" t="s">
        <v>31</v>
      </c>
      <c r="K2559">
        <v>136.22</v>
      </c>
      <c r="L2559">
        <v>1362.25</v>
      </c>
      <c r="M2559">
        <v>1226.03</v>
      </c>
      <c r="N2559" t="s">
        <v>122</v>
      </c>
      <c r="O2559">
        <v>2025</v>
      </c>
    </row>
    <row r="2560" spans="1:15" x14ac:dyDescent="0.3">
      <c r="A2560" t="s">
        <v>2645</v>
      </c>
      <c r="B2560" t="s">
        <v>38</v>
      </c>
      <c r="C2560" t="s">
        <v>34</v>
      </c>
      <c r="D2560" t="s">
        <v>66</v>
      </c>
      <c r="E2560" t="s">
        <v>19</v>
      </c>
      <c r="F2560" s="1">
        <v>45888</v>
      </c>
      <c r="G2560">
        <v>1</v>
      </c>
      <c r="H2560">
        <v>37529.910000000003</v>
      </c>
      <c r="I2560">
        <v>0</v>
      </c>
      <c r="J2560" t="s">
        <v>31</v>
      </c>
      <c r="K2560">
        <v>0</v>
      </c>
      <c r="L2560">
        <v>37529.910000000003</v>
      </c>
      <c r="M2560">
        <v>37529.910000000003</v>
      </c>
      <c r="N2560" t="s">
        <v>21</v>
      </c>
      <c r="O2560">
        <v>2025</v>
      </c>
    </row>
    <row r="2561" spans="1:15" x14ac:dyDescent="0.3">
      <c r="A2561" t="s">
        <v>2646</v>
      </c>
      <c r="B2561" t="s">
        <v>114</v>
      </c>
      <c r="C2561" t="s">
        <v>90</v>
      </c>
      <c r="D2561" t="s">
        <v>152</v>
      </c>
      <c r="E2561" t="s">
        <v>19</v>
      </c>
      <c r="F2561" s="1">
        <v>45768</v>
      </c>
      <c r="G2561">
        <v>5</v>
      </c>
      <c r="H2561">
        <v>9470.81</v>
      </c>
      <c r="I2561">
        <v>0</v>
      </c>
      <c r="J2561" t="s">
        <v>82</v>
      </c>
      <c r="K2561">
        <v>0</v>
      </c>
      <c r="L2561">
        <v>47354.05</v>
      </c>
      <c r="M2561">
        <v>47354.05</v>
      </c>
      <c r="N2561" t="s">
        <v>27</v>
      </c>
      <c r="O2561">
        <v>2025</v>
      </c>
    </row>
    <row r="2562" spans="1:15" x14ac:dyDescent="0.3">
      <c r="A2562" t="s">
        <v>2647</v>
      </c>
      <c r="B2562" t="s">
        <v>38</v>
      </c>
      <c r="C2562" t="s">
        <v>62</v>
      </c>
      <c r="D2562" t="s">
        <v>63</v>
      </c>
      <c r="E2562" t="s">
        <v>19</v>
      </c>
      <c r="F2562" s="1">
        <v>45450</v>
      </c>
      <c r="G2562">
        <v>4</v>
      </c>
      <c r="H2562">
        <v>1861.45</v>
      </c>
      <c r="I2562">
        <v>10</v>
      </c>
      <c r="J2562" t="s">
        <v>26</v>
      </c>
      <c r="K2562">
        <v>744.58</v>
      </c>
      <c r="L2562">
        <v>7445.8</v>
      </c>
      <c r="M2562">
        <v>6701.22</v>
      </c>
      <c r="N2562" t="s">
        <v>72</v>
      </c>
      <c r="O2562">
        <v>2024</v>
      </c>
    </row>
    <row r="2563" spans="1:15" x14ac:dyDescent="0.3">
      <c r="A2563" t="s">
        <v>2648</v>
      </c>
      <c r="B2563" t="s">
        <v>53</v>
      </c>
      <c r="C2563" t="s">
        <v>17</v>
      </c>
      <c r="D2563" t="s">
        <v>59</v>
      </c>
      <c r="E2563" t="s">
        <v>44</v>
      </c>
      <c r="F2563" s="1">
        <v>45724</v>
      </c>
      <c r="G2563">
        <v>7</v>
      </c>
      <c r="H2563">
        <v>24614.63</v>
      </c>
      <c r="I2563">
        <v>15</v>
      </c>
      <c r="J2563" t="s">
        <v>40</v>
      </c>
      <c r="K2563">
        <v>25845.360000000001</v>
      </c>
      <c r="L2563">
        <v>172302.41</v>
      </c>
      <c r="M2563">
        <v>146457.04999999999</v>
      </c>
      <c r="N2563" t="s">
        <v>83</v>
      </c>
      <c r="O2563">
        <v>2025</v>
      </c>
    </row>
    <row r="2564" spans="1:15" x14ac:dyDescent="0.3">
      <c r="A2564" t="s">
        <v>2649</v>
      </c>
      <c r="B2564" t="s">
        <v>29</v>
      </c>
      <c r="C2564" t="s">
        <v>62</v>
      </c>
      <c r="D2564" t="s">
        <v>63</v>
      </c>
      <c r="E2564" t="s">
        <v>50</v>
      </c>
      <c r="F2564" s="1">
        <v>45824</v>
      </c>
      <c r="G2564">
        <v>3</v>
      </c>
      <c r="H2564">
        <v>1900.62</v>
      </c>
      <c r="I2564">
        <v>5</v>
      </c>
      <c r="J2564" t="s">
        <v>36</v>
      </c>
      <c r="K2564">
        <v>285.08999999999997</v>
      </c>
      <c r="L2564">
        <v>5701.86</v>
      </c>
      <c r="M2564">
        <v>5416.77</v>
      </c>
      <c r="N2564" t="s">
        <v>72</v>
      </c>
      <c r="O2564">
        <v>2025</v>
      </c>
    </row>
    <row r="2565" spans="1:15" x14ac:dyDescent="0.3">
      <c r="A2565" t="s">
        <v>2650</v>
      </c>
      <c r="B2565" t="s">
        <v>109</v>
      </c>
      <c r="C2565" t="s">
        <v>17</v>
      </c>
      <c r="D2565" t="s">
        <v>59</v>
      </c>
      <c r="E2565" t="s">
        <v>50</v>
      </c>
      <c r="F2565" s="1">
        <v>45702</v>
      </c>
      <c r="G2565">
        <v>10</v>
      </c>
      <c r="H2565">
        <v>28696.92</v>
      </c>
      <c r="I2565">
        <v>5</v>
      </c>
      <c r="J2565" t="s">
        <v>45</v>
      </c>
      <c r="K2565">
        <v>14348.46</v>
      </c>
      <c r="L2565">
        <v>286969.2</v>
      </c>
      <c r="M2565">
        <v>272620.74</v>
      </c>
      <c r="N2565" t="s">
        <v>41</v>
      </c>
      <c r="O2565">
        <v>2025</v>
      </c>
    </row>
    <row r="2566" spans="1:15" x14ac:dyDescent="0.3">
      <c r="A2566" t="s">
        <v>2651</v>
      </c>
      <c r="B2566" t="s">
        <v>29</v>
      </c>
      <c r="C2566" t="s">
        <v>34</v>
      </c>
      <c r="D2566" t="s">
        <v>80</v>
      </c>
      <c r="E2566" t="s">
        <v>25</v>
      </c>
      <c r="F2566" s="1">
        <v>45494</v>
      </c>
      <c r="G2566">
        <v>5</v>
      </c>
      <c r="H2566">
        <v>6012.44</v>
      </c>
      <c r="I2566">
        <v>15</v>
      </c>
      <c r="J2566" t="s">
        <v>20</v>
      </c>
      <c r="K2566">
        <v>4509.33</v>
      </c>
      <c r="L2566">
        <v>30062.2</v>
      </c>
      <c r="M2566">
        <v>25552.87</v>
      </c>
      <c r="N2566" t="s">
        <v>122</v>
      </c>
      <c r="O2566">
        <v>2024</v>
      </c>
    </row>
    <row r="2567" spans="1:15" x14ac:dyDescent="0.3">
      <c r="A2567" t="s">
        <v>2652</v>
      </c>
      <c r="B2567" t="s">
        <v>61</v>
      </c>
      <c r="C2567" t="s">
        <v>17</v>
      </c>
      <c r="D2567" t="s">
        <v>18</v>
      </c>
      <c r="E2567" t="s">
        <v>56</v>
      </c>
      <c r="F2567" s="1">
        <v>45665</v>
      </c>
      <c r="G2567">
        <v>1</v>
      </c>
      <c r="H2567">
        <v>65610.02</v>
      </c>
      <c r="I2567">
        <v>15</v>
      </c>
      <c r="J2567" t="s">
        <v>71</v>
      </c>
      <c r="K2567">
        <v>9841.5</v>
      </c>
      <c r="L2567">
        <v>65610.02</v>
      </c>
      <c r="M2567">
        <v>55768.52</v>
      </c>
      <c r="N2567" t="s">
        <v>116</v>
      </c>
      <c r="O2567">
        <v>2025</v>
      </c>
    </row>
    <row r="2568" spans="1:15" x14ac:dyDescent="0.3">
      <c r="A2568" t="s">
        <v>2653</v>
      </c>
      <c r="B2568" t="s">
        <v>93</v>
      </c>
      <c r="C2568" t="s">
        <v>34</v>
      </c>
      <c r="D2568" t="s">
        <v>35</v>
      </c>
      <c r="E2568" t="s">
        <v>81</v>
      </c>
      <c r="F2568" s="1">
        <v>45614</v>
      </c>
      <c r="G2568">
        <v>4</v>
      </c>
      <c r="H2568">
        <v>30928.18</v>
      </c>
      <c r="I2568">
        <v>0</v>
      </c>
      <c r="J2568" t="s">
        <v>45</v>
      </c>
      <c r="K2568">
        <v>0</v>
      </c>
      <c r="L2568">
        <v>123712.72</v>
      </c>
      <c r="M2568">
        <v>123712.72</v>
      </c>
      <c r="N2568" t="s">
        <v>96</v>
      </c>
      <c r="O2568">
        <v>2024</v>
      </c>
    </row>
    <row r="2569" spans="1:15" x14ac:dyDescent="0.3">
      <c r="A2569" t="s">
        <v>2654</v>
      </c>
      <c r="B2569" t="s">
        <v>61</v>
      </c>
      <c r="C2569" t="s">
        <v>34</v>
      </c>
      <c r="D2569" t="s">
        <v>48</v>
      </c>
      <c r="E2569" t="s">
        <v>19</v>
      </c>
      <c r="F2569" s="1">
        <v>45349</v>
      </c>
      <c r="G2569">
        <v>2</v>
      </c>
      <c r="H2569">
        <v>9083.1200000000008</v>
      </c>
      <c r="I2569">
        <v>5</v>
      </c>
      <c r="J2569" t="s">
        <v>20</v>
      </c>
      <c r="K2569">
        <v>908.31</v>
      </c>
      <c r="L2569">
        <v>18166.240000000002</v>
      </c>
      <c r="M2569">
        <v>17257.93</v>
      </c>
      <c r="N2569" t="s">
        <v>41</v>
      </c>
      <c r="O2569">
        <v>2024</v>
      </c>
    </row>
    <row r="2570" spans="1:15" x14ac:dyDescent="0.3">
      <c r="A2570" t="s">
        <v>2655</v>
      </c>
      <c r="B2570" t="s">
        <v>65</v>
      </c>
      <c r="C2570" t="s">
        <v>34</v>
      </c>
      <c r="D2570" t="s">
        <v>66</v>
      </c>
      <c r="E2570" t="s">
        <v>44</v>
      </c>
      <c r="F2570" s="1">
        <v>45791</v>
      </c>
      <c r="G2570">
        <v>3</v>
      </c>
      <c r="H2570">
        <v>38349.879999999997</v>
      </c>
      <c r="I2570">
        <v>5</v>
      </c>
      <c r="J2570" t="s">
        <v>40</v>
      </c>
      <c r="K2570">
        <v>5752.48</v>
      </c>
      <c r="L2570">
        <v>115049.64</v>
      </c>
      <c r="M2570">
        <v>109297.16</v>
      </c>
      <c r="N2570" t="s">
        <v>101</v>
      </c>
      <c r="O2570">
        <v>2025</v>
      </c>
    </row>
    <row r="2571" spans="1:15" x14ac:dyDescent="0.3">
      <c r="A2571" t="s">
        <v>2656</v>
      </c>
      <c r="B2571" t="s">
        <v>109</v>
      </c>
      <c r="C2571" t="s">
        <v>62</v>
      </c>
      <c r="D2571" t="s">
        <v>63</v>
      </c>
      <c r="E2571" t="s">
        <v>50</v>
      </c>
      <c r="F2571" s="1">
        <v>45761</v>
      </c>
      <c r="G2571">
        <v>2</v>
      </c>
      <c r="H2571">
        <v>2045.95</v>
      </c>
      <c r="I2571">
        <v>20</v>
      </c>
      <c r="J2571" t="s">
        <v>40</v>
      </c>
      <c r="K2571">
        <v>818.38</v>
      </c>
      <c r="L2571">
        <v>4091.9</v>
      </c>
      <c r="M2571">
        <v>3273.52</v>
      </c>
      <c r="N2571" t="s">
        <v>27</v>
      </c>
      <c r="O2571">
        <v>2025</v>
      </c>
    </row>
    <row r="2572" spans="1:15" x14ac:dyDescent="0.3">
      <c r="A2572" t="s">
        <v>2657</v>
      </c>
      <c r="B2572" t="s">
        <v>89</v>
      </c>
      <c r="C2572" t="s">
        <v>17</v>
      </c>
      <c r="D2572" t="s">
        <v>18</v>
      </c>
      <c r="E2572" t="s">
        <v>30</v>
      </c>
      <c r="F2572" s="1">
        <v>45459</v>
      </c>
      <c r="G2572">
        <v>3</v>
      </c>
      <c r="H2572">
        <v>63255.95</v>
      </c>
      <c r="I2572">
        <v>10</v>
      </c>
      <c r="J2572" t="s">
        <v>36</v>
      </c>
      <c r="K2572">
        <v>18976.78</v>
      </c>
      <c r="L2572">
        <v>189767.85</v>
      </c>
      <c r="M2572">
        <v>170791.07</v>
      </c>
      <c r="N2572" t="s">
        <v>72</v>
      </c>
      <c r="O2572">
        <v>2024</v>
      </c>
    </row>
    <row r="2573" spans="1:15" x14ac:dyDescent="0.3">
      <c r="A2573" t="s">
        <v>2658</v>
      </c>
      <c r="B2573" t="s">
        <v>38</v>
      </c>
      <c r="C2573" t="s">
        <v>17</v>
      </c>
      <c r="D2573" t="s">
        <v>157</v>
      </c>
      <c r="E2573" t="s">
        <v>30</v>
      </c>
      <c r="F2573" s="1">
        <v>45557</v>
      </c>
      <c r="G2573">
        <v>9</v>
      </c>
      <c r="H2573">
        <v>7109.5</v>
      </c>
      <c r="I2573">
        <v>0</v>
      </c>
      <c r="J2573" t="s">
        <v>31</v>
      </c>
      <c r="K2573">
        <v>0</v>
      </c>
      <c r="L2573">
        <v>63985.5</v>
      </c>
      <c r="M2573">
        <v>63985.5</v>
      </c>
      <c r="N2573" t="s">
        <v>86</v>
      </c>
      <c r="O2573">
        <v>2024</v>
      </c>
    </row>
    <row r="2574" spans="1:15" x14ac:dyDescent="0.3">
      <c r="A2574" t="s">
        <v>2659</v>
      </c>
      <c r="B2574" t="s">
        <v>33</v>
      </c>
      <c r="C2574" t="s">
        <v>90</v>
      </c>
      <c r="D2574" t="s">
        <v>152</v>
      </c>
      <c r="E2574" t="s">
        <v>44</v>
      </c>
      <c r="F2574" s="1">
        <v>45715</v>
      </c>
      <c r="G2574">
        <v>2</v>
      </c>
      <c r="H2574">
        <v>10555.75</v>
      </c>
      <c r="I2574">
        <v>20</v>
      </c>
      <c r="J2574" t="s">
        <v>40</v>
      </c>
      <c r="K2574">
        <v>4222.3</v>
      </c>
      <c r="L2574">
        <v>21111.5</v>
      </c>
      <c r="M2574">
        <v>16889.2</v>
      </c>
      <c r="N2574" t="s">
        <v>41</v>
      </c>
      <c r="O2574">
        <v>2025</v>
      </c>
    </row>
    <row r="2575" spans="1:15" x14ac:dyDescent="0.3">
      <c r="A2575" t="s">
        <v>2660</v>
      </c>
      <c r="B2575" t="s">
        <v>109</v>
      </c>
      <c r="C2575" t="s">
        <v>34</v>
      </c>
      <c r="D2575" t="s">
        <v>48</v>
      </c>
      <c r="E2575" t="s">
        <v>56</v>
      </c>
      <c r="F2575" s="1">
        <v>45947</v>
      </c>
      <c r="G2575">
        <v>9</v>
      </c>
      <c r="H2575">
        <v>8420.26</v>
      </c>
      <c r="I2575">
        <v>15</v>
      </c>
      <c r="J2575" t="s">
        <v>45</v>
      </c>
      <c r="K2575">
        <v>11367.35</v>
      </c>
      <c r="L2575">
        <v>75782.34</v>
      </c>
      <c r="M2575">
        <v>64414.99</v>
      </c>
      <c r="N2575" t="s">
        <v>57</v>
      </c>
      <c r="O2575">
        <v>2025</v>
      </c>
    </row>
    <row r="2576" spans="1:15" x14ac:dyDescent="0.3">
      <c r="A2576" t="s">
        <v>2661</v>
      </c>
      <c r="B2576" t="s">
        <v>61</v>
      </c>
      <c r="C2576" t="s">
        <v>34</v>
      </c>
      <c r="D2576" t="s">
        <v>35</v>
      </c>
      <c r="E2576" t="s">
        <v>50</v>
      </c>
      <c r="F2576" s="1">
        <v>45809</v>
      </c>
      <c r="G2576">
        <v>2</v>
      </c>
      <c r="H2576">
        <v>23624.240000000002</v>
      </c>
      <c r="I2576">
        <v>10</v>
      </c>
      <c r="J2576" t="s">
        <v>45</v>
      </c>
      <c r="K2576">
        <v>4724.8500000000004</v>
      </c>
      <c r="L2576">
        <v>47248.480000000003</v>
      </c>
      <c r="M2576">
        <v>42523.63</v>
      </c>
      <c r="N2576" t="s">
        <v>72</v>
      </c>
      <c r="O2576">
        <v>2025</v>
      </c>
    </row>
    <row r="2577" spans="1:15" x14ac:dyDescent="0.3">
      <c r="A2577" t="s">
        <v>2662</v>
      </c>
      <c r="B2577" t="s">
        <v>74</v>
      </c>
      <c r="C2577" t="s">
        <v>54</v>
      </c>
      <c r="D2577" t="s">
        <v>70</v>
      </c>
      <c r="E2577" t="s">
        <v>81</v>
      </c>
      <c r="F2577" s="1">
        <v>45686</v>
      </c>
      <c r="G2577">
        <v>7</v>
      </c>
      <c r="H2577">
        <v>2723.91</v>
      </c>
      <c r="I2577">
        <v>10</v>
      </c>
      <c r="J2577" t="s">
        <v>45</v>
      </c>
      <c r="K2577">
        <v>1906.74</v>
      </c>
      <c r="L2577">
        <v>19067.37</v>
      </c>
      <c r="M2577">
        <v>17160.63</v>
      </c>
      <c r="N2577" t="s">
        <v>116</v>
      </c>
      <c r="O2577">
        <v>2025</v>
      </c>
    </row>
    <row r="2578" spans="1:15" x14ac:dyDescent="0.3">
      <c r="A2578" t="s">
        <v>2663</v>
      </c>
      <c r="B2578" t="s">
        <v>16</v>
      </c>
      <c r="C2578" t="s">
        <v>62</v>
      </c>
      <c r="D2578" t="s">
        <v>132</v>
      </c>
      <c r="E2578" t="s">
        <v>30</v>
      </c>
      <c r="F2578" s="1">
        <v>45545</v>
      </c>
      <c r="G2578">
        <v>8</v>
      </c>
      <c r="H2578">
        <v>2405.69</v>
      </c>
      <c r="I2578">
        <v>5</v>
      </c>
      <c r="J2578" t="s">
        <v>36</v>
      </c>
      <c r="K2578">
        <v>962.28</v>
      </c>
      <c r="L2578">
        <v>19245.52</v>
      </c>
      <c r="M2578">
        <v>18283.240000000002</v>
      </c>
      <c r="N2578" t="s">
        <v>86</v>
      </c>
      <c r="O2578">
        <v>2024</v>
      </c>
    </row>
    <row r="2579" spans="1:15" x14ac:dyDescent="0.3">
      <c r="A2579" t="s">
        <v>2664</v>
      </c>
      <c r="B2579" t="s">
        <v>74</v>
      </c>
      <c r="C2579" t="s">
        <v>90</v>
      </c>
      <c r="D2579" t="s">
        <v>91</v>
      </c>
      <c r="E2579" t="s">
        <v>25</v>
      </c>
      <c r="F2579" s="1">
        <v>45394</v>
      </c>
      <c r="G2579">
        <v>3</v>
      </c>
      <c r="H2579">
        <v>1381.7</v>
      </c>
      <c r="I2579">
        <v>0</v>
      </c>
      <c r="J2579" t="s">
        <v>36</v>
      </c>
      <c r="K2579">
        <v>0</v>
      </c>
      <c r="L2579">
        <v>4145.1000000000004</v>
      </c>
      <c r="M2579">
        <v>4145.1000000000004</v>
      </c>
      <c r="N2579" t="s">
        <v>27</v>
      </c>
      <c r="O2579">
        <v>2024</v>
      </c>
    </row>
    <row r="2580" spans="1:15" x14ac:dyDescent="0.3">
      <c r="A2580" t="s">
        <v>2665</v>
      </c>
      <c r="B2580" t="s">
        <v>89</v>
      </c>
      <c r="C2580" t="s">
        <v>17</v>
      </c>
      <c r="D2580" t="s">
        <v>24</v>
      </c>
      <c r="E2580" t="s">
        <v>81</v>
      </c>
      <c r="F2580" s="1">
        <v>45533</v>
      </c>
      <c r="G2580">
        <v>6</v>
      </c>
      <c r="H2580">
        <v>3436.89</v>
      </c>
      <c r="I2580">
        <v>20</v>
      </c>
      <c r="J2580" t="s">
        <v>26</v>
      </c>
      <c r="K2580">
        <v>4124.2700000000004</v>
      </c>
      <c r="L2580">
        <v>20621.34</v>
      </c>
      <c r="M2580">
        <v>16497.07</v>
      </c>
      <c r="N2580" t="s">
        <v>21</v>
      </c>
      <c r="O2580">
        <v>2024</v>
      </c>
    </row>
    <row r="2581" spans="1:15" x14ac:dyDescent="0.3">
      <c r="A2581" t="s">
        <v>2666</v>
      </c>
      <c r="B2581" t="s">
        <v>109</v>
      </c>
      <c r="C2581" t="s">
        <v>90</v>
      </c>
      <c r="D2581" t="s">
        <v>91</v>
      </c>
      <c r="E2581" t="s">
        <v>30</v>
      </c>
      <c r="F2581" s="1">
        <v>45757</v>
      </c>
      <c r="G2581">
        <v>1</v>
      </c>
      <c r="H2581">
        <v>1673.61</v>
      </c>
      <c r="I2581">
        <v>15</v>
      </c>
      <c r="J2581" t="s">
        <v>82</v>
      </c>
      <c r="K2581">
        <v>251.04</v>
      </c>
      <c r="L2581">
        <v>1673.61</v>
      </c>
      <c r="M2581">
        <v>1422.57</v>
      </c>
      <c r="N2581" t="s">
        <v>27</v>
      </c>
      <c r="O2581">
        <v>2025</v>
      </c>
    </row>
    <row r="2582" spans="1:15" x14ac:dyDescent="0.3">
      <c r="A2582" t="s">
        <v>2667</v>
      </c>
      <c r="B2582" t="s">
        <v>74</v>
      </c>
      <c r="C2582" t="s">
        <v>62</v>
      </c>
      <c r="D2582" t="s">
        <v>95</v>
      </c>
      <c r="E2582" t="s">
        <v>30</v>
      </c>
      <c r="F2582" s="1">
        <v>45904</v>
      </c>
      <c r="G2582">
        <v>3</v>
      </c>
      <c r="H2582">
        <v>790.5</v>
      </c>
      <c r="I2582">
        <v>20</v>
      </c>
      <c r="J2582" t="s">
        <v>20</v>
      </c>
      <c r="K2582">
        <v>474.3</v>
      </c>
      <c r="L2582">
        <v>2371.5</v>
      </c>
      <c r="M2582">
        <v>1897.2</v>
      </c>
      <c r="N2582" t="s">
        <v>86</v>
      </c>
      <c r="O2582">
        <v>2025</v>
      </c>
    </row>
    <row r="2583" spans="1:15" x14ac:dyDescent="0.3">
      <c r="A2583" t="s">
        <v>2668</v>
      </c>
      <c r="B2583" t="s">
        <v>43</v>
      </c>
      <c r="C2583" t="s">
        <v>54</v>
      </c>
      <c r="D2583" t="s">
        <v>77</v>
      </c>
      <c r="E2583" t="s">
        <v>30</v>
      </c>
      <c r="F2583" s="1">
        <v>45474</v>
      </c>
      <c r="G2583">
        <v>10</v>
      </c>
      <c r="H2583">
        <v>4897.92</v>
      </c>
      <c r="I2583">
        <v>0</v>
      </c>
      <c r="J2583" t="s">
        <v>45</v>
      </c>
      <c r="K2583">
        <v>0</v>
      </c>
      <c r="L2583">
        <v>48979.199999999997</v>
      </c>
      <c r="M2583">
        <v>48979.199999999997</v>
      </c>
      <c r="N2583" t="s">
        <v>122</v>
      </c>
      <c r="O2583">
        <v>2024</v>
      </c>
    </row>
    <row r="2584" spans="1:15" x14ac:dyDescent="0.3">
      <c r="A2584" t="s">
        <v>2669</v>
      </c>
      <c r="B2584" t="s">
        <v>53</v>
      </c>
      <c r="C2584" t="s">
        <v>90</v>
      </c>
      <c r="D2584" t="s">
        <v>105</v>
      </c>
      <c r="E2584" t="s">
        <v>50</v>
      </c>
      <c r="F2584" s="1">
        <v>45796</v>
      </c>
      <c r="G2584">
        <v>7</v>
      </c>
      <c r="H2584">
        <v>3804.88</v>
      </c>
      <c r="I2584">
        <v>5</v>
      </c>
      <c r="J2584" t="s">
        <v>36</v>
      </c>
      <c r="K2584">
        <v>1331.71</v>
      </c>
      <c r="L2584">
        <v>26634.16</v>
      </c>
      <c r="M2584">
        <v>25302.45</v>
      </c>
      <c r="N2584" t="s">
        <v>101</v>
      </c>
      <c r="O2584">
        <v>2025</v>
      </c>
    </row>
    <row r="2585" spans="1:15" x14ac:dyDescent="0.3">
      <c r="A2585" t="s">
        <v>2670</v>
      </c>
      <c r="B2585" t="s">
        <v>89</v>
      </c>
      <c r="C2585" t="s">
        <v>34</v>
      </c>
      <c r="D2585" t="s">
        <v>66</v>
      </c>
      <c r="E2585" t="s">
        <v>50</v>
      </c>
      <c r="F2585" s="1">
        <v>45313</v>
      </c>
      <c r="G2585">
        <v>6</v>
      </c>
      <c r="H2585">
        <v>44571.55</v>
      </c>
      <c r="I2585">
        <v>5</v>
      </c>
      <c r="J2585" t="s">
        <v>36</v>
      </c>
      <c r="K2585">
        <v>13371.47</v>
      </c>
      <c r="L2585">
        <v>267429.3</v>
      </c>
      <c r="M2585">
        <v>254057.83</v>
      </c>
      <c r="N2585" t="s">
        <v>116</v>
      </c>
      <c r="O2585">
        <v>2024</v>
      </c>
    </row>
    <row r="2586" spans="1:15" x14ac:dyDescent="0.3">
      <c r="A2586" t="s">
        <v>2671</v>
      </c>
      <c r="B2586" t="s">
        <v>23</v>
      </c>
      <c r="C2586" t="s">
        <v>34</v>
      </c>
      <c r="D2586" t="s">
        <v>80</v>
      </c>
      <c r="E2586" t="s">
        <v>50</v>
      </c>
      <c r="F2586" s="1">
        <v>45987</v>
      </c>
      <c r="G2586">
        <v>6</v>
      </c>
      <c r="H2586">
        <v>7070.41</v>
      </c>
      <c r="I2586">
        <v>10</v>
      </c>
      <c r="J2586" t="s">
        <v>31</v>
      </c>
      <c r="K2586">
        <v>4242.25</v>
      </c>
      <c r="L2586">
        <v>42422.46</v>
      </c>
      <c r="M2586">
        <v>38180.21</v>
      </c>
      <c r="N2586" t="s">
        <v>96</v>
      </c>
      <c r="O2586">
        <v>2025</v>
      </c>
    </row>
    <row r="2587" spans="1:15" x14ac:dyDescent="0.3">
      <c r="A2587" t="s">
        <v>2672</v>
      </c>
      <c r="B2587" t="s">
        <v>38</v>
      </c>
      <c r="C2587" t="s">
        <v>54</v>
      </c>
      <c r="D2587" t="s">
        <v>68</v>
      </c>
      <c r="E2587" t="s">
        <v>50</v>
      </c>
      <c r="F2587" s="1">
        <v>45293</v>
      </c>
      <c r="G2587">
        <v>9</v>
      </c>
      <c r="H2587">
        <v>4968.51</v>
      </c>
      <c r="I2587">
        <v>5</v>
      </c>
      <c r="J2587" t="s">
        <v>20</v>
      </c>
      <c r="K2587">
        <v>2235.83</v>
      </c>
      <c r="L2587">
        <v>44716.59</v>
      </c>
      <c r="M2587">
        <v>42480.76</v>
      </c>
      <c r="N2587" t="s">
        <v>116</v>
      </c>
      <c r="O2587">
        <v>2024</v>
      </c>
    </row>
    <row r="2588" spans="1:15" x14ac:dyDescent="0.3">
      <c r="A2588" t="s">
        <v>2673</v>
      </c>
      <c r="B2588" t="s">
        <v>43</v>
      </c>
      <c r="C2588" t="s">
        <v>62</v>
      </c>
      <c r="D2588" t="s">
        <v>119</v>
      </c>
      <c r="E2588" t="s">
        <v>56</v>
      </c>
      <c r="F2588" s="1">
        <v>45604</v>
      </c>
      <c r="G2588">
        <v>9</v>
      </c>
      <c r="H2588">
        <v>4274.09</v>
      </c>
      <c r="I2588">
        <v>15</v>
      </c>
      <c r="J2588" t="s">
        <v>26</v>
      </c>
      <c r="K2588">
        <v>5770.02</v>
      </c>
      <c r="L2588">
        <v>38466.81</v>
      </c>
      <c r="M2588">
        <v>32696.79</v>
      </c>
      <c r="N2588" t="s">
        <v>96</v>
      </c>
      <c r="O2588">
        <v>2024</v>
      </c>
    </row>
    <row r="2589" spans="1:15" x14ac:dyDescent="0.3">
      <c r="A2589" t="s">
        <v>2674</v>
      </c>
      <c r="B2589" t="s">
        <v>93</v>
      </c>
      <c r="C2589" t="s">
        <v>54</v>
      </c>
      <c r="D2589" t="s">
        <v>77</v>
      </c>
      <c r="E2589" t="s">
        <v>19</v>
      </c>
      <c r="F2589" s="1">
        <v>45569</v>
      </c>
      <c r="G2589">
        <v>8</v>
      </c>
      <c r="H2589">
        <v>4978.6099999999997</v>
      </c>
      <c r="I2589">
        <v>5</v>
      </c>
      <c r="J2589" t="s">
        <v>26</v>
      </c>
      <c r="K2589">
        <v>1991.44</v>
      </c>
      <c r="L2589">
        <v>39828.879999999997</v>
      </c>
      <c r="M2589">
        <v>37837.440000000002</v>
      </c>
      <c r="N2589" t="s">
        <v>57</v>
      </c>
      <c r="O2589">
        <v>2024</v>
      </c>
    </row>
    <row r="2590" spans="1:15" x14ac:dyDescent="0.3">
      <c r="A2590" t="s">
        <v>2675</v>
      </c>
      <c r="B2590" t="s">
        <v>93</v>
      </c>
      <c r="C2590" t="s">
        <v>17</v>
      </c>
      <c r="D2590" t="s">
        <v>39</v>
      </c>
      <c r="E2590" t="s">
        <v>30</v>
      </c>
      <c r="F2590" s="1">
        <v>45811</v>
      </c>
      <c r="G2590">
        <v>6</v>
      </c>
      <c r="H2590">
        <v>16521.169999999998</v>
      </c>
      <c r="I2590">
        <v>10</v>
      </c>
      <c r="J2590" t="s">
        <v>31</v>
      </c>
      <c r="K2590">
        <v>9912.7000000000007</v>
      </c>
      <c r="L2590">
        <v>99127.02</v>
      </c>
      <c r="M2590">
        <v>89214.32</v>
      </c>
      <c r="N2590" t="s">
        <v>72</v>
      </c>
      <c r="O2590">
        <v>2025</v>
      </c>
    </row>
    <row r="2591" spans="1:15" x14ac:dyDescent="0.3">
      <c r="A2591" t="s">
        <v>2676</v>
      </c>
      <c r="B2591" t="s">
        <v>89</v>
      </c>
      <c r="C2591" t="s">
        <v>34</v>
      </c>
      <c r="D2591" t="s">
        <v>35</v>
      </c>
      <c r="E2591" t="s">
        <v>19</v>
      </c>
      <c r="F2591" s="1">
        <v>45698</v>
      </c>
      <c r="G2591">
        <v>7</v>
      </c>
      <c r="H2591">
        <v>26466.63</v>
      </c>
      <c r="I2591">
        <v>5</v>
      </c>
      <c r="J2591" t="s">
        <v>36</v>
      </c>
      <c r="K2591">
        <v>9263.32</v>
      </c>
      <c r="L2591">
        <v>185266.41</v>
      </c>
      <c r="M2591">
        <v>176003.09</v>
      </c>
      <c r="N2591" t="s">
        <v>41</v>
      </c>
      <c r="O2591">
        <v>2025</v>
      </c>
    </row>
    <row r="2592" spans="1:15" x14ac:dyDescent="0.3">
      <c r="A2592" t="s">
        <v>2677</v>
      </c>
      <c r="B2592" t="s">
        <v>16</v>
      </c>
      <c r="C2592" t="s">
        <v>34</v>
      </c>
      <c r="D2592" t="s">
        <v>66</v>
      </c>
      <c r="E2592" t="s">
        <v>19</v>
      </c>
      <c r="F2592" s="1">
        <v>45530</v>
      </c>
      <c r="G2592">
        <v>5</v>
      </c>
      <c r="H2592">
        <v>37849.870000000003</v>
      </c>
      <c r="I2592">
        <v>15</v>
      </c>
      <c r="J2592" t="s">
        <v>31</v>
      </c>
      <c r="K2592">
        <v>28387.4</v>
      </c>
      <c r="L2592">
        <v>189249.35</v>
      </c>
      <c r="M2592">
        <v>160861.95000000001</v>
      </c>
      <c r="N2592" t="s">
        <v>21</v>
      </c>
      <c r="O2592">
        <v>2024</v>
      </c>
    </row>
    <row r="2593" spans="1:15" x14ac:dyDescent="0.3">
      <c r="A2593" t="s">
        <v>2678</v>
      </c>
      <c r="B2593" t="s">
        <v>74</v>
      </c>
      <c r="C2593" t="s">
        <v>90</v>
      </c>
      <c r="D2593" t="s">
        <v>115</v>
      </c>
      <c r="E2593" t="s">
        <v>50</v>
      </c>
      <c r="F2593" s="1">
        <v>45659</v>
      </c>
      <c r="G2593">
        <v>10</v>
      </c>
      <c r="H2593">
        <v>7507.22</v>
      </c>
      <c r="I2593">
        <v>15</v>
      </c>
      <c r="J2593" t="s">
        <v>36</v>
      </c>
      <c r="K2593">
        <v>11260.83</v>
      </c>
      <c r="L2593">
        <v>75072.2</v>
      </c>
      <c r="M2593">
        <v>63811.37</v>
      </c>
      <c r="N2593" t="s">
        <v>116</v>
      </c>
      <c r="O2593">
        <v>2025</v>
      </c>
    </row>
    <row r="2594" spans="1:15" x14ac:dyDescent="0.3">
      <c r="A2594" t="s">
        <v>2679</v>
      </c>
      <c r="B2594" t="s">
        <v>33</v>
      </c>
      <c r="C2594" t="s">
        <v>17</v>
      </c>
      <c r="D2594" t="s">
        <v>157</v>
      </c>
      <c r="E2594" t="s">
        <v>81</v>
      </c>
      <c r="F2594" s="1">
        <v>45437</v>
      </c>
      <c r="G2594">
        <v>10</v>
      </c>
      <c r="H2594">
        <v>6534.19</v>
      </c>
      <c r="I2594">
        <v>10</v>
      </c>
      <c r="J2594" t="s">
        <v>82</v>
      </c>
      <c r="K2594">
        <v>6534.19</v>
      </c>
      <c r="L2594">
        <v>65341.9</v>
      </c>
      <c r="M2594">
        <v>58807.71</v>
      </c>
      <c r="N2594" t="s">
        <v>101</v>
      </c>
      <c r="O2594">
        <v>2024</v>
      </c>
    </row>
    <row r="2595" spans="1:15" x14ac:dyDescent="0.3">
      <c r="A2595" t="s">
        <v>2680</v>
      </c>
      <c r="B2595" t="s">
        <v>53</v>
      </c>
      <c r="C2595" t="s">
        <v>54</v>
      </c>
      <c r="D2595" t="s">
        <v>55</v>
      </c>
      <c r="E2595" t="s">
        <v>81</v>
      </c>
      <c r="F2595" s="1">
        <v>45411</v>
      </c>
      <c r="G2595">
        <v>2</v>
      </c>
      <c r="H2595">
        <v>1176.77</v>
      </c>
      <c r="I2595">
        <v>15</v>
      </c>
      <c r="J2595" t="s">
        <v>40</v>
      </c>
      <c r="K2595">
        <v>353.03</v>
      </c>
      <c r="L2595">
        <v>2353.54</v>
      </c>
      <c r="M2595">
        <v>2000.51</v>
      </c>
      <c r="N2595" t="s">
        <v>27</v>
      </c>
      <c r="O2595">
        <v>2024</v>
      </c>
    </row>
    <row r="2596" spans="1:15" x14ac:dyDescent="0.3">
      <c r="A2596" t="s">
        <v>2681</v>
      </c>
      <c r="B2596" t="s">
        <v>53</v>
      </c>
      <c r="C2596" t="s">
        <v>34</v>
      </c>
      <c r="D2596" t="s">
        <v>80</v>
      </c>
      <c r="E2596" t="s">
        <v>81</v>
      </c>
      <c r="F2596" s="1">
        <v>45615</v>
      </c>
      <c r="G2596">
        <v>10</v>
      </c>
      <c r="H2596">
        <v>6603.67</v>
      </c>
      <c r="I2596">
        <v>15</v>
      </c>
      <c r="J2596" t="s">
        <v>45</v>
      </c>
      <c r="K2596">
        <v>9905.5</v>
      </c>
      <c r="L2596">
        <v>66036.7</v>
      </c>
      <c r="M2596">
        <v>56131.199999999997</v>
      </c>
      <c r="N2596" t="s">
        <v>96</v>
      </c>
      <c r="O2596">
        <v>2024</v>
      </c>
    </row>
    <row r="2597" spans="1:15" x14ac:dyDescent="0.3">
      <c r="A2597" t="s">
        <v>2682</v>
      </c>
      <c r="B2597" t="s">
        <v>61</v>
      </c>
      <c r="C2597" t="s">
        <v>34</v>
      </c>
      <c r="D2597" t="s">
        <v>35</v>
      </c>
      <c r="E2597" t="s">
        <v>30</v>
      </c>
      <c r="F2597" s="1">
        <v>45953</v>
      </c>
      <c r="G2597">
        <v>7</v>
      </c>
      <c r="H2597">
        <v>25934.98</v>
      </c>
      <c r="I2597">
        <v>20</v>
      </c>
      <c r="J2597" t="s">
        <v>36</v>
      </c>
      <c r="K2597">
        <v>36308.97</v>
      </c>
      <c r="L2597">
        <v>181544.86</v>
      </c>
      <c r="M2597">
        <v>145235.89000000001</v>
      </c>
      <c r="N2597" t="s">
        <v>57</v>
      </c>
      <c r="O2597">
        <v>2025</v>
      </c>
    </row>
    <row r="2598" spans="1:15" x14ac:dyDescent="0.3">
      <c r="A2598" t="s">
        <v>2683</v>
      </c>
      <c r="B2598" t="s">
        <v>109</v>
      </c>
      <c r="C2598" t="s">
        <v>62</v>
      </c>
      <c r="D2598" t="s">
        <v>63</v>
      </c>
      <c r="E2598" t="s">
        <v>56</v>
      </c>
      <c r="F2598" s="1">
        <v>45369</v>
      </c>
      <c r="G2598">
        <v>6</v>
      </c>
      <c r="H2598">
        <v>1918.46</v>
      </c>
      <c r="I2598">
        <v>20</v>
      </c>
      <c r="J2598" t="s">
        <v>31</v>
      </c>
      <c r="K2598">
        <v>2302.15</v>
      </c>
      <c r="L2598">
        <v>11510.76</v>
      </c>
      <c r="M2598">
        <v>9208.61</v>
      </c>
      <c r="N2598" t="s">
        <v>83</v>
      </c>
      <c r="O2598">
        <v>2024</v>
      </c>
    </row>
    <row r="2599" spans="1:15" x14ac:dyDescent="0.3">
      <c r="A2599" t="s">
        <v>2684</v>
      </c>
      <c r="B2599" t="s">
        <v>61</v>
      </c>
      <c r="C2599" t="s">
        <v>54</v>
      </c>
      <c r="D2599" t="s">
        <v>70</v>
      </c>
      <c r="E2599" t="s">
        <v>30</v>
      </c>
      <c r="F2599" s="1">
        <v>45391</v>
      </c>
      <c r="G2599">
        <v>4</v>
      </c>
      <c r="H2599">
        <v>2377.98</v>
      </c>
      <c r="I2599">
        <v>0</v>
      </c>
      <c r="J2599" t="s">
        <v>45</v>
      </c>
      <c r="K2599">
        <v>0</v>
      </c>
      <c r="L2599">
        <v>9511.92</v>
      </c>
      <c r="M2599">
        <v>9511.92</v>
      </c>
      <c r="N2599" t="s">
        <v>27</v>
      </c>
      <c r="O2599">
        <v>2024</v>
      </c>
    </row>
    <row r="2600" spans="1:15" x14ac:dyDescent="0.3">
      <c r="A2600" t="s">
        <v>2685</v>
      </c>
      <c r="B2600" t="s">
        <v>74</v>
      </c>
      <c r="C2600" t="s">
        <v>34</v>
      </c>
      <c r="D2600" t="s">
        <v>66</v>
      </c>
      <c r="E2600" t="s">
        <v>44</v>
      </c>
      <c r="F2600" s="1">
        <v>45336</v>
      </c>
      <c r="G2600">
        <v>5</v>
      </c>
      <c r="H2600">
        <v>41738.97</v>
      </c>
      <c r="I2600">
        <v>5</v>
      </c>
      <c r="J2600" t="s">
        <v>26</v>
      </c>
      <c r="K2600">
        <v>10434.74</v>
      </c>
      <c r="L2600">
        <v>208694.85</v>
      </c>
      <c r="M2600">
        <v>198260.11</v>
      </c>
      <c r="N2600" t="s">
        <v>41</v>
      </c>
      <c r="O2600">
        <v>2024</v>
      </c>
    </row>
    <row r="2601" spans="1:15" x14ac:dyDescent="0.3">
      <c r="A2601" t="s">
        <v>2686</v>
      </c>
      <c r="B2601" t="s">
        <v>38</v>
      </c>
      <c r="C2601" t="s">
        <v>34</v>
      </c>
      <c r="D2601" t="s">
        <v>80</v>
      </c>
      <c r="E2601" t="s">
        <v>30</v>
      </c>
      <c r="F2601" s="1">
        <v>45473</v>
      </c>
      <c r="G2601">
        <v>3</v>
      </c>
      <c r="H2601">
        <v>5541.54</v>
      </c>
      <c r="I2601">
        <v>5</v>
      </c>
      <c r="J2601" t="s">
        <v>82</v>
      </c>
      <c r="K2601">
        <v>831.23</v>
      </c>
      <c r="L2601">
        <v>16624.62</v>
      </c>
      <c r="M2601">
        <v>15793.39</v>
      </c>
      <c r="N2601" t="s">
        <v>72</v>
      </c>
      <c r="O2601">
        <v>2024</v>
      </c>
    </row>
    <row r="2602" spans="1:15" x14ac:dyDescent="0.3">
      <c r="A2602" t="s">
        <v>2687</v>
      </c>
      <c r="B2602" t="s">
        <v>16</v>
      </c>
      <c r="C2602" t="s">
        <v>17</v>
      </c>
      <c r="D2602" t="s">
        <v>39</v>
      </c>
      <c r="E2602" t="s">
        <v>19</v>
      </c>
      <c r="F2602" s="1">
        <v>46020</v>
      </c>
      <c r="G2602">
        <v>6</v>
      </c>
      <c r="H2602">
        <v>20484.72</v>
      </c>
      <c r="I2602">
        <v>15</v>
      </c>
      <c r="J2602" t="s">
        <v>82</v>
      </c>
      <c r="K2602">
        <v>18436.25</v>
      </c>
      <c r="L2602">
        <v>122908.32</v>
      </c>
      <c r="M2602">
        <v>104472.07</v>
      </c>
      <c r="N2602" t="s">
        <v>51</v>
      </c>
      <c r="O2602">
        <v>2025</v>
      </c>
    </row>
    <row r="2603" spans="1:15" x14ac:dyDescent="0.3">
      <c r="A2603" t="s">
        <v>2688</v>
      </c>
      <c r="B2603" t="s">
        <v>65</v>
      </c>
      <c r="C2603" t="s">
        <v>54</v>
      </c>
      <c r="D2603" t="s">
        <v>68</v>
      </c>
      <c r="E2603" t="s">
        <v>56</v>
      </c>
      <c r="F2603" s="1">
        <v>45597</v>
      </c>
      <c r="G2603">
        <v>1</v>
      </c>
      <c r="H2603">
        <v>4583.68</v>
      </c>
      <c r="I2603">
        <v>20</v>
      </c>
      <c r="J2603" t="s">
        <v>31</v>
      </c>
      <c r="K2603">
        <v>916.74</v>
      </c>
      <c r="L2603">
        <v>4583.68</v>
      </c>
      <c r="M2603">
        <v>3666.94</v>
      </c>
      <c r="N2603" t="s">
        <v>96</v>
      </c>
      <c r="O2603">
        <v>2024</v>
      </c>
    </row>
    <row r="2604" spans="1:15" x14ac:dyDescent="0.3">
      <c r="A2604" t="s">
        <v>2689</v>
      </c>
      <c r="B2604" t="s">
        <v>33</v>
      </c>
      <c r="C2604" t="s">
        <v>17</v>
      </c>
      <c r="D2604" t="s">
        <v>24</v>
      </c>
      <c r="E2604" t="s">
        <v>19</v>
      </c>
      <c r="F2604" s="1">
        <v>45690</v>
      </c>
      <c r="G2604">
        <v>5</v>
      </c>
      <c r="H2604">
        <v>3441.62</v>
      </c>
      <c r="I2604">
        <v>5</v>
      </c>
      <c r="J2604" t="s">
        <v>26</v>
      </c>
      <c r="K2604">
        <v>860.4</v>
      </c>
      <c r="L2604">
        <v>17208.099999999999</v>
      </c>
      <c r="M2604">
        <v>16347.7</v>
      </c>
      <c r="N2604" t="s">
        <v>41</v>
      </c>
      <c r="O2604">
        <v>2025</v>
      </c>
    </row>
    <row r="2605" spans="1:15" x14ac:dyDescent="0.3">
      <c r="A2605" t="s">
        <v>2690</v>
      </c>
      <c r="B2605" t="s">
        <v>74</v>
      </c>
      <c r="C2605" t="s">
        <v>17</v>
      </c>
      <c r="D2605" t="s">
        <v>18</v>
      </c>
      <c r="E2605" t="s">
        <v>56</v>
      </c>
      <c r="F2605" s="1">
        <v>45875</v>
      </c>
      <c r="G2605">
        <v>9</v>
      </c>
      <c r="H2605">
        <v>73377.95</v>
      </c>
      <c r="I2605">
        <v>15</v>
      </c>
      <c r="J2605" t="s">
        <v>36</v>
      </c>
      <c r="K2605">
        <v>99060.23</v>
      </c>
      <c r="L2605">
        <v>660401.55000000005</v>
      </c>
      <c r="M2605">
        <v>561341.31999999995</v>
      </c>
      <c r="N2605" t="s">
        <v>21</v>
      </c>
      <c r="O2605">
        <v>2025</v>
      </c>
    </row>
    <row r="2606" spans="1:15" x14ac:dyDescent="0.3">
      <c r="A2606" t="s">
        <v>2691</v>
      </c>
      <c r="B2606" t="s">
        <v>89</v>
      </c>
      <c r="C2606" t="s">
        <v>90</v>
      </c>
      <c r="D2606" t="s">
        <v>91</v>
      </c>
      <c r="E2606" t="s">
        <v>50</v>
      </c>
      <c r="F2606" s="1">
        <v>45825</v>
      </c>
      <c r="G2606">
        <v>6</v>
      </c>
      <c r="H2606">
        <v>1640.98</v>
      </c>
      <c r="I2606">
        <v>15</v>
      </c>
      <c r="J2606" t="s">
        <v>45</v>
      </c>
      <c r="K2606">
        <v>1476.88</v>
      </c>
      <c r="L2606">
        <v>9845.8799999999992</v>
      </c>
      <c r="M2606">
        <v>8369</v>
      </c>
      <c r="N2606" t="s">
        <v>72</v>
      </c>
      <c r="O2606">
        <v>2025</v>
      </c>
    </row>
    <row r="2607" spans="1:15" x14ac:dyDescent="0.3">
      <c r="A2607" t="s">
        <v>2692</v>
      </c>
      <c r="B2607" t="s">
        <v>38</v>
      </c>
      <c r="C2607" t="s">
        <v>90</v>
      </c>
      <c r="D2607" t="s">
        <v>115</v>
      </c>
      <c r="E2607" t="s">
        <v>56</v>
      </c>
      <c r="F2607" s="1">
        <v>45413</v>
      </c>
      <c r="G2607">
        <v>10</v>
      </c>
      <c r="H2607">
        <v>8070.69</v>
      </c>
      <c r="I2607">
        <v>5</v>
      </c>
      <c r="J2607" t="s">
        <v>40</v>
      </c>
      <c r="K2607">
        <v>4035.34</v>
      </c>
      <c r="L2607">
        <v>80706.899999999994</v>
      </c>
      <c r="M2607">
        <v>76671.56</v>
      </c>
      <c r="N2607" t="s">
        <v>101</v>
      </c>
      <c r="O2607">
        <v>2024</v>
      </c>
    </row>
    <row r="2608" spans="1:15" x14ac:dyDescent="0.3">
      <c r="A2608" t="s">
        <v>2693</v>
      </c>
      <c r="B2608" t="s">
        <v>61</v>
      </c>
      <c r="C2608" t="s">
        <v>34</v>
      </c>
      <c r="D2608" t="s">
        <v>48</v>
      </c>
      <c r="E2608" t="s">
        <v>50</v>
      </c>
      <c r="F2608" s="1">
        <v>45917</v>
      </c>
      <c r="G2608">
        <v>3</v>
      </c>
      <c r="H2608">
        <v>8629.7199999999993</v>
      </c>
      <c r="I2608">
        <v>15</v>
      </c>
      <c r="J2608" t="s">
        <v>82</v>
      </c>
      <c r="K2608">
        <v>3883.37</v>
      </c>
      <c r="L2608">
        <v>25889.16</v>
      </c>
      <c r="M2608">
        <v>22005.79</v>
      </c>
      <c r="N2608" t="s">
        <v>86</v>
      </c>
      <c r="O2608">
        <v>2025</v>
      </c>
    </row>
    <row r="2609" spans="1:15" x14ac:dyDescent="0.3">
      <c r="A2609" t="s">
        <v>2694</v>
      </c>
      <c r="B2609" t="s">
        <v>47</v>
      </c>
      <c r="C2609" t="s">
        <v>34</v>
      </c>
      <c r="D2609" t="s">
        <v>85</v>
      </c>
      <c r="E2609" t="s">
        <v>50</v>
      </c>
      <c r="F2609" s="1">
        <v>45309</v>
      </c>
      <c r="G2609">
        <v>5</v>
      </c>
      <c r="H2609">
        <v>12870.53</v>
      </c>
      <c r="I2609">
        <v>0</v>
      </c>
      <c r="J2609" t="s">
        <v>36</v>
      </c>
      <c r="K2609">
        <v>0</v>
      </c>
      <c r="L2609">
        <v>64352.65</v>
      </c>
      <c r="M2609">
        <v>64352.65</v>
      </c>
      <c r="N2609" t="s">
        <v>116</v>
      </c>
      <c r="O2609">
        <v>2024</v>
      </c>
    </row>
    <row r="2610" spans="1:15" x14ac:dyDescent="0.3">
      <c r="A2610" t="s">
        <v>2695</v>
      </c>
      <c r="B2610" t="s">
        <v>93</v>
      </c>
      <c r="C2610" t="s">
        <v>62</v>
      </c>
      <c r="D2610" t="s">
        <v>63</v>
      </c>
      <c r="E2610" t="s">
        <v>19</v>
      </c>
      <c r="F2610" s="1">
        <v>45407</v>
      </c>
      <c r="G2610">
        <v>5</v>
      </c>
      <c r="H2610">
        <v>1949.73</v>
      </c>
      <c r="I2610">
        <v>20</v>
      </c>
      <c r="J2610" t="s">
        <v>20</v>
      </c>
      <c r="K2610">
        <v>1949.73</v>
      </c>
      <c r="L2610">
        <v>9748.65</v>
      </c>
      <c r="M2610">
        <v>7798.92</v>
      </c>
      <c r="N2610" t="s">
        <v>27</v>
      </c>
      <c r="O2610">
        <v>2024</v>
      </c>
    </row>
    <row r="2611" spans="1:15" x14ac:dyDescent="0.3">
      <c r="A2611" t="s">
        <v>2696</v>
      </c>
      <c r="B2611" t="s">
        <v>47</v>
      </c>
      <c r="C2611" t="s">
        <v>54</v>
      </c>
      <c r="D2611" t="s">
        <v>70</v>
      </c>
      <c r="E2611" t="s">
        <v>56</v>
      </c>
      <c r="F2611" s="1">
        <v>45449</v>
      </c>
      <c r="G2611">
        <v>7</v>
      </c>
      <c r="H2611">
        <v>2617.58</v>
      </c>
      <c r="I2611">
        <v>20</v>
      </c>
      <c r="J2611" t="s">
        <v>71</v>
      </c>
      <c r="K2611">
        <v>3664.61</v>
      </c>
      <c r="L2611">
        <v>18323.060000000001</v>
      </c>
      <c r="M2611">
        <v>14658.45</v>
      </c>
      <c r="N2611" t="s">
        <v>72</v>
      </c>
      <c r="O2611">
        <v>2024</v>
      </c>
    </row>
    <row r="2612" spans="1:15" x14ac:dyDescent="0.3">
      <c r="A2612" t="s">
        <v>2697</v>
      </c>
      <c r="B2612" t="s">
        <v>93</v>
      </c>
      <c r="C2612" t="s">
        <v>54</v>
      </c>
      <c r="D2612" t="s">
        <v>137</v>
      </c>
      <c r="E2612" t="s">
        <v>30</v>
      </c>
      <c r="F2612" s="1">
        <v>45959</v>
      </c>
      <c r="G2612">
        <v>3</v>
      </c>
      <c r="H2612">
        <v>1018.14</v>
      </c>
      <c r="I2612">
        <v>5</v>
      </c>
      <c r="J2612" t="s">
        <v>82</v>
      </c>
      <c r="K2612">
        <v>152.72</v>
      </c>
      <c r="L2612">
        <v>3054.42</v>
      </c>
      <c r="M2612">
        <v>2901.7</v>
      </c>
      <c r="N2612" t="s">
        <v>57</v>
      </c>
      <c r="O2612">
        <v>2025</v>
      </c>
    </row>
    <row r="2613" spans="1:15" x14ac:dyDescent="0.3">
      <c r="A2613" t="s">
        <v>2698</v>
      </c>
      <c r="B2613" t="s">
        <v>109</v>
      </c>
      <c r="C2613" t="s">
        <v>17</v>
      </c>
      <c r="D2613" t="s">
        <v>24</v>
      </c>
      <c r="E2613" t="s">
        <v>25</v>
      </c>
      <c r="F2613" s="1">
        <v>45734</v>
      </c>
      <c r="G2613">
        <v>7</v>
      </c>
      <c r="H2613">
        <v>3007.37</v>
      </c>
      <c r="I2613">
        <v>5</v>
      </c>
      <c r="J2613" t="s">
        <v>20</v>
      </c>
      <c r="K2613">
        <v>1052.58</v>
      </c>
      <c r="L2613">
        <v>21051.59</v>
      </c>
      <c r="M2613">
        <v>19999.009999999998</v>
      </c>
      <c r="N2613" t="s">
        <v>83</v>
      </c>
      <c r="O2613">
        <v>2025</v>
      </c>
    </row>
    <row r="2614" spans="1:15" x14ac:dyDescent="0.3">
      <c r="A2614" t="s">
        <v>2699</v>
      </c>
      <c r="B2614" t="s">
        <v>109</v>
      </c>
      <c r="C2614" t="s">
        <v>17</v>
      </c>
      <c r="D2614" t="s">
        <v>18</v>
      </c>
      <c r="E2614" t="s">
        <v>19</v>
      </c>
      <c r="F2614" s="1">
        <v>45457</v>
      </c>
      <c r="G2614">
        <v>9</v>
      </c>
      <c r="H2614">
        <v>63970.73</v>
      </c>
      <c r="I2614">
        <v>20</v>
      </c>
      <c r="J2614" t="s">
        <v>20</v>
      </c>
      <c r="K2614">
        <v>115147.31</v>
      </c>
      <c r="L2614">
        <v>575736.56999999995</v>
      </c>
      <c r="M2614">
        <v>460589.26</v>
      </c>
      <c r="N2614" t="s">
        <v>72</v>
      </c>
      <c r="O2614">
        <v>2024</v>
      </c>
    </row>
    <row r="2615" spans="1:15" x14ac:dyDescent="0.3">
      <c r="A2615" t="s">
        <v>2700</v>
      </c>
      <c r="B2615" t="s">
        <v>38</v>
      </c>
      <c r="C2615" t="s">
        <v>90</v>
      </c>
      <c r="D2615" t="s">
        <v>107</v>
      </c>
      <c r="E2615" t="s">
        <v>25</v>
      </c>
      <c r="F2615" s="1">
        <v>45621</v>
      </c>
      <c r="G2615">
        <v>1</v>
      </c>
      <c r="H2615">
        <v>12957.9</v>
      </c>
      <c r="I2615">
        <v>5</v>
      </c>
      <c r="J2615" t="s">
        <v>26</v>
      </c>
      <c r="K2615">
        <v>647.89</v>
      </c>
      <c r="L2615">
        <v>12957.9</v>
      </c>
      <c r="M2615">
        <v>12310.01</v>
      </c>
      <c r="N2615" t="s">
        <v>96</v>
      </c>
      <c r="O2615">
        <v>2024</v>
      </c>
    </row>
    <row r="2616" spans="1:15" x14ac:dyDescent="0.3">
      <c r="A2616" t="s">
        <v>2701</v>
      </c>
      <c r="B2616" t="s">
        <v>114</v>
      </c>
      <c r="C2616" t="s">
        <v>62</v>
      </c>
      <c r="D2616" t="s">
        <v>63</v>
      </c>
      <c r="E2616" t="s">
        <v>81</v>
      </c>
      <c r="F2616" s="1">
        <v>45855</v>
      </c>
      <c r="G2616">
        <v>1</v>
      </c>
      <c r="H2616">
        <v>2040.89</v>
      </c>
      <c r="I2616">
        <v>20</v>
      </c>
      <c r="J2616" t="s">
        <v>20</v>
      </c>
      <c r="K2616">
        <v>408.18</v>
      </c>
      <c r="L2616">
        <v>2040.89</v>
      </c>
      <c r="M2616">
        <v>1632.71</v>
      </c>
      <c r="N2616" t="s">
        <v>122</v>
      </c>
      <c r="O2616">
        <v>2025</v>
      </c>
    </row>
    <row r="2617" spans="1:15" x14ac:dyDescent="0.3">
      <c r="A2617" t="s">
        <v>2702</v>
      </c>
      <c r="B2617" t="s">
        <v>38</v>
      </c>
      <c r="C2617" t="s">
        <v>34</v>
      </c>
      <c r="D2617" t="s">
        <v>35</v>
      </c>
      <c r="E2617" t="s">
        <v>44</v>
      </c>
      <c r="F2617" s="1">
        <v>45967</v>
      </c>
      <c r="G2617">
        <v>10</v>
      </c>
      <c r="H2617">
        <v>30025.23</v>
      </c>
      <c r="I2617">
        <v>0</v>
      </c>
      <c r="J2617" t="s">
        <v>36</v>
      </c>
      <c r="K2617">
        <v>0</v>
      </c>
      <c r="L2617">
        <v>300252.3</v>
      </c>
      <c r="M2617">
        <v>300252.3</v>
      </c>
      <c r="N2617" t="s">
        <v>96</v>
      </c>
      <c r="O2617">
        <v>2025</v>
      </c>
    </row>
    <row r="2618" spans="1:15" x14ac:dyDescent="0.3">
      <c r="A2618" t="s">
        <v>2703</v>
      </c>
      <c r="B2618" t="s">
        <v>23</v>
      </c>
      <c r="C2618" t="s">
        <v>17</v>
      </c>
      <c r="D2618" t="s">
        <v>157</v>
      </c>
      <c r="E2618" t="s">
        <v>81</v>
      </c>
      <c r="F2618" s="1">
        <v>45459</v>
      </c>
      <c r="G2618">
        <v>8</v>
      </c>
      <c r="H2618">
        <v>7623.5</v>
      </c>
      <c r="I2618">
        <v>5</v>
      </c>
      <c r="J2618" t="s">
        <v>31</v>
      </c>
      <c r="K2618">
        <v>3049.4</v>
      </c>
      <c r="L2618">
        <v>60988</v>
      </c>
      <c r="M2618">
        <v>57938.6</v>
      </c>
      <c r="N2618" t="s">
        <v>72</v>
      </c>
      <c r="O2618">
        <v>2024</v>
      </c>
    </row>
    <row r="2619" spans="1:15" x14ac:dyDescent="0.3">
      <c r="A2619" t="s">
        <v>2704</v>
      </c>
      <c r="B2619" t="s">
        <v>38</v>
      </c>
      <c r="C2619" t="s">
        <v>34</v>
      </c>
      <c r="D2619" t="s">
        <v>85</v>
      </c>
      <c r="E2619" t="s">
        <v>81</v>
      </c>
      <c r="F2619" s="1">
        <v>45805</v>
      </c>
      <c r="G2619">
        <v>10</v>
      </c>
      <c r="H2619">
        <v>13478.87</v>
      </c>
      <c r="I2619">
        <v>5</v>
      </c>
      <c r="J2619" t="s">
        <v>20</v>
      </c>
      <c r="K2619">
        <v>6739.44</v>
      </c>
      <c r="L2619">
        <v>134788.70000000001</v>
      </c>
      <c r="M2619">
        <v>128049.26</v>
      </c>
      <c r="N2619" t="s">
        <v>101</v>
      </c>
      <c r="O2619">
        <v>2025</v>
      </c>
    </row>
    <row r="2620" spans="1:15" x14ac:dyDescent="0.3">
      <c r="A2620" t="s">
        <v>2705</v>
      </c>
      <c r="B2620" t="s">
        <v>23</v>
      </c>
      <c r="C2620" t="s">
        <v>34</v>
      </c>
      <c r="D2620" t="s">
        <v>35</v>
      </c>
      <c r="E2620" t="s">
        <v>30</v>
      </c>
      <c r="F2620" s="1">
        <v>45809</v>
      </c>
      <c r="G2620">
        <v>6</v>
      </c>
      <c r="H2620">
        <v>26468.75</v>
      </c>
      <c r="I2620">
        <v>20</v>
      </c>
      <c r="J2620" t="s">
        <v>82</v>
      </c>
      <c r="K2620">
        <v>31762.5</v>
      </c>
      <c r="L2620">
        <v>158812.5</v>
      </c>
      <c r="M2620">
        <v>127050</v>
      </c>
      <c r="N2620" t="s">
        <v>72</v>
      </c>
      <c r="O2620">
        <v>2025</v>
      </c>
    </row>
    <row r="2621" spans="1:15" x14ac:dyDescent="0.3">
      <c r="A2621" t="s">
        <v>2706</v>
      </c>
      <c r="B2621" t="s">
        <v>23</v>
      </c>
      <c r="C2621" t="s">
        <v>90</v>
      </c>
      <c r="D2621" t="s">
        <v>107</v>
      </c>
      <c r="E2621" t="s">
        <v>56</v>
      </c>
      <c r="F2621" s="1">
        <v>45545</v>
      </c>
      <c r="G2621">
        <v>7</v>
      </c>
      <c r="H2621">
        <v>12456.45</v>
      </c>
      <c r="I2621">
        <v>0</v>
      </c>
      <c r="J2621" t="s">
        <v>82</v>
      </c>
      <c r="K2621">
        <v>0</v>
      </c>
      <c r="L2621">
        <v>87195.15</v>
      </c>
      <c r="M2621">
        <v>87195.15</v>
      </c>
      <c r="N2621" t="s">
        <v>86</v>
      </c>
      <c r="O2621">
        <v>2024</v>
      </c>
    </row>
    <row r="2622" spans="1:15" x14ac:dyDescent="0.3">
      <c r="A2622" t="s">
        <v>2707</v>
      </c>
      <c r="B2622" t="s">
        <v>29</v>
      </c>
      <c r="C2622" t="s">
        <v>17</v>
      </c>
      <c r="D2622" t="s">
        <v>18</v>
      </c>
      <c r="E2622" t="s">
        <v>50</v>
      </c>
      <c r="F2622" s="1">
        <v>45497</v>
      </c>
      <c r="G2622">
        <v>4</v>
      </c>
      <c r="H2622">
        <v>70149.56</v>
      </c>
      <c r="I2622">
        <v>5</v>
      </c>
      <c r="J2622" t="s">
        <v>36</v>
      </c>
      <c r="K2622">
        <v>14029.91</v>
      </c>
      <c r="L2622">
        <v>280598.24</v>
      </c>
      <c r="M2622">
        <v>266568.33</v>
      </c>
      <c r="N2622" t="s">
        <v>122</v>
      </c>
      <c r="O2622">
        <v>2024</v>
      </c>
    </row>
    <row r="2623" spans="1:15" x14ac:dyDescent="0.3">
      <c r="A2623" t="s">
        <v>2708</v>
      </c>
      <c r="B2623" t="s">
        <v>38</v>
      </c>
      <c r="C2623" t="s">
        <v>17</v>
      </c>
      <c r="D2623" t="s">
        <v>24</v>
      </c>
      <c r="E2623" t="s">
        <v>81</v>
      </c>
      <c r="F2623" s="1">
        <v>45649</v>
      </c>
      <c r="G2623">
        <v>3</v>
      </c>
      <c r="H2623">
        <v>3350.4</v>
      </c>
      <c r="I2623">
        <v>20</v>
      </c>
      <c r="J2623" t="s">
        <v>20</v>
      </c>
      <c r="K2623">
        <v>2010.24</v>
      </c>
      <c r="L2623">
        <v>10051.200000000001</v>
      </c>
      <c r="M2623">
        <v>8040.96</v>
      </c>
      <c r="N2623" t="s">
        <v>51</v>
      </c>
      <c r="O2623">
        <v>2024</v>
      </c>
    </row>
    <row r="2624" spans="1:15" x14ac:dyDescent="0.3">
      <c r="A2624" t="s">
        <v>2709</v>
      </c>
      <c r="B2624" t="s">
        <v>89</v>
      </c>
      <c r="C2624" t="s">
        <v>17</v>
      </c>
      <c r="D2624" t="s">
        <v>24</v>
      </c>
      <c r="E2624" t="s">
        <v>19</v>
      </c>
      <c r="F2624" s="1">
        <v>45707</v>
      </c>
      <c r="G2624">
        <v>8</v>
      </c>
      <c r="H2624">
        <v>3069.76</v>
      </c>
      <c r="I2624">
        <v>0</v>
      </c>
      <c r="J2624" t="s">
        <v>26</v>
      </c>
      <c r="K2624">
        <v>0</v>
      </c>
      <c r="L2624">
        <v>24558.080000000002</v>
      </c>
      <c r="M2624">
        <v>24558.080000000002</v>
      </c>
      <c r="N2624" t="s">
        <v>41</v>
      </c>
      <c r="O2624">
        <v>2025</v>
      </c>
    </row>
    <row r="2625" spans="1:15" x14ac:dyDescent="0.3">
      <c r="A2625" t="s">
        <v>2710</v>
      </c>
      <c r="B2625" t="s">
        <v>74</v>
      </c>
      <c r="C2625" t="s">
        <v>17</v>
      </c>
      <c r="D2625" t="s">
        <v>157</v>
      </c>
      <c r="E2625" t="s">
        <v>30</v>
      </c>
      <c r="F2625" s="1">
        <v>45887</v>
      </c>
      <c r="G2625">
        <v>3</v>
      </c>
      <c r="H2625">
        <v>6310.98</v>
      </c>
      <c r="I2625">
        <v>20</v>
      </c>
      <c r="J2625" t="s">
        <v>45</v>
      </c>
      <c r="K2625">
        <v>3786.59</v>
      </c>
      <c r="L2625">
        <v>18932.939999999999</v>
      </c>
      <c r="M2625">
        <v>15146.35</v>
      </c>
      <c r="N2625" t="s">
        <v>21</v>
      </c>
      <c r="O2625">
        <v>2025</v>
      </c>
    </row>
    <row r="2626" spans="1:15" x14ac:dyDescent="0.3">
      <c r="A2626" t="s">
        <v>2711</v>
      </c>
      <c r="B2626" t="s">
        <v>38</v>
      </c>
      <c r="C2626" t="s">
        <v>54</v>
      </c>
      <c r="D2626" t="s">
        <v>70</v>
      </c>
      <c r="E2626" t="s">
        <v>30</v>
      </c>
      <c r="F2626" s="1">
        <v>45545</v>
      </c>
      <c r="G2626">
        <v>2</v>
      </c>
      <c r="H2626">
        <v>2638.23</v>
      </c>
      <c r="I2626">
        <v>15</v>
      </c>
      <c r="J2626" t="s">
        <v>40</v>
      </c>
      <c r="K2626">
        <v>791.47</v>
      </c>
      <c r="L2626">
        <v>5276.46</v>
      </c>
      <c r="M2626">
        <v>4484.99</v>
      </c>
      <c r="N2626" t="s">
        <v>86</v>
      </c>
      <c r="O2626">
        <v>2024</v>
      </c>
    </row>
    <row r="2627" spans="1:15" x14ac:dyDescent="0.3">
      <c r="A2627" t="s">
        <v>2712</v>
      </c>
      <c r="B2627" t="s">
        <v>23</v>
      </c>
      <c r="C2627" t="s">
        <v>54</v>
      </c>
      <c r="D2627" t="s">
        <v>68</v>
      </c>
      <c r="E2627" t="s">
        <v>25</v>
      </c>
      <c r="F2627" s="1">
        <v>45807</v>
      </c>
      <c r="G2627">
        <v>2</v>
      </c>
      <c r="H2627">
        <v>4446.3900000000003</v>
      </c>
      <c r="I2627">
        <v>20</v>
      </c>
      <c r="J2627" t="s">
        <v>71</v>
      </c>
      <c r="K2627">
        <v>1778.56</v>
      </c>
      <c r="L2627">
        <v>8892.7800000000007</v>
      </c>
      <c r="M2627">
        <v>7114.22</v>
      </c>
      <c r="N2627" t="s">
        <v>101</v>
      </c>
      <c r="O2627">
        <v>2025</v>
      </c>
    </row>
    <row r="2628" spans="1:15" x14ac:dyDescent="0.3">
      <c r="A2628" t="s">
        <v>2713</v>
      </c>
      <c r="B2628" t="s">
        <v>38</v>
      </c>
      <c r="C2628" t="s">
        <v>90</v>
      </c>
      <c r="D2628" t="s">
        <v>91</v>
      </c>
      <c r="E2628" t="s">
        <v>81</v>
      </c>
      <c r="F2628" s="1">
        <v>45846</v>
      </c>
      <c r="G2628">
        <v>5</v>
      </c>
      <c r="H2628">
        <v>1481.23</v>
      </c>
      <c r="I2628">
        <v>15</v>
      </c>
      <c r="J2628" t="s">
        <v>20</v>
      </c>
      <c r="K2628">
        <v>1110.92</v>
      </c>
      <c r="L2628">
        <v>7406.15</v>
      </c>
      <c r="M2628">
        <v>6295.23</v>
      </c>
      <c r="N2628" t="s">
        <v>122</v>
      </c>
      <c r="O2628">
        <v>2025</v>
      </c>
    </row>
    <row r="2629" spans="1:15" x14ac:dyDescent="0.3">
      <c r="A2629" t="s">
        <v>2714</v>
      </c>
      <c r="B2629" t="s">
        <v>16</v>
      </c>
      <c r="C2629" t="s">
        <v>34</v>
      </c>
      <c r="D2629" t="s">
        <v>80</v>
      </c>
      <c r="E2629" t="s">
        <v>44</v>
      </c>
      <c r="F2629" s="1">
        <v>46010</v>
      </c>
      <c r="G2629">
        <v>7</v>
      </c>
      <c r="H2629">
        <v>6561.84</v>
      </c>
      <c r="I2629">
        <v>15</v>
      </c>
      <c r="J2629" t="s">
        <v>36</v>
      </c>
      <c r="K2629">
        <v>6889.93</v>
      </c>
      <c r="L2629">
        <v>45932.88</v>
      </c>
      <c r="M2629">
        <v>39042.949999999997</v>
      </c>
      <c r="N2629" t="s">
        <v>51</v>
      </c>
      <c r="O2629">
        <v>2025</v>
      </c>
    </row>
    <row r="2630" spans="1:15" x14ac:dyDescent="0.3">
      <c r="A2630" t="s">
        <v>2715</v>
      </c>
      <c r="B2630" t="s">
        <v>74</v>
      </c>
      <c r="C2630" t="s">
        <v>54</v>
      </c>
      <c r="D2630" t="s">
        <v>68</v>
      </c>
      <c r="E2630" t="s">
        <v>50</v>
      </c>
      <c r="F2630" s="1">
        <v>45880</v>
      </c>
      <c r="G2630">
        <v>2</v>
      </c>
      <c r="H2630">
        <v>4205.66</v>
      </c>
      <c r="I2630">
        <v>15</v>
      </c>
      <c r="J2630" t="s">
        <v>45</v>
      </c>
      <c r="K2630">
        <v>1261.7</v>
      </c>
      <c r="L2630">
        <v>8411.32</v>
      </c>
      <c r="M2630">
        <v>7149.62</v>
      </c>
      <c r="N2630" t="s">
        <v>21</v>
      </c>
      <c r="O2630">
        <v>2025</v>
      </c>
    </row>
    <row r="2631" spans="1:15" x14ac:dyDescent="0.3">
      <c r="A2631" t="s">
        <v>2716</v>
      </c>
      <c r="B2631" t="s">
        <v>93</v>
      </c>
      <c r="C2631" t="s">
        <v>34</v>
      </c>
      <c r="D2631" t="s">
        <v>48</v>
      </c>
      <c r="E2631" t="s">
        <v>81</v>
      </c>
      <c r="F2631" s="1">
        <v>45643</v>
      </c>
      <c r="G2631">
        <v>6</v>
      </c>
      <c r="H2631">
        <v>8411.73</v>
      </c>
      <c r="I2631">
        <v>10</v>
      </c>
      <c r="J2631" t="s">
        <v>36</v>
      </c>
      <c r="K2631">
        <v>5047.04</v>
      </c>
      <c r="L2631">
        <v>50470.38</v>
      </c>
      <c r="M2631">
        <v>45423.34</v>
      </c>
      <c r="N2631" t="s">
        <v>51</v>
      </c>
      <c r="O2631">
        <v>2024</v>
      </c>
    </row>
    <row r="2632" spans="1:15" x14ac:dyDescent="0.3">
      <c r="A2632" t="s">
        <v>2717</v>
      </c>
      <c r="B2632" t="s">
        <v>74</v>
      </c>
      <c r="C2632" t="s">
        <v>90</v>
      </c>
      <c r="D2632" t="s">
        <v>105</v>
      </c>
      <c r="E2632" t="s">
        <v>56</v>
      </c>
      <c r="F2632" s="1">
        <v>45431</v>
      </c>
      <c r="G2632">
        <v>10</v>
      </c>
      <c r="H2632">
        <v>3903.95</v>
      </c>
      <c r="I2632">
        <v>0</v>
      </c>
      <c r="J2632" t="s">
        <v>40</v>
      </c>
      <c r="K2632">
        <v>0</v>
      </c>
      <c r="L2632">
        <v>39039.5</v>
      </c>
      <c r="M2632">
        <v>39039.5</v>
      </c>
      <c r="N2632" t="s">
        <v>101</v>
      </c>
      <c r="O2632">
        <v>2024</v>
      </c>
    </row>
    <row r="2633" spans="1:15" x14ac:dyDescent="0.3">
      <c r="A2633" t="s">
        <v>2718</v>
      </c>
      <c r="B2633" t="s">
        <v>61</v>
      </c>
      <c r="C2633" t="s">
        <v>90</v>
      </c>
      <c r="D2633" t="s">
        <v>115</v>
      </c>
      <c r="E2633" t="s">
        <v>56</v>
      </c>
      <c r="F2633" s="1">
        <v>45924</v>
      </c>
      <c r="G2633">
        <v>7</v>
      </c>
      <c r="H2633">
        <v>8046.1</v>
      </c>
      <c r="I2633">
        <v>10</v>
      </c>
      <c r="J2633" t="s">
        <v>36</v>
      </c>
      <c r="K2633">
        <v>5632.27</v>
      </c>
      <c r="L2633">
        <v>56322.7</v>
      </c>
      <c r="M2633">
        <v>50690.43</v>
      </c>
      <c r="N2633" t="s">
        <v>86</v>
      </c>
      <c r="O2633">
        <v>2025</v>
      </c>
    </row>
    <row r="2634" spans="1:15" x14ac:dyDescent="0.3">
      <c r="A2634" t="s">
        <v>2719</v>
      </c>
      <c r="B2634" t="s">
        <v>93</v>
      </c>
      <c r="C2634" t="s">
        <v>17</v>
      </c>
      <c r="D2634" t="s">
        <v>157</v>
      </c>
      <c r="E2634" t="s">
        <v>81</v>
      </c>
      <c r="F2634" s="1">
        <v>45788</v>
      </c>
      <c r="G2634">
        <v>1</v>
      </c>
      <c r="H2634">
        <v>7284.26</v>
      </c>
      <c r="I2634">
        <v>20</v>
      </c>
      <c r="J2634" t="s">
        <v>31</v>
      </c>
      <c r="K2634">
        <v>1456.85</v>
      </c>
      <c r="L2634">
        <v>7284.26</v>
      </c>
      <c r="M2634">
        <v>5827.41</v>
      </c>
      <c r="N2634" t="s">
        <v>101</v>
      </c>
      <c r="O2634">
        <v>2025</v>
      </c>
    </row>
    <row r="2635" spans="1:15" x14ac:dyDescent="0.3">
      <c r="A2635" t="s">
        <v>2720</v>
      </c>
      <c r="B2635" t="s">
        <v>43</v>
      </c>
      <c r="C2635" t="s">
        <v>54</v>
      </c>
      <c r="D2635" t="s">
        <v>68</v>
      </c>
      <c r="E2635" t="s">
        <v>30</v>
      </c>
      <c r="F2635" s="1">
        <v>45553</v>
      </c>
      <c r="G2635">
        <v>9</v>
      </c>
      <c r="H2635">
        <v>4445.9399999999996</v>
      </c>
      <c r="I2635">
        <v>20</v>
      </c>
      <c r="J2635" t="s">
        <v>71</v>
      </c>
      <c r="K2635">
        <v>8002.69</v>
      </c>
      <c r="L2635">
        <v>40013.46</v>
      </c>
      <c r="M2635">
        <v>32010.77</v>
      </c>
      <c r="N2635" t="s">
        <v>86</v>
      </c>
      <c r="O2635">
        <v>2024</v>
      </c>
    </row>
    <row r="2636" spans="1:15" x14ac:dyDescent="0.3">
      <c r="A2636" t="s">
        <v>2721</v>
      </c>
      <c r="B2636" t="s">
        <v>23</v>
      </c>
      <c r="C2636" t="s">
        <v>54</v>
      </c>
      <c r="D2636" t="s">
        <v>137</v>
      </c>
      <c r="E2636" t="s">
        <v>19</v>
      </c>
      <c r="F2636" s="1">
        <v>45813</v>
      </c>
      <c r="G2636">
        <v>4</v>
      </c>
      <c r="H2636">
        <v>990.61</v>
      </c>
      <c r="I2636">
        <v>20</v>
      </c>
      <c r="J2636" t="s">
        <v>82</v>
      </c>
      <c r="K2636">
        <v>792.49</v>
      </c>
      <c r="L2636">
        <v>3962.44</v>
      </c>
      <c r="M2636">
        <v>3169.95</v>
      </c>
      <c r="N2636" t="s">
        <v>72</v>
      </c>
      <c r="O2636">
        <v>2025</v>
      </c>
    </row>
    <row r="2637" spans="1:15" x14ac:dyDescent="0.3">
      <c r="A2637" t="s">
        <v>2722</v>
      </c>
      <c r="B2637" t="s">
        <v>23</v>
      </c>
      <c r="C2637" t="s">
        <v>62</v>
      </c>
      <c r="D2637" t="s">
        <v>95</v>
      </c>
      <c r="E2637" t="s">
        <v>56</v>
      </c>
      <c r="F2637" s="1">
        <v>45587</v>
      </c>
      <c r="G2637">
        <v>8</v>
      </c>
      <c r="H2637">
        <v>906.18</v>
      </c>
      <c r="I2637">
        <v>10</v>
      </c>
      <c r="J2637" t="s">
        <v>20</v>
      </c>
      <c r="K2637">
        <v>724.94</v>
      </c>
      <c r="L2637">
        <v>7249.44</v>
      </c>
      <c r="M2637">
        <v>6524.5</v>
      </c>
      <c r="N2637" t="s">
        <v>57</v>
      </c>
      <c r="O2637">
        <v>2024</v>
      </c>
    </row>
    <row r="2638" spans="1:15" x14ac:dyDescent="0.3">
      <c r="A2638" t="s">
        <v>2723</v>
      </c>
      <c r="B2638" t="s">
        <v>16</v>
      </c>
      <c r="C2638" t="s">
        <v>34</v>
      </c>
      <c r="D2638" t="s">
        <v>35</v>
      </c>
      <c r="E2638" t="s">
        <v>81</v>
      </c>
      <c r="F2638" s="1">
        <v>45681</v>
      </c>
      <c r="G2638">
        <v>5</v>
      </c>
      <c r="H2638">
        <v>27352.54</v>
      </c>
      <c r="I2638">
        <v>20</v>
      </c>
      <c r="J2638" t="s">
        <v>82</v>
      </c>
      <c r="K2638">
        <v>27352.54</v>
      </c>
      <c r="L2638">
        <v>136762.70000000001</v>
      </c>
      <c r="M2638">
        <v>109410.16</v>
      </c>
      <c r="N2638" t="s">
        <v>116</v>
      </c>
      <c r="O2638">
        <v>2025</v>
      </c>
    </row>
    <row r="2639" spans="1:15" x14ac:dyDescent="0.3">
      <c r="A2639" t="s">
        <v>2724</v>
      </c>
      <c r="B2639" t="s">
        <v>43</v>
      </c>
      <c r="C2639" t="s">
        <v>17</v>
      </c>
      <c r="D2639" t="s">
        <v>39</v>
      </c>
      <c r="E2639" t="s">
        <v>19</v>
      </c>
      <c r="F2639" s="1">
        <v>45911</v>
      </c>
      <c r="G2639">
        <v>3</v>
      </c>
      <c r="H2639">
        <v>19182.97</v>
      </c>
      <c r="I2639">
        <v>20</v>
      </c>
      <c r="J2639" t="s">
        <v>26</v>
      </c>
      <c r="K2639">
        <v>11509.78</v>
      </c>
      <c r="L2639">
        <v>57548.91</v>
      </c>
      <c r="M2639">
        <v>46039.13</v>
      </c>
      <c r="N2639" t="s">
        <v>86</v>
      </c>
      <c r="O2639">
        <v>2025</v>
      </c>
    </row>
    <row r="2640" spans="1:15" x14ac:dyDescent="0.3">
      <c r="A2640" t="s">
        <v>2725</v>
      </c>
      <c r="B2640" t="s">
        <v>33</v>
      </c>
      <c r="C2640" t="s">
        <v>90</v>
      </c>
      <c r="D2640" t="s">
        <v>105</v>
      </c>
      <c r="E2640" t="s">
        <v>50</v>
      </c>
      <c r="F2640" s="1">
        <v>45324</v>
      </c>
      <c r="G2640">
        <v>3</v>
      </c>
      <c r="H2640">
        <v>3498.66</v>
      </c>
      <c r="I2640">
        <v>15</v>
      </c>
      <c r="J2640" t="s">
        <v>82</v>
      </c>
      <c r="K2640">
        <v>1574.4</v>
      </c>
      <c r="L2640">
        <v>10495.98</v>
      </c>
      <c r="M2640">
        <v>8921.58</v>
      </c>
      <c r="N2640" t="s">
        <v>41</v>
      </c>
      <c r="O2640">
        <v>2024</v>
      </c>
    </row>
    <row r="2641" spans="1:15" x14ac:dyDescent="0.3">
      <c r="A2641" t="s">
        <v>2726</v>
      </c>
      <c r="B2641" t="s">
        <v>23</v>
      </c>
      <c r="C2641" t="s">
        <v>17</v>
      </c>
      <c r="D2641" t="s">
        <v>157</v>
      </c>
      <c r="E2641" t="s">
        <v>19</v>
      </c>
      <c r="F2641" s="1">
        <v>45310</v>
      </c>
      <c r="G2641">
        <v>9</v>
      </c>
      <c r="H2641">
        <v>6613.5</v>
      </c>
      <c r="I2641">
        <v>20</v>
      </c>
      <c r="J2641" t="s">
        <v>26</v>
      </c>
      <c r="K2641">
        <v>11904.3</v>
      </c>
      <c r="L2641">
        <v>59521.5</v>
      </c>
      <c r="M2641">
        <v>47617.2</v>
      </c>
      <c r="N2641" t="s">
        <v>116</v>
      </c>
      <c r="O2641">
        <v>2024</v>
      </c>
    </row>
    <row r="2642" spans="1:15" x14ac:dyDescent="0.3">
      <c r="A2642" t="s">
        <v>2727</v>
      </c>
      <c r="B2642" t="s">
        <v>65</v>
      </c>
      <c r="C2642" t="s">
        <v>62</v>
      </c>
      <c r="D2642" t="s">
        <v>119</v>
      </c>
      <c r="E2642" t="s">
        <v>25</v>
      </c>
      <c r="F2642" s="1">
        <v>45292</v>
      </c>
      <c r="G2642">
        <v>9</v>
      </c>
      <c r="H2642">
        <v>3917.6</v>
      </c>
      <c r="I2642">
        <v>20</v>
      </c>
      <c r="J2642" t="s">
        <v>20</v>
      </c>
      <c r="K2642">
        <v>7051.68</v>
      </c>
      <c r="L2642">
        <v>35258.400000000001</v>
      </c>
      <c r="M2642">
        <v>28206.720000000001</v>
      </c>
      <c r="N2642" t="s">
        <v>116</v>
      </c>
      <c r="O2642">
        <v>2024</v>
      </c>
    </row>
    <row r="2643" spans="1:15" x14ac:dyDescent="0.3">
      <c r="A2643" t="s">
        <v>2728</v>
      </c>
      <c r="B2643" t="s">
        <v>38</v>
      </c>
      <c r="C2643" t="s">
        <v>54</v>
      </c>
      <c r="D2643" t="s">
        <v>55</v>
      </c>
      <c r="E2643" t="s">
        <v>30</v>
      </c>
      <c r="F2643" s="1">
        <v>45629</v>
      </c>
      <c r="G2643">
        <v>8</v>
      </c>
      <c r="H2643">
        <v>1288.69</v>
      </c>
      <c r="I2643">
        <v>20</v>
      </c>
      <c r="J2643" t="s">
        <v>26</v>
      </c>
      <c r="K2643">
        <v>2061.9</v>
      </c>
      <c r="L2643">
        <v>10309.52</v>
      </c>
      <c r="M2643">
        <v>8247.6200000000008</v>
      </c>
      <c r="N2643" t="s">
        <v>51</v>
      </c>
      <c r="O2643">
        <v>2024</v>
      </c>
    </row>
    <row r="2644" spans="1:15" x14ac:dyDescent="0.3">
      <c r="A2644" t="s">
        <v>2729</v>
      </c>
      <c r="B2644" t="s">
        <v>93</v>
      </c>
      <c r="C2644" t="s">
        <v>54</v>
      </c>
      <c r="D2644" t="s">
        <v>55</v>
      </c>
      <c r="E2644" t="s">
        <v>81</v>
      </c>
      <c r="F2644" s="1">
        <v>45560</v>
      </c>
      <c r="G2644">
        <v>2</v>
      </c>
      <c r="H2644">
        <v>1246</v>
      </c>
      <c r="I2644">
        <v>15</v>
      </c>
      <c r="J2644" t="s">
        <v>71</v>
      </c>
      <c r="K2644">
        <v>373.8</v>
      </c>
      <c r="L2644">
        <v>2492</v>
      </c>
      <c r="M2644">
        <v>2118.1999999999998</v>
      </c>
      <c r="N2644" t="s">
        <v>86</v>
      </c>
      <c r="O2644">
        <v>2024</v>
      </c>
    </row>
    <row r="2645" spans="1:15" x14ac:dyDescent="0.3">
      <c r="A2645" t="s">
        <v>2730</v>
      </c>
      <c r="B2645" t="s">
        <v>53</v>
      </c>
      <c r="C2645" t="s">
        <v>34</v>
      </c>
      <c r="D2645" t="s">
        <v>80</v>
      </c>
      <c r="E2645" t="s">
        <v>56</v>
      </c>
      <c r="F2645" s="1">
        <v>45305</v>
      </c>
      <c r="G2645">
        <v>1</v>
      </c>
      <c r="H2645">
        <v>5400.95</v>
      </c>
      <c r="I2645">
        <v>0</v>
      </c>
      <c r="J2645" t="s">
        <v>45</v>
      </c>
      <c r="K2645">
        <v>0</v>
      </c>
      <c r="L2645">
        <v>5400.95</v>
      </c>
      <c r="M2645">
        <v>5400.95</v>
      </c>
      <c r="N2645" t="s">
        <v>116</v>
      </c>
      <c r="O2645">
        <v>2024</v>
      </c>
    </row>
    <row r="2646" spans="1:15" x14ac:dyDescent="0.3">
      <c r="A2646" t="s">
        <v>2731</v>
      </c>
      <c r="B2646" t="s">
        <v>74</v>
      </c>
      <c r="C2646" t="s">
        <v>62</v>
      </c>
      <c r="D2646" t="s">
        <v>99</v>
      </c>
      <c r="E2646" t="s">
        <v>30</v>
      </c>
      <c r="F2646" s="1">
        <v>45396</v>
      </c>
      <c r="G2646">
        <v>10</v>
      </c>
      <c r="H2646">
        <v>1683.23</v>
      </c>
      <c r="I2646">
        <v>20</v>
      </c>
      <c r="J2646" t="s">
        <v>31</v>
      </c>
      <c r="K2646">
        <v>3366.46</v>
      </c>
      <c r="L2646">
        <v>16832.3</v>
      </c>
      <c r="M2646">
        <v>13465.84</v>
      </c>
      <c r="N2646" t="s">
        <v>27</v>
      </c>
      <c r="O2646">
        <v>2024</v>
      </c>
    </row>
    <row r="2647" spans="1:15" x14ac:dyDescent="0.3">
      <c r="A2647" t="s">
        <v>2732</v>
      </c>
      <c r="B2647" t="s">
        <v>109</v>
      </c>
      <c r="C2647" t="s">
        <v>62</v>
      </c>
      <c r="D2647" t="s">
        <v>63</v>
      </c>
      <c r="E2647" t="s">
        <v>19</v>
      </c>
      <c r="F2647" s="1">
        <v>45591</v>
      </c>
      <c r="G2647">
        <v>2</v>
      </c>
      <c r="H2647">
        <v>2058.19</v>
      </c>
      <c r="I2647">
        <v>20</v>
      </c>
      <c r="J2647" t="s">
        <v>31</v>
      </c>
      <c r="K2647">
        <v>823.28</v>
      </c>
      <c r="L2647">
        <v>4116.38</v>
      </c>
      <c r="M2647">
        <v>3293.1</v>
      </c>
      <c r="N2647" t="s">
        <v>57</v>
      </c>
      <c r="O2647">
        <v>2024</v>
      </c>
    </row>
    <row r="2648" spans="1:15" x14ac:dyDescent="0.3">
      <c r="A2648" t="s">
        <v>2733</v>
      </c>
      <c r="B2648" t="s">
        <v>65</v>
      </c>
      <c r="C2648" t="s">
        <v>34</v>
      </c>
      <c r="D2648" t="s">
        <v>35</v>
      </c>
      <c r="E2648" t="s">
        <v>30</v>
      </c>
      <c r="F2648" s="1">
        <v>45734</v>
      </c>
      <c r="G2648">
        <v>8</v>
      </c>
      <c r="H2648">
        <v>26059.26</v>
      </c>
      <c r="I2648">
        <v>20</v>
      </c>
      <c r="J2648" t="s">
        <v>40</v>
      </c>
      <c r="K2648">
        <v>41694.82</v>
      </c>
      <c r="L2648">
        <v>208474.08</v>
      </c>
      <c r="M2648">
        <v>166779.26</v>
      </c>
      <c r="N2648" t="s">
        <v>83</v>
      </c>
      <c r="O2648">
        <v>2025</v>
      </c>
    </row>
    <row r="2649" spans="1:15" x14ac:dyDescent="0.3">
      <c r="A2649" t="s">
        <v>2734</v>
      </c>
      <c r="B2649" t="s">
        <v>61</v>
      </c>
      <c r="C2649" t="s">
        <v>90</v>
      </c>
      <c r="D2649" t="s">
        <v>105</v>
      </c>
      <c r="E2649" t="s">
        <v>25</v>
      </c>
      <c r="F2649" s="1">
        <v>45457</v>
      </c>
      <c r="G2649">
        <v>7</v>
      </c>
      <c r="H2649">
        <v>3918.41</v>
      </c>
      <c r="I2649">
        <v>0</v>
      </c>
      <c r="J2649" t="s">
        <v>71</v>
      </c>
      <c r="K2649">
        <v>0</v>
      </c>
      <c r="L2649">
        <v>27428.87</v>
      </c>
      <c r="M2649">
        <v>27428.87</v>
      </c>
      <c r="N2649" t="s">
        <v>72</v>
      </c>
      <c r="O2649">
        <v>2024</v>
      </c>
    </row>
    <row r="2650" spans="1:15" x14ac:dyDescent="0.3">
      <c r="A2650" t="s">
        <v>2735</v>
      </c>
      <c r="B2650" t="s">
        <v>61</v>
      </c>
      <c r="C2650" t="s">
        <v>17</v>
      </c>
      <c r="D2650" t="s">
        <v>18</v>
      </c>
      <c r="E2650" t="s">
        <v>44</v>
      </c>
      <c r="F2650" s="1">
        <v>45729</v>
      </c>
      <c r="G2650">
        <v>6</v>
      </c>
      <c r="H2650">
        <v>72939.03</v>
      </c>
      <c r="I2650">
        <v>0</v>
      </c>
      <c r="J2650" t="s">
        <v>20</v>
      </c>
      <c r="K2650">
        <v>0</v>
      </c>
      <c r="L2650">
        <v>437634.18</v>
      </c>
      <c r="M2650">
        <v>437634.18</v>
      </c>
      <c r="N2650" t="s">
        <v>83</v>
      </c>
      <c r="O2650">
        <v>2025</v>
      </c>
    </row>
    <row r="2651" spans="1:15" x14ac:dyDescent="0.3">
      <c r="A2651" t="s">
        <v>2736</v>
      </c>
      <c r="B2651" t="s">
        <v>43</v>
      </c>
      <c r="C2651" t="s">
        <v>17</v>
      </c>
      <c r="D2651" t="s">
        <v>59</v>
      </c>
      <c r="E2651" t="s">
        <v>19</v>
      </c>
      <c r="F2651" s="1">
        <v>45550</v>
      </c>
      <c r="G2651">
        <v>3</v>
      </c>
      <c r="H2651">
        <v>26259.08</v>
      </c>
      <c r="I2651">
        <v>0</v>
      </c>
      <c r="J2651" t="s">
        <v>40</v>
      </c>
      <c r="K2651">
        <v>0</v>
      </c>
      <c r="L2651">
        <v>78777.240000000005</v>
      </c>
      <c r="M2651">
        <v>78777.240000000005</v>
      </c>
      <c r="N2651" t="s">
        <v>86</v>
      </c>
      <c r="O2651">
        <v>2024</v>
      </c>
    </row>
    <row r="2652" spans="1:15" x14ac:dyDescent="0.3">
      <c r="A2652" t="s">
        <v>2737</v>
      </c>
      <c r="B2652" t="s">
        <v>43</v>
      </c>
      <c r="C2652" t="s">
        <v>90</v>
      </c>
      <c r="D2652" t="s">
        <v>152</v>
      </c>
      <c r="E2652" t="s">
        <v>30</v>
      </c>
      <c r="F2652" s="1">
        <v>45724</v>
      </c>
      <c r="G2652">
        <v>9</v>
      </c>
      <c r="H2652">
        <v>11255.97</v>
      </c>
      <c r="I2652">
        <v>15</v>
      </c>
      <c r="J2652" t="s">
        <v>45</v>
      </c>
      <c r="K2652">
        <v>15195.56</v>
      </c>
      <c r="L2652">
        <v>101303.73</v>
      </c>
      <c r="M2652">
        <v>86108.17</v>
      </c>
      <c r="N2652" t="s">
        <v>83</v>
      </c>
      <c r="O2652">
        <v>2025</v>
      </c>
    </row>
    <row r="2653" spans="1:15" x14ac:dyDescent="0.3">
      <c r="A2653" t="s">
        <v>2738</v>
      </c>
      <c r="B2653" t="s">
        <v>43</v>
      </c>
      <c r="C2653" t="s">
        <v>62</v>
      </c>
      <c r="D2653" t="s">
        <v>63</v>
      </c>
      <c r="E2653" t="s">
        <v>25</v>
      </c>
      <c r="F2653" s="1">
        <v>45437</v>
      </c>
      <c r="G2653">
        <v>3</v>
      </c>
      <c r="H2653">
        <v>1672.57</v>
      </c>
      <c r="I2653">
        <v>10</v>
      </c>
      <c r="J2653" t="s">
        <v>31</v>
      </c>
      <c r="K2653">
        <v>501.77</v>
      </c>
      <c r="L2653">
        <v>5017.71</v>
      </c>
      <c r="M2653">
        <v>4515.9399999999996</v>
      </c>
      <c r="N2653" t="s">
        <v>101</v>
      </c>
      <c r="O2653">
        <v>2024</v>
      </c>
    </row>
    <row r="2654" spans="1:15" x14ac:dyDescent="0.3">
      <c r="A2654" t="s">
        <v>2739</v>
      </c>
      <c r="B2654" t="s">
        <v>23</v>
      </c>
      <c r="C2654" t="s">
        <v>54</v>
      </c>
      <c r="D2654" t="s">
        <v>77</v>
      </c>
      <c r="E2654" t="s">
        <v>44</v>
      </c>
      <c r="F2654" s="1">
        <v>45432</v>
      </c>
      <c r="G2654">
        <v>6</v>
      </c>
      <c r="H2654">
        <v>5665.55</v>
      </c>
      <c r="I2654">
        <v>5</v>
      </c>
      <c r="J2654" t="s">
        <v>71</v>
      </c>
      <c r="K2654">
        <v>1699.67</v>
      </c>
      <c r="L2654">
        <v>33993.300000000003</v>
      </c>
      <c r="M2654">
        <v>32293.63</v>
      </c>
      <c r="N2654" t="s">
        <v>101</v>
      </c>
      <c r="O2654">
        <v>2024</v>
      </c>
    </row>
    <row r="2655" spans="1:15" x14ac:dyDescent="0.3">
      <c r="A2655" t="s">
        <v>2740</v>
      </c>
      <c r="B2655" t="s">
        <v>47</v>
      </c>
      <c r="C2655" t="s">
        <v>34</v>
      </c>
      <c r="D2655" t="s">
        <v>85</v>
      </c>
      <c r="E2655" t="s">
        <v>81</v>
      </c>
      <c r="F2655" s="1">
        <v>45631</v>
      </c>
      <c r="G2655">
        <v>4</v>
      </c>
      <c r="H2655">
        <v>12591</v>
      </c>
      <c r="I2655">
        <v>10</v>
      </c>
      <c r="J2655" t="s">
        <v>26</v>
      </c>
      <c r="K2655">
        <v>5036.3999999999996</v>
      </c>
      <c r="L2655">
        <v>50364</v>
      </c>
      <c r="M2655">
        <v>45327.6</v>
      </c>
      <c r="N2655" t="s">
        <v>51</v>
      </c>
      <c r="O2655">
        <v>2024</v>
      </c>
    </row>
    <row r="2656" spans="1:15" x14ac:dyDescent="0.3">
      <c r="A2656" t="s">
        <v>2741</v>
      </c>
      <c r="B2656" t="s">
        <v>43</v>
      </c>
      <c r="C2656" t="s">
        <v>90</v>
      </c>
      <c r="D2656" t="s">
        <v>105</v>
      </c>
      <c r="E2656" t="s">
        <v>56</v>
      </c>
      <c r="F2656" s="1">
        <v>45783</v>
      </c>
      <c r="G2656">
        <v>7</v>
      </c>
      <c r="H2656">
        <v>3415.63</v>
      </c>
      <c r="I2656">
        <v>10</v>
      </c>
      <c r="J2656" t="s">
        <v>40</v>
      </c>
      <c r="K2656">
        <v>2390.94</v>
      </c>
      <c r="L2656">
        <v>23909.41</v>
      </c>
      <c r="M2656">
        <v>21518.47</v>
      </c>
      <c r="N2656" t="s">
        <v>101</v>
      </c>
      <c r="O2656">
        <v>2025</v>
      </c>
    </row>
    <row r="2657" spans="1:15" x14ac:dyDescent="0.3">
      <c r="A2657" t="s">
        <v>2742</v>
      </c>
      <c r="B2657" t="s">
        <v>93</v>
      </c>
      <c r="C2657" t="s">
        <v>62</v>
      </c>
      <c r="D2657" t="s">
        <v>119</v>
      </c>
      <c r="E2657" t="s">
        <v>50</v>
      </c>
      <c r="F2657" s="1">
        <v>45626</v>
      </c>
      <c r="G2657">
        <v>3</v>
      </c>
      <c r="H2657">
        <v>3557.77</v>
      </c>
      <c r="I2657">
        <v>5</v>
      </c>
      <c r="J2657" t="s">
        <v>31</v>
      </c>
      <c r="K2657">
        <v>533.66999999999996</v>
      </c>
      <c r="L2657">
        <v>10673.31</v>
      </c>
      <c r="M2657">
        <v>10139.64</v>
      </c>
      <c r="N2657" t="s">
        <v>96</v>
      </c>
      <c r="O2657">
        <v>2024</v>
      </c>
    </row>
    <row r="2658" spans="1:15" x14ac:dyDescent="0.3">
      <c r="A2658" t="s">
        <v>2743</v>
      </c>
      <c r="B2658" t="s">
        <v>33</v>
      </c>
      <c r="C2658" t="s">
        <v>54</v>
      </c>
      <c r="D2658" t="s">
        <v>55</v>
      </c>
      <c r="E2658" t="s">
        <v>25</v>
      </c>
      <c r="F2658" s="1">
        <v>45375</v>
      </c>
      <c r="G2658">
        <v>3</v>
      </c>
      <c r="H2658">
        <v>1166.24</v>
      </c>
      <c r="I2658">
        <v>10</v>
      </c>
      <c r="J2658" t="s">
        <v>71</v>
      </c>
      <c r="K2658">
        <v>349.87</v>
      </c>
      <c r="L2658">
        <v>3498.72</v>
      </c>
      <c r="M2658">
        <v>3148.85</v>
      </c>
      <c r="N2658" t="s">
        <v>83</v>
      </c>
      <c r="O2658">
        <v>2024</v>
      </c>
    </row>
    <row r="2659" spans="1:15" x14ac:dyDescent="0.3">
      <c r="A2659" t="s">
        <v>2744</v>
      </c>
      <c r="B2659" t="s">
        <v>53</v>
      </c>
      <c r="C2659" t="s">
        <v>34</v>
      </c>
      <c r="D2659" t="s">
        <v>80</v>
      </c>
      <c r="E2659" t="s">
        <v>30</v>
      </c>
      <c r="F2659" s="1">
        <v>45295</v>
      </c>
      <c r="G2659">
        <v>4</v>
      </c>
      <c r="H2659">
        <v>5991.58</v>
      </c>
      <c r="I2659">
        <v>5</v>
      </c>
      <c r="J2659" t="s">
        <v>26</v>
      </c>
      <c r="K2659">
        <v>1198.32</v>
      </c>
      <c r="L2659">
        <v>23966.32</v>
      </c>
      <c r="M2659">
        <v>22768</v>
      </c>
      <c r="N2659" t="s">
        <v>116</v>
      </c>
      <c r="O2659">
        <v>2024</v>
      </c>
    </row>
    <row r="2660" spans="1:15" x14ac:dyDescent="0.3">
      <c r="A2660" t="s">
        <v>2745</v>
      </c>
      <c r="B2660" t="s">
        <v>114</v>
      </c>
      <c r="C2660" t="s">
        <v>17</v>
      </c>
      <c r="D2660" t="s">
        <v>18</v>
      </c>
      <c r="E2660" t="s">
        <v>30</v>
      </c>
      <c r="F2660" s="1">
        <v>45534</v>
      </c>
      <c r="G2660">
        <v>3</v>
      </c>
      <c r="H2660">
        <v>68791.240000000005</v>
      </c>
      <c r="I2660">
        <v>15</v>
      </c>
      <c r="J2660" t="s">
        <v>71</v>
      </c>
      <c r="K2660">
        <v>30956.06</v>
      </c>
      <c r="L2660">
        <v>206373.72</v>
      </c>
      <c r="M2660">
        <v>175417.66</v>
      </c>
      <c r="N2660" t="s">
        <v>21</v>
      </c>
      <c r="O2660">
        <v>2024</v>
      </c>
    </row>
    <row r="2661" spans="1:15" x14ac:dyDescent="0.3">
      <c r="A2661" t="s">
        <v>2746</v>
      </c>
      <c r="B2661" t="s">
        <v>23</v>
      </c>
      <c r="C2661" t="s">
        <v>90</v>
      </c>
      <c r="D2661" t="s">
        <v>107</v>
      </c>
      <c r="E2661" t="s">
        <v>44</v>
      </c>
      <c r="F2661" s="1">
        <v>45840</v>
      </c>
      <c r="G2661">
        <v>9</v>
      </c>
      <c r="H2661">
        <v>12994.52</v>
      </c>
      <c r="I2661">
        <v>20</v>
      </c>
      <c r="J2661" t="s">
        <v>40</v>
      </c>
      <c r="K2661">
        <v>23390.14</v>
      </c>
      <c r="L2661">
        <v>116950.68</v>
      </c>
      <c r="M2661">
        <v>93560.54</v>
      </c>
      <c r="N2661" t="s">
        <v>122</v>
      </c>
      <c r="O2661">
        <v>2025</v>
      </c>
    </row>
    <row r="2662" spans="1:15" x14ac:dyDescent="0.3">
      <c r="A2662" t="s">
        <v>2747</v>
      </c>
      <c r="B2662" t="s">
        <v>33</v>
      </c>
      <c r="C2662" t="s">
        <v>62</v>
      </c>
      <c r="D2662" t="s">
        <v>132</v>
      </c>
      <c r="E2662" t="s">
        <v>30</v>
      </c>
      <c r="F2662" s="1">
        <v>45859</v>
      </c>
      <c r="G2662">
        <v>6</v>
      </c>
      <c r="H2662">
        <v>2356.86</v>
      </c>
      <c r="I2662">
        <v>20</v>
      </c>
      <c r="J2662" t="s">
        <v>45</v>
      </c>
      <c r="K2662">
        <v>2828.23</v>
      </c>
      <c r="L2662">
        <v>14141.16</v>
      </c>
      <c r="M2662">
        <v>11312.93</v>
      </c>
      <c r="N2662" t="s">
        <v>122</v>
      </c>
      <c r="O2662">
        <v>2025</v>
      </c>
    </row>
    <row r="2663" spans="1:15" x14ac:dyDescent="0.3">
      <c r="A2663" t="s">
        <v>2748</v>
      </c>
      <c r="B2663" t="s">
        <v>61</v>
      </c>
      <c r="C2663" t="s">
        <v>62</v>
      </c>
      <c r="D2663" t="s">
        <v>63</v>
      </c>
      <c r="E2663" t="s">
        <v>44</v>
      </c>
      <c r="F2663" s="1">
        <v>45435</v>
      </c>
      <c r="G2663">
        <v>6</v>
      </c>
      <c r="H2663">
        <v>1665.63</v>
      </c>
      <c r="I2663">
        <v>0</v>
      </c>
      <c r="J2663" t="s">
        <v>45</v>
      </c>
      <c r="K2663">
        <v>0</v>
      </c>
      <c r="L2663">
        <v>9993.7800000000007</v>
      </c>
      <c r="M2663">
        <v>9993.7800000000007</v>
      </c>
      <c r="N2663" t="s">
        <v>101</v>
      </c>
      <c r="O2663">
        <v>2024</v>
      </c>
    </row>
    <row r="2664" spans="1:15" x14ac:dyDescent="0.3">
      <c r="A2664" t="s">
        <v>2749</v>
      </c>
      <c r="B2664" t="s">
        <v>89</v>
      </c>
      <c r="C2664" t="s">
        <v>54</v>
      </c>
      <c r="D2664" t="s">
        <v>137</v>
      </c>
      <c r="E2664" t="s">
        <v>19</v>
      </c>
      <c r="F2664" s="1">
        <v>45751</v>
      </c>
      <c r="G2664">
        <v>2</v>
      </c>
      <c r="H2664">
        <v>822.32</v>
      </c>
      <c r="I2664">
        <v>0</v>
      </c>
      <c r="J2664" t="s">
        <v>82</v>
      </c>
      <c r="K2664">
        <v>0</v>
      </c>
      <c r="L2664">
        <v>1644.64</v>
      </c>
      <c r="M2664">
        <v>1644.64</v>
      </c>
      <c r="N2664" t="s">
        <v>27</v>
      </c>
      <c r="O2664">
        <v>2025</v>
      </c>
    </row>
    <row r="2665" spans="1:15" x14ac:dyDescent="0.3">
      <c r="A2665" t="s">
        <v>2750</v>
      </c>
      <c r="B2665" t="s">
        <v>33</v>
      </c>
      <c r="C2665" t="s">
        <v>54</v>
      </c>
      <c r="D2665" t="s">
        <v>70</v>
      </c>
      <c r="E2665" t="s">
        <v>19</v>
      </c>
      <c r="F2665" s="1">
        <v>45556</v>
      </c>
      <c r="G2665">
        <v>8</v>
      </c>
      <c r="H2665">
        <v>2533.8200000000002</v>
      </c>
      <c r="I2665">
        <v>10</v>
      </c>
      <c r="J2665" t="s">
        <v>82</v>
      </c>
      <c r="K2665">
        <v>2027.06</v>
      </c>
      <c r="L2665">
        <v>20270.560000000001</v>
      </c>
      <c r="M2665">
        <v>18243.5</v>
      </c>
      <c r="N2665" t="s">
        <v>86</v>
      </c>
      <c r="O2665">
        <v>2024</v>
      </c>
    </row>
    <row r="2666" spans="1:15" x14ac:dyDescent="0.3">
      <c r="A2666" t="s">
        <v>2751</v>
      </c>
      <c r="B2666" t="s">
        <v>74</v>
      </c>
      <c r="C2666" t="s">
        <v>90</v>
      </c>
      <c r="D2666" t="s">
        <v>107</v>
      </c>
      <c r="E2666" t="s">
        <v>19</v>
      </c>
      <c r="F2666" s="1">
        <v>45657</v>
      </c>
      <c r="G2666">
        <v>3</v>
      </c>
      <c r="H2666">
        <v>12861.96</v>
      </c>
      <c r="I2666">
        <v>20</v>
      </c>
      <c r="J2666" t="s">
        <v>20</v>
      </c>
      <c r="K2666">
        <v>7717.18</v>
      </c>
      <c r="L2666">
        <v>38585.879999999997</v>
      </c>
      <c r="M2666">
        <v>30868.7</v>
      </c>
      <c r="N2666" t="s">
        <v>51</v>
      </c>
      <c r="O2666">
        <v>2024</v>
      </c>
    </row>
    <row r="2667" spans="1:15" x14ac:dyDescent="0.3">
      <c r="A2667" t="s">
        <v>2752</v>
      </c>
      <c r="B2667" t="s">
        <v>38</v>
      </c>
      <c r="C2667" t="s">
        <v>62</v>
      </c>
      <c r="D2667" t="s">
        <v>95</v>
      </c>
      <c r="E2667" t="s">
        <v>44</v>
      </c>
      <c r="F2667" s="1">
        <v>45413</v>
      </c>
      <c r="G2667">
        <v>6</v>
      </c>
      <c r="H2667">
        <v>836.12</v>
      </c>
      <c r="I2667">
        <v>20</v>
      </c>
      <c r="J2667" t="s">
        <v>71</v>
      </c>
      <c r="K2667">
        <v>1003.34</v>
      </c>
      <c r="L2667">
        <v>5016.72</v>
      </c>
      <c r="M2667">
        <v>4013.38</v>
      </c>
      <c r="N2667" t="s">
        <v>101</v>
      </c>
      <c r="O2667">
        <v>2024</v>
      </c>
    </row>
    <row r="2668" spans="1:15" x14ac:dyDescent="0.3">
      <c r="A2668" t="s">
        <v>2753</v>
      </c>
      <c r="B2668" t="s">
        <v>43</v>
      </c>
      <c r="C2668" t="s">
        <v>90</v>
      </c>
      <c r="D2668" t="s">
        <v>107</v>
      </c>
      <c r="E2668" t="s">
        <v>19</v>
      </c>
      <c r="F2668" s="1">
        <v>45329</v>
      </c>
      <c r="G2668">
        <v>6</v>
      </c>
      <c r="H2668">
        <v>11494.1</v>
      </c>
      <c r="I2668">
        <v>20</v>
      </c>
      <c r="J2668" t="s">
        <v>20</v>
      </c>
      <c r="K2668">
        <v>13792.92</v>
      </c>
      <c r="L2668">
        <v>68964.600000000006</v>
      </c>
      <c r="M2668">
        <v>55171.68</v>
      </c>
      <c r="N2668" t="s">
        <v>41</v>
      </c>
      <c r="O2668">
        <v>2024</v>
      </c>
    </row>
    <row r="2669" spans="1:15" x14ac:dyDescent="0.3">
      <c r="A2669" t="s">
        <v>2754</v>
      </c>
      <c r="B2669" t="s">
        <v>29</v>
      </c>
      <c r="C2669" t="s">
        <v>54</v>
      </c>
      <c r="D2669" t="s">
        <v>70</v>
      </c>
      <c r="E2669" t="s">
        <v>50</v>
      </c>
      <c r="F2669" s="1">
        <v>45834</v>
      </c>
      <c r="G2669">
        <v>4</v>
      </c>
      <c r="H2669">
        <v>2513.3000000000002</v>
      </c>
      <c r="I2669">
        <v>0</v>
      </c>
      <c r="J2669" t="s">
        <v>82</v>
      </c>
      <c r="K2669">
        <v>0</v>
      </c>
      <c r="L2669">
        <v>10053.200000000001</v>
      </c>
      <c r="M2669">
        <v>10053.200000000001</v>
      </c>
      <c r="N2669" t="s">
        <v>72</v>
      </c>
      <c r="O2669">
        <v>2025</v>
      </c>
    </row>
    <row r="2670" spans="1:15" x14ac:dyDescent="0.3">
      <c r="A2670" t="s">
        <v>2755</v>
      </c>
      <c r="B2670" t="s">
        <v>38</v>
      </c>
      <c r="C2670" t="s">
        <v>34</v>
      </c>
      <c r="D2670" t="s">
        <v>85</v>
      </c>
      <c r="E2670" t="s">
        <v>30</v>
      </c>
      <c r="F2670" s="1">
        <v>45729</v>
      </c>
      <c r="G2670">
        <v>1</v>
      </c>
      <c r="H2670">
        <v>12338.94</v>
      </c>
      <c r="I2670">
        <v>20</v>
      </c>
      <c r="J2670" t="s">
        <v>36</v>
      </c>
      <c r="K2670">
        <v>2467.79</v>
      </c>
      <c r="L2670">
        <v>12338.94</v>
      </c>
      <c r="M2670">
        <v>9871.15</v>
      </c>
      <c r="N2670" t="s">
        <v>83</v>
      </c>
      <c r="O2670">
        <v>2025</v>
      </c>
    </row>
    <row r="2671" spans="1:15" x14ac:dyDescent="0.3">
      <c r="A2671" t="s">
        <v>2756</v>
      </c>
      <c r="B2671" t="s">
        <v>74</v>
      </c>
      <c r="C2671" t="s">
        <v>54</v>
      </c>
      <c r="D2671" t="s">
        <v>55</v>
      </c>
      <c r="E2671" t="s">
        <v>81</v>
      </c>
      <c r="F2671" s="1">
        <v>45653</v>
      </c>
      <c r="G2671">
        <v>3</v>
      </c>
      <c r="H2671">
        <v>1346.37</v>
      </c>
      <c r="I2671">
        <v>15</v>
      </c>
      <c r="J2671" t="s">
        <v>82</v>
      </c>
      <c r="K2671">
        <v>605.87</v>
      </c>
      <c r="L2671">
        <v>4039.11</v>
      </c>
      <c r="M2671">
        <v>3433.24</v>
      </c>
      <c r="N2671" t="s">
        <v>51</v>
      </c>
      <c r="O2671">
        <v>2024</v>
      </c>
    </row>
    <row r="2672" spans="1:15" x14ac:dyDescent="0.3">
      <c r="A2672" t="s">
        <v>2757</v>
      </c>
      <c r="B2672" t="s">
        <v>43</v>
      </c>
      <c r="C2672" t="s">
        <v>34</v>
      </c>
      <c r="D2672" t="s">
        <v>80</v>
      </c>
      <c r="E2672" t="s">
        <v>44</v>
      </c>
      <c r="F2672" s="1">
        <v>45480</v>
      </c>
      <c r="G2672">
        <v>6</v>
      </c>
      <c r="H2672">
        <v>6426.41</v>
      </c>
      <c r="I2672">
        <v>10</v>
      </c>
      <c r="J2672" t="s">
        <v>31</v>
      </c>
      <c r="K2672">
        <v>3855.85</v>
      </c>
      <c r="L2672">
        <v>38558.46</v>
      </c>
      <c r="M2672">
        <v>34702.61</v>
      </c>
      <c r="N2672" t="s">
        <v>122</v>
      </c>
      <c r="O2672">
        <v>2024</v>
      </c>
    </row>
    <row r="2673" spans="1:15" x14ac:dyDescent="0.3">
      <c r="A2673" t="s">
        <v>2758</v>
      </c>
      <c r="B2673" t="s">
        <v>89</v>
      </c>
      <c r="C2673" t="s">
        <v>34</v>
      </c>
      <c r="D2673" t="s">
        <v>80</v>
      </c>
      <c r="E2673" t="s">
        <v>30</v>
      </c>
      <c r="F2673" s="1">
        <v>45710</v>
      </c>
      <c r="G2673">
        <v>6</v>
      </c>
      <c r="H2673">
        <v>6647.6</v>
      </c>
      <c r="I2673">
        <v>5</v>
      </c>
      <c r="J2673" t="s">
        <v>40</v>
      </c>
      <c r="K2673">
        <v>1994.28</v>
      </c>
      <c r="L2673">
        <v>39885.599999999999</v>
      </c>
      <c r="M2673">
        <v>37891.32</v>
      </c>
      <c r="N2673" t="s">
        <v>41</v>
      </c>
      <c r="O2673">
        <v>2025</v>
      </c>
    </row>
    <row r="2674" spans="1:15" x14ac:dyDescent="0.3">
      <c r="A2674" t="s">
        <v>2759</v>
      </c>
      <c r="B2674" t="s">
        <v>89</v>
      </c>
      <c r="C2674" t="s">
        <v>62</v>
      </c>
      <c r="D2674" t="s">
        <v>63</v>
      </c>
      <c r="E2674" t="s">
        <v>44</v>
      </c>
      <c r="F2674" s="1">
        <v>45395</v>
      </c>
      <c r="G2674">
        <v>9</v>
      </c>
      <c r="H2674">
        <v>1874.04</v>
      </c>
      <c r="I2674">
        <v>0</v>
      </c>
      <c r="J2674" t="s">
        <v>26</v>
      </c>
      <c r="K2674">
        <v>0</v>
      </c>
      <c r="L2674">
        <v>16866.36</v>
      </c>
      <c r="M2674">
        <v>16866.36</v>
      </c>
      <c r="N2674" t="s">
        <v>27</v>
      </c>
      <c r="O2674">
        <v>2024</v>
      </c>
    </row>
    <row r="2675" spans="1:15" x14ac:dyDescent="0.3">
      <c r="A2675" t="s">
        <v>2760</v>
      </c>
      <c r="B2675" t="s">
        <v>61</v>
      </c>
      <c r="C2675" t="s">
        <v>62</v>
      </c>
      <c r="D2675" t="s">
        <v>99</v>
      </c>
      <c r="E2675" t="s">
        <v>56</v>
      </c>
      <c r="F2675" s="1">
        <v>45591</v>
      </c>
      <c r="G2675">
        <v>5</v>
      </c>
      <c r="H2675">
        <v>1843.61</v>
      </c>
      <c r="I2675">
        <v>15</v>
      </c>
      <c r="J2675" t="s">
        <v>20</v>
      </c>
      <c r="K2675">
        <v>1382.71</v>
      </c>
      <c r="L2675">
        <v>9218.0499999999993</v>
      </c>
      <c r="M2675">
        <v>7835.34</v>
      </c>
      <c r="N2675" t="s">
        <v>57</v>
      </c>
      <c r="O2675">
        <v>2024</v>
      </c>
    </row>
    <row r="2676" spans="1:15" x14ac:dyDescent="0.3">
      <c r="A2676" t="s">
        <v>2761</v>
      </c>
      <c r="B2676" t="s">
        <v>89</v>
      </c>
      <c r="C2676" t="s">
        <v>17</v>
      </c>
      <c r="D2676" t="s">
        <v>157</v>
      </c>
      <c r="E2676" t="s">
        <v>30</v>
      </c>
      <c r="F2676" s="1">
        <v>45458</v>
      </c>
      <c r="G2676">
        <v>10</v>
      </c>
      <c r="H2676">
        <v>7715.88</v>
      </c>
      <c r="I2676">
        <v>20</v>
      </c>
      <c r="J2676" t="s">
        <v>31</v>
      </c>
      <c r="K2676">
        <v>15431.76</v>
      </c>
      <c r="L2676">
        <v>77158.8</v>
      </c>
      <c r="M2676">
        <v>61727.040000000001</v>
      </c>
      <c r="N2676" t="s">
        <v>72</v>
      </c>
      <c r="O2676">
        <v>2024</v>
      </c>
    </row>
    <row r="2677" spans="1:15" x14ac:dyDescent="0.3">
      <c r="A2677" t="s">
        <v>2762</v>
      </c>
      <c r="B2677" t="s">
        <v>29</v>
      </c>
      <c r="C2677" t="s">
        <v>17</v>
      </c>
      <c r="D2677" t="s">
        <v>39</v>
      </c>
      <c r="E2677" t="s">
        <v>50</v>
      </c>
      <c r="F2677" s="1">
        <v>45431</v>
      </c>
      <c r="G2677">
        <v>10</v>
      </c>
      <c r="H2677">
        <v>18920.71</v>
      </c>
      <c r="I2677">
        <v>10</v>
      </c>
      <c r="J2677" t="s">
        <v>31</v>
      </c>
      <c r="K2677">
        <v>18920.71</v>
      </c>
      <c r="L2677">
        <v>189207.1</v>
      </c>
      <c r="M2677">
        <v>170286.39</v>
      </c>
      <c r="N2677" t="s">
        <v>101</v>
      </c>
      <c r="O2677">
        <v>2024</v>
      </c>
    </row>
    <row r="2678" spans="1:15" x14ac:dyDescent="0.3">
      <c r="A2678" t="s">
        <v>2763</v>
      </c>
      <c r="B2678" t="s">
        <v>43</v>
      </c>
      <c r="C2678" t="s">
        <v>90</v>
      </c>
      <c r="D2678" t="s">
        <v>152</v>
      </c>
      <c r="E2678" t="s">
        <v>19</v>
      </c>
      <c r="F2678" s="1">
        <v>45916</v>
      </c>
      <c r="G2678">
        <v>10</v>
      </c>
      <c r="H2678">
        <v>10437.790000000001</v>
      </c>
      <c r="I2678">
        <v>0</v>
      </c>
      <c r="J2678" t="s">
        <v>26</v>
      </c>
      <c r="K2678">
        <v>0</v>
      </c>
      <c r="L2678">
        <v>104377.9</v>
      </c>
      <c r="M2678">
        <v>104377.9</v>
      </c>
      <c r="N2678" t="s">
        <v>86</v>
      </c>
      <c r="O2678">
        <v>2025</v>
      </c>
    </row>
    <row r="2679" spans="1:15" x14ac:dyDescent="0.3">
      <c r="A2679" t="s">
        <v>2764</v>
      </c>
      <c r="B2679" t="s">
        <v>109</v>
      </c>
      <c r="C2679" t="s">
        <v>17</v>
      </c>
      <c r="D2679" t="s">
        <v>18</v>
      </c>
      <c r="E2679" t="s">
        <v>81</v>
      </c>
      <c r="F2679" s="1">
        <v>45783</v>
      </c>
      <c r="G2679">
        <v>4</v>
      </c>
      <c r="H2679">
        <v>67883.39</v>
      </c>
      <c r="I2679">
        <v>20</v>
      </c>
      <c r="J2679" t="s">
        <v>45</v>
      </c>
      <c r="K2679">
        <v>54306.71</v>
      </c>
      <c r="L2679">
        <v>271533.56</v>
      </c>
      <c r="M2679">
        <v>217226.85</v>
      </c>
      <c r="N2679" t="s">
        <v>101</v>
      </c>
      <c r="O2679">
        <v>2025</v>
      </c>
    </row>
    <row r="2680" spans="1:15" x14ac:dyDescent="0.3">
      <c r="A2680" t="s">
        <v>2765</v>
      </c>
      <c r="B2680" t="s">
        <v>53</v>
      </c>
      <c r="C2680" t="s">
        <v>34</v>
      </c>
      <c r="D2680" t="s">
        <v>48</v>
      </c>
      <c r="E2680" t="s">
        <v>25</v>
      </c>
      <c r="F2680" s="1">
        <v>45845</v>
      </c>
      <c r="G2680">
        <v>10</v>
      </c>
      <c r="H2680">
        <v>8019.2</v>
      </c>
      <c r="I2680">
        <v>20</v>
      </c>
      <c r="J2680" t="s">
        <v>82</v>
      </c>
      <c r="K2680">
        <v>16038.4</v>
      </c>
      <c r="L2680">
        <v>80192</v>
      </c>
      <c r="M2680">
        <v>64153.599999999999</v>
      </c>
      <c r="N2680" t="s">
        <v>122</v>
      </c>
      <c r="O2680">
        <v>2025</v>
      </c>
    </row>
    <row r="2681" spans="1:15" x14ac:dyDescent="0.3">
      <c r="A2681" t="s">
        <v>2766</v>
      </c>
      <c r="B2681" t="s">
        <v>53</v>
      </c>
      <c r="C2681" t="s">
        <v>62</v>
      </c>
      <c r="D2681" t="s">
        <v>119</v>
      </c>
      <c r="E2681" t="s">
        <v>30</v>
      </c>
      <c r="F2681" s="1">
        <v>45691</v>
      </c>
      <c r="G2681">
        <v>5</v>
      </c>
      <c r="H2681">
        <v>3794.11</v>
      </c>
      <c r="I2681">
        <v>20</v>
      </c>
      <c r="J2681" t="s">
        <v>40</v>
      </c>
      <c r="K2681">
        <v>3794.11</v>
      </c>
      <c r="L2681">
        <v>18970.55</v>
      </c>
      <c r="M2681">
        <v>15176.44</v>
      </c>
      <c r="N2681" t="s">
        <v>41</v>
      </c>
      <c r="O2681">
        <v>2025</v>
      </c>
    </row>
    <row r="2682" spans="1:15" x14ac:dyDescent="0.3">
      <c r="A2682" t="s">
        <v>2767</v>
      </c>
      <c r="B2682" t="s">
        <v>93</v>
      </c>
      <c r="C2682" t="s">
        <v>54</v>
      </c>
      <c r="D2682" t="s">
        <v>137</v>
      </c>
      <c r="E2682" t="s">
        <v>44</v>
      </c>
      <c r="F2682" s="1">
        <v>45888</v>
      </c>
      <c r="G2682">
        <v>6</v>
      </c>
      <c r="H2682">
        <v>908.56</v>
      </c>
      <c r="I2682">
        <v>20</v>
      </c>
      <c r="J2682" t="s">
        <v>71</v>
      </c>
      <c r="K2682">
        <v>1090.27</v>
      </c>
      <c r="L2682">
        <v>5451.36</v>
      </c>
      <c r="M2682">
        <v>4361.09</v>
      </c>
      <c r="N2682" t="s">
        <v>21</v>
      </c>
      <c r="O2682">
        <v>2025</v>
      </c>
    </row>
    <row r="2683" spans="1:15" x14ac:dyDescent="0.3">
      <c r="A2683" t="s">
        <v>2768</v>
      </c>
      <c r="B2683" t="s">
        <v>33</v>
      </c>
      <c r="C2683" t="s">
        <v>62</v>
      </c>
      <c r="D2683" t="s">
        <v>99</v>
      </c>
      <c r="E2683" t="s">
        <v>30</v>
      </c>
      <c r="F2683" s="1">
        <v>45824</v>
      </c>
      <c r="G2683">
        <v>3</v>
      </c>
      <c r="H2683">
        <v>1704.54</v>
      </c>
      <c r="I2683">
        <v>0</v>
      </c>
      <c r="J2683" t="s">
        <v>45</v>
      </c>
      <c r="K2683">
        <v>0</v>
      </c>
      <c r="L2683">
        <v>5113.62</v>
      </c>
      <c r="M2683">
        <v>5113.62</v>
      </c>
      <c r="N2683" t="s">
        <v>72</v>
      </c>
      <c r="O2683">
        <v>2025</v>
      </c>
    </row>
    <row r="2684" spans="1:15" x14ac:dyDescent="0.3">
      <c r="A2684" t="s">
        <v>2769</v>
      </c>
      <c r="B2684" t="s">
        <v>53</v>
      </c>
      <c r="C2684" t="s">
        <v>54</v>
      </c>
      <c r="D2684" t="s">
        <v>70</v>
      </c>
      <c r="E2684" t="s">
        <v>50</v>
      </c>
      <c r="F2684" s="1">
        <v>45743</v>
      </c>
      <c r="G2684">
        <v>10</v>
      </c>
      <c r="H2684">
        <v>2539.23</v>
      </c>
      <c r="I2684">
        <v>20</v>
      </c>
      <c r="J2684" t="s">
        <v>82</v>
      </c>
      <c r="K2684">
        <v>5078.46</v>
      </c>
      <c r="L2684">
        <v>25392.3</v>
      </c>
      <c r="M2684">
        <v>20313.84</v>
      </c>
      <c r="N2684" t="s">
        <v>83</v>
      </c>
      <c r="O2684">
        <v>2025</v>
      </c>
    </row>
    <row r="2685" spans="1:15" x14ac:dyDescent="0.3">
      <c r="A2685" t="s">
        <v>2770</v>
      </c>
      <c r="B2685" t="s">
        <v>38</v>
      </c>
      <c r="C2685" t="s">
        <v>54</v>
      </c>
      <c r="D2685" t="s">
        <v>70</v>
      </c>
      <c r="E2685" t="s">
        <v>50</v>
      </c>
      <c r="F2685" s="1">
        <v>45833</v>
      </c>
      <c r="G2685">
        <v>9</v>
      </c>
      <c r="H2685">
        <v>2367.21</v>
      </c>
      <c r="I2685">
        <v>20</v>
      </c>
      <c r="J2685" t="s">
        <v>40</v>
      </c>
      <c r="K2685">
        <v>4260.9799999999996</v>
      </c>
      <c r="L2685">
        <v>21304.89</v>
      </c>
      <c r="M2685">
        <v>17043.91</v>
      </c>
      <c r="N2685" t="s">
        <v>72</v>
      </c>
      <c r="O2685">
        <v>2025</v>
      </c>
    </row>
    <row r="2686" spans="1:15" x14ac:dyDescent="0.3">
      <c r="A2686" t="s">
        <v>2771</v>
      </c>
      <c r="B2686" t="s">
        <v>89</v>
      </c>
      <c r="C2686" t="s">
        <v>90</v>
      </c>
      <c r="D2686" t="s">
        <v>105</v>
      </c>
      <c r="E2686" t="s">
        <v>25</v>
      </c>
      <c r="F2686" s="1">
        <v>45886</v>
      </c>
      <c r="G2686">
        <v>9</v>
      </c>
      <c r="H2686">
        <v>3411.84</v>
      </c>
      <c r="I2686">
        <v>10</v>
      </c>
      <c r="J2686" t="s">
        <v>45</v>
      </c>
      <c r="K2686">
        <v>3070.66</v>
      </c>
      <c r="L2686">
        <v>30706.560000000001</v>
      </c>
      <c r="M2686">
        <v>27635.9</v>
      </c>
      <c r="N2686" t="s">
        <v>21</v>
      </c>
      <c r="O2686">
        <v>2025</v>
      </c>
    </row>
    <row r="2687" spans="1:15" x14ac:dyDescent="0.3">
      <c r="A2687" t="s">
        <v>2772</v>
      </c>
      <c r="B2687" t="s">
        <v>74</v>
      </c>
      <c r="C2687" t="s">
        <v>62</v>
      </c>
      <c r="D2687" t="s">
        <v>95</v>
      </c>
      <c r="E2687" t="s">
        <v>19</v>
      </c>
      <c r="F2687" s="1">
        <v>45727</v>
      </c>
      <c r="G2687">
        <v>8</v>
      </c>
      <c r="H2687">
        <v>872.11</v>
      </c>
      <c r="I2687">
        <v>5</v>
      </c>
      <c r="J2687" t="s">
        <v>20</v>
      </c>
      <c r="K2687">
        <v>348.84</v>
      </c>
      <c r="L2687">
        <v>6976.88</v>
      </c>
      <c r="M2687">
        <v>6628.04</v>
      </c>
      <c r="N2687" t="s">
        <v>83</v>
      </c>
      <c r="O2687">
        <v>2025</v>
      </c>
    </row>
    <row r="2688" spans="1:15" x14ac:dyDescent="0.3">
      <c r="A2688" t="s">
        <v>2773</v>
      </c>
      <c r="B2688" t="s">
        <v>65</v>
      </c>
      <c r="C2688" t="s">
        <v>54</v>
      </c>
      <c r="D2688" t="s">
        <v>68</v>
      </c>
      <c r="E2688" t="s">
        <v>25</v>
      </c>
      <c r="F2688" s="1">
        <v>45478</v>
      </c>
      <c r="G2688">
        <v>4</v>
      </c>
      <c r="H2688">
        <v>4767.97</v>
      </c>
      <c r="I2688">
        <v>5</v>
      </c>
      <c r="J2688" t="s">
        <v>82</v>
      </c>
      <c r="K2688">
        <v>953.59</v>
      </c>
      <c r="L2688">
        <v>19071.88</v>
      </c>
      <c r="M2688">
        <v>18118.29</v>
      </c>
      <c r="N2688" t="s">
        <v>122</v>
      </c>
      <c r="O2688">
        <v>2024</v>
      </c>
    </row>
    <row r="2689" spans="1:15" x14ac:dyDescent="0.3">
      <c r="A2689" t="s">
        <v>2774</v>
      </c>
      <c r="B2689" t="s">
        <v>33</v>
      </c>
      <c r="C2689" t="s">
        <v>54</v>
      </c>
      <c r="D2689" t="s">
        <v>77</v>
      </c>
      <c r="E2689" t="s">
        <v>44</v>
      </c>
      <c r="F2689" s="1">
        <v>45841</v>
      </c>
      <c r="G2689">
        <v>2</v>
      </c>
      <c r="H2689">
        <v>5469.2</v>
      </c>
      <c r="I2689">
        <v>20</v>
      </c>
      <c r="J2689" t="s">
        <v>31</v>
      </c>
      <c r="K2689">
        <v>2187.6799999999998</v>
      </c>
      <c r="L2689">
        <v>10938.4</v>
      </c>
      <c r="M2689">
        <v>8750.7199999999993</v>
      </c>
      <c r="N2689" t="s">
        <v>122</v>
      </c>
      <c r="O2689">
        <v>2025</v>
      </c>
    </row>
    <row r="2690" spans="1:15" x14ac:dyDescent="0.3">
      <c r="A2690" t="s">
        <v>2775</v>
      </c>
      <c r="B2690" t="s">
        <v>89</v>
      </c>
      <c r="C2690" t="s">
        <v>34</v>
      </c>
      <c r="D2690" t="s">
        <v>66</v>
      </c>
      <c r="E2690" t="s">
        <v>44</v>
      </c>
      <c r="F2690" s="1">
        <v>45573</v>
      </c>
      <c r="G2690">
        <v>6</v>
      </c>
      <c r="H2690">
        <v>45940.82</v>
      </c>
      <c r="I2690">
        <v>0</v>
      </c>
      <c r="J2690" t="s">
        <v>82</v>
      </c>
      <c r="K2690">
        <v>0</v>
      </c>
      <c r="L2690">
        <v>275644.92</v>
      </c>
      <c r="M2690">
        <v>275644.92</v>
      </c>
      <c r="N2690" t="s">
        <v>57</v>
      </c>
      <c r="O2690">
        <v>2024</v>
      </c>
    </row>
    <row r="2691" spans="1:15" x14ac:dyDescent="0.3">
      <c r="A2691" t="s">
        <v>2776</v>
      </c>
      <c r="B2691" t="s">
        <v>61</v>
      </c>
      <c r="C2691" t="s">
        <v>54</v>
      </c>
      <c r="D2691" t="s">
        <v>77</v>
      </c>
      <c r="E2691" t="s">
        <v>44</v>
      </c>
      <c r="F2691" s="1">
        <v>45399</v>
      </c>
      <c r="G2691">
        <v>8</v>
      </c>
      <c r="H2691">
        <v>5085.01</v>
      </c>
      <c r="I2691">
        <v>0</v>
      </c>
      <c r="J2691" t="s">
        <v>36</v>
      </c>
      <c r="K2691">
        <v>0</v>
      </c>
      <c r="L2691">
        <v>40680.080000000002</v>
      </c>
      <c r="M2691">
        <v>40680.080000000002</v>
      </c>
      <c r="N2691" t="s">
        <v>27</v>
      </c>
      <c r="O2691">
        <v>2024</v>
      </c>
    </row>
    <row r="2692" spans="1:15" x14ac:dyDescent="0.3">
      <c r="A2692" t="s">
        <v>2777</v>
      </c>
      <c r="B2692" t="s">
        <v>53</v>
      </c>
      <c r="C2692" t="s">
        <v>62</v>
      </c>
      <c r="D2692" t="s">
        <v>119</v>
      </c>
      <c r="E2692" t="s">
        <v>81</v>
      </c>
      <c r="F2692" s="1">
        <v>45725</v>
      </c>
      <c r="G2692">
        <v>10</v>
      </c>
      <c r="H2692">
        <v>3331.76</v>
      </c>
      <c r="I2692">
        <v>10</v>
      </c>
      <c r="J2692" t="s">
        <v>31</v>
      </c>
      <c r="K2692">
        <v>3331.76</v>
      </c>
      <c r="L2692">
        <v>33317.599999999999</v>
      </c>
      <c r="M2692">
        <v>29985.84</v>
      </c>
      <c r="N2692" t="s">
        <v>83</v>
      </c>
      <c r="O2692">
        <v>2025</v>
      </c>
    </row>
    <row r="2693" spans="1:15" x14ac:dyDescent="0.3">
      <c r="A2693" t="s">
        <v>2778</v>
      </c>
      <c r="B2693" t="s">
        <v>16</v>
      </c>
      <c r="C2693" t="s">
        <v>17</v>
      </c>
      <c r="D2693" t="s">
        <v>39</v>
      </c>
      <c r="E2693" t="s">
        <v>81</v>
      </c>
      <c r="F2693" s="1">
        <v>45767</v>
      </c>
      <c r="G2693">
        <v>1</v>
      </c>
      <c r="H2693">
        <v>19659.61</v>
      </c>
      <c r="I2693">
        <v>10</v>
      </c>
      <c r="J2693" t="s">
        <v>26</v>
      </c>
      <c r="K2693">
        <v>1965.96</v>
      </c>
      <c r="L2693">
        <v>19659.61</v>
      </c>
      <c r="M2693">
        <v>17693.650000000001</v>
      </c>
      <c r="N2693" t="s">
        <v>27</v>
      </c>
      <c r="O2693">
        <v>2025</v>
      </c>
    </row>
    <row r="2694" spans="1:15" x14ac:dyDescent="0.3">
      <c r="A2694" t="s">
        <v>2779</v>
      </c>
      <c r="B2694" t="s">
        <v>61</v>
      </c>
      <c r="C2694" t="s">
        <v>34</v>
      </c>
      <c r="D2694" t="s">
        <v>85</v>
      </c>
      <c r="E2694" t="s">
        <v>56</v>
      </c>
      <c r="F2694" s="1">
        <v>45416</v>
      </c>
      <c r="G2694">
        <v>2</v>
      </c>
      <c r="H2694">
        <v>12527.02</v>
      </c>
      <c r="I2694">
        <v>20</v>
      </c>
      <c r="J2694" t="s">
        <v>26</v>
      </c>
      <c r="K2694">
        <v>5010.8100000000004</v>
      </c>
      <c r="L2694">
        <v>25054.04</v>
      </c>
      <c r="M2694">
        <v>20043.23</v>
      </c>
      <c r="N2694" t="s">
        <v>101</v>
      </c>
      <c r="O2694">
        <v>2024</v>
      </c>
    </row>
    <row r="2695" spans="1:15" x14ac:dyDescent="0.3">
      <c r="A2695" t="s">
        <v>2780</v>
      </c>
      <c r="B2695" t="s">
        <v>29</v>
      </c>
      <c r="C2695" t="s">
        <v>17</v>
      </c>
      <c r="D2695" t="s">
        <v>18</v>
      </c>
      <c r="E2695" t="s">
        <v>44</v>
      </c>
      <c r="F2695" s="1">
        <v>45879</v>
      </c>
      <c r="G2695">
        <v>8</v>
      </c>
      <c r="H2695">
        <v>63494.82</v>
      </c>
      <c r="I2695">
        <v>10</v>
      </c>
      <c r="J2695" t="s">
        <v>36</v>
      </c>
      <c r="K2695">
        <v>50795.86</v>
      </c>
      <c r="L2695">
        <v>507958.56</v>
      </c>
      <c r="M2695">
        <v>457162.7</v>
      </c>
      <c r="N2695" t="s">
        <v>21</v>
      </c>
      <c r="O2695">
        <v>2025</v>
      </c>
    </row>
    <row r="2696" spans="1:15" x14ac:dyDescent="0.3">
      <c r="A2696" t="s">
        <v>2781</v>
      </c>
      <c r="B2696" t="s">
        <v>29</v>
      </c>
      <c r="C2696" t="s">
        <v>62</v>
      </c>
      <c r="D2696" t="s">
        <v>95</v>
      </c>
      <c r="E2696" t="s">
        <v>30</v>
      </c>
      <c r="F2696" s="1">
        <v>45335</v>
      </c>
      <c r="G2696">
        <v>10</v>
      </c>
      <c r="H2696">
        <v>731.81</v>
      </c>
      <c r="I2696">
        <v>20</v>
      </c>
      <c r="J2696" t="s">
        <v>31</v>
      </c>
      <c r="K2696">
        <v>1463.62</v>
      </c>
      <c r="L2696">
        <v>7318.1</v>
      </c>
      <c r="M2696">
        <v>5854.48</v>
      </c>
      <c r="N2696" t="s">
        <v>41</v>
      </c>
      <c r="O2696">
        <v>2024</v>
      </c>
    </row>
    <row r="2697" spans="1:15" x14ac:dyDescent="0.3">
      <c r="A2697" t="s">
        <v>2782</v>
      </c>
      <c r="B2697" t="s">
        <v>74</v>
      </c>
      <c r="C2697" t="s">
        <v>62</v>
      </c>
      <c r="D2697" t="s">
        <v>132</v>
      </c>
      <c r="E2697" t="s">
        <v>25</v>
      </c>
      <c r="F2697" s="1">
        <v>45335</v>
      </c>
      <c r="G2697">
        <v>5</v>
      </c>
      <c r="H2697">
        <v>2454.84</v>
      </c>
      <c r="I2697">
        <v>5</v>
      </c>
      <c r="J2697" t="s">
        <v>82</v>
      </c>
      <c r="K2697">
        <v>613.71</v>
      </c>
      <c r="L2697">
        <v>12274.2</v>
      </c>
      <c r="M2697">
        <v>11660.49</v>
      </c>
      <c r="N2697" t="s">
        <v>41</v>
      </c>
      <c r="O2697">
        <v>2024</v>
      </c>
    </row>
    <row r="2698" spans="1:15" x14ac:dyDescent="0.3">
      <c r="A2698" t="s">
        <v>2783</v>
      </c>
      <c r="B2698" t="s">
        <v>16</v>
      </c>
      <c r="C2698" t="s">
        <v>62</v>
      </c>
      <c r="D2698" t="s">
        <v>63</v>
      </c>
      <c r="E2698" t="s">
        <v>56</v>
      </c>
      <c r="F2698" s="1">
        <v>45702</v>
      </c>
      <c r="G2698">
        <v>2</v>
      </c>
      <c r="H2698">
        <v>2027.6</v>
      </c>
      <c r="I2698">
        <v>20</v>
      </c>
      <c r="J2698" t="s">
        <v>20</v>
      </c>
      <c r="K2698">
        <v>811.04</v>
      </c>
      <c r="L2698">
        <v>4055.2</v>
      </c>
      <c r="M2698">
        <v>3244.16</v>
      </c>
      <c r="N2698" t="s">
        <v>41</v>
      </c>
      <c r="O2698">
        <v>2025</v>
      </c>
    </row>
    <row r="2699" spans="1:15" x14ac:dyDescent="0.3">
      <c r="A2699" t="s">
        <v>2784</v>
      </c>
      <c r="B2699" t="s">
        <v>23</v>
      </c>
      <c r="C2699" t="s">
        <v>90</v>
      </c>
      <c r="D2699" t="s">
        <v>107</v>
      </c>
      <c r="E2699" t="s">
        <v>44</v>
      </c>
      <c r="F2699" s="1">
        <v>45435</v>
      </c>
      <c r="G2699">
        <v>8</v>
      </c>
      <c r="H2699">
        <v>11036.6</v>
      </c>
      <c r="I2699">
        <v>10</v>
      </c>
      <c r="J2699" t="s">
        <v>31</v>
      </c>
      <c r="K2699">
        <v>8829.2800000000007</v>
      </c>
      <c r="L2699">
        <v>88292.800000000003</v>
      </c>
      <c r="M2699">
        <v>79463.520000000004</v>
      </c>
      <c r="N2699" t="s">
        <v>101</v>
      </c>
      <c r="O2699">
        <v>2024</v>
      </c>
    </row>
    <row r="2700" spans="1:15" x14ac:dyDescent="0.3">
      <c r="A2700" t="s">
        <v>2785</v>
      </c>
      <c r="B2700" t="s">
        <v>23</v>
      </c>
      <c r="C2700" t="s">
        <v>54</v>
      </c>
      <c r="D2700" t="s">
        <v>77</v>
      </c>
      <c r="E2700" t="s">
        <v>81</v>
      </c>
      <c r="F2700" s="1">
        <v>45506</v>
      </c>
      <c r="G2700">
        <v>6</v>
      </c>
      <c r="H2700">
        <v>4802.49</v>
      </c>
      <c r="I2700">
        <v>20</v>
      </c>
      <c r="J2700" t="s">
        <v>20</v>
      </c>
      <c r="K2700">
        <v>5762.99</v>
      </c>
      <c r="L2700">
        <v>28814.94</v>
      </c>
      <c r="M2700">
        <v>23051.95</v>
      </c>
      <c r="N2700" t="s">
        <v>21</v>
      </c>
      <c r="O2700">
        <v>2024</v>
      </c>
    </row>
    <row r="2701" spans="1:15" x14ac:dyDescent="0.3">
      <c r="A2701" t="s">
        <v>2786</v>
      </c>
      <c r="B2701" t="s">
        <v>61</v>
      </c>
      <c r="C2701" t="s">
        <v>17</v>
      </c>
      <c r="D2701" t="s">
        <v>18</v>
      </c>
      <c r="E2701" t="s">
        <v>19</v>
      </c>
      <c r="F2701" s="1">
        <v>45732</v>
      </c>
      <c r="G2701">
        <v>2</v>
      </c>
      <c r="H2701">
        <v>64459.17</v>
      </c>
      <c r="I2701">
        <v>10</v>
      </c>
      <c r="J2701" t="s">
        <v>45</v>
      </c>
      <c r="K2701">
        <v>12891.83</v>
      </c>
      <c r="L2701">
        <v>128918.34</v>
      </c>
      <c r="M2701">
        <v>116026.51</v>
      </c>
      <c r="N2701" t="s">
        <v>83</v>
      </c>
      <c r="O2701">
        <v>2025</v>
      </c>
    </row>
    <row r="2702" spans="1:15" x14ac:dyDescent="0.3">
      <c r="A2702" t="s">
        <v>2787</v>
      </c>
      <c r="B2702" t="s">
        <v>47</v>
      </c>
      <c r="C2702" t="s">
        <v>90</v>
      </c>
      <c r="D2702" t="s">
        <v>107</v>
      </c>
      <c r="E2702" t="s">
        <v>30</v>
      </c>
      <c r="F2702" s="1">
        <v>45687</v>
      </c>
      <c r="G2702">
        <v>7</v>
      </c>
      <c r="H2702">
        <v>11518.23</v>
      </c>
      <c r="I2702">
        <v>15</v>
      </c>
      <c r="J2702" t="s">
        <v>45</v>
      </c>
      <c r="K2702">
        <v>12094.14</v>
      </c>
      <c r="L2702">
        <v>80627.61</v>
      </c>
      <c r="M2702">
        <v>68533.47</v>
      </c>
      <c r="N2702" t="s">
        <v>116</v>
      </c>
      <c r="O2702">
        <v>2025</v>
      </c>
    </row>
    <row r="2703" spans="1:15" x14ac:dyDescent="0.3">
      <c r="A2703" t="s">
        <v>2788</v>
      </c>
      <c r="B2703" t="s">
        <v>33</v>
      </c>
      <c r="C2703" t="s">
        <v>54</v>
      </c>
      <c r="D2703" t="s">
        <v>55</v>
      </c>
      <c r="E2703" t="s">
        <v>19</v>
      </c>
      <c r="F2703" s="1">
        <v>45395</v>
      </c>
      <c r="G2703">
        <v>7</v>
      </c>
      <c r="H2703">
        <v>1167.05</v>
      </c>
      <c r="I2703">
        <v>15</v>
      </c>
      <c r="J2703" t="s">
        <v>82</v>
      </c>
      <c r="K2703">
        <v>1225.4000000000001</v>
      </c>
      <c r="L2703">
        <v>8169.35</v>
      </c>
      <c r="M2703">
        <v>6943.95</v>
      </c>
      <c r="N2703" t="s">
        <v>27</v>
      </c>
      <c r="O2703">
        <v>2024</v>
      </c>
    </row>
    <row r="2704" spans="1:15" x14ac:dyDescent="0.3">
      <c r="A2704" t="s">
        <v>2789</v>
      </c>
      <c r="B2704" t="s">
        <v>61</v>
      </c>
      <c r="C2704" t="s">
        <v>54</v>
      </c>
      <c r="D2704" t="s">
        <v>70</v>
      </c>
      <c r="E2704" t="s">
        <v>50</v>
      </c>
      <c r="F2704" s="1">
        <v>45774</v>
      </c>
      <c r="G2704">
        <v>8</v>
      </c>
      <c r="H2704">
        <v>2363.5700000000002</v>
      </c>
      <c r="I2704">
        <v>0</v>
      </c>
      <c r="J2704" t="s">
        <v>20</v>
      </c>
      <c r="K2704">
        <v>0</v>
      </c>
      <c r="L2704">
        <v>18908.560000000001</v>
      </c>
      <c r="M2704">
        <v>18908.560000000001</v>
      </c>
      <c r="N2704" t="s">
        <v>27</v>
      </c>
      <c r="O2704">
        <v>2025</v>
      </c>
    </row>
    <row r="2705" spans="1:15" x14ac:dyDescent="0.3">
      <c r="A2705" t="s">
        <v>2790</v>
      </c>
      <c r="B2705" t="s">
        <v>93</v>
      </c>
      <c r="C2705" t="s">
        <v>34</v>
      </c>
      <c r="D2705" t="s">
        <v>66</v>
      </c>
      <c r="E2705" t="s">
        <v>56</v>
      </c>
      <c r="F2705" s="1">
        <v>45711</v>
      </c>
      <c r="G2705">
        <v>1</v>
      </c>
      <c r="H2705">
        <v>39431.15</v>
      </c>
      <c r="I2705">
        <v>5</v>
      </c>
      <c r="J2705" t="s">
        <v>31</v>
      </c>
      <c r="K2705">
        <v>1971.56</v>
      </c>
      <c r="L2705">
        <v>39431.15</v>
      </c>
      <c r="M2705">
        <v>37459.589999999997</v>
      </c>
      <c r="N2705" t="s">
        <v>41</v>
      </c>
      <c r="O2705">
        <v>2025</v>
      </c>
    </row>
    <row r="2706" spans="1:15" x14ac:dyDescent="0.3">
      <c r="A2706" t="s">
        <v>2791</v>
      </c>
      <c r="B2706" t="s">
        <v>65</v>
      </c>
      <c r="C2706" t="s">
        <v>62</v>
      </c>
      <c r="D2706" t="s">
        <v>63</v>
      </c>
      <c r="E2706" t="s">
        <v>25</v>
      </c>
      <c r="F2706" s="1">
        <v>45553</v>
      </c>
      <c r="G2706">
        <v>5</v>
      </c>
      <c r="H2706">
        <v>1650.91</v>
      </c>
      <c r="I2706">
        <v>15</v>
      </c>
      <c r="J2706" t="s">
        <v>31</v>
      </c>
      <c r="K2706">
        <v>1238.18</v>
      </c>
      <c r="L2706">
        <v>8254.5499999999993</v>
      </c>
      <c r="M2706">
        <v>7016.37</v>
      </c>
      <c r="N2706" t="s">
        <v>86</v>
      </c>
      <c r="O2706">
        <v>2024</v>
      </c>
    </row>
    <row r="2707" spans="1:15" x14ac:dyDescent="0.3">
      <c r="A2707" t="s">
        <v>2792</v>
      </c>
      <c r="B2707" t="s">
        <v>114</v>
      </c>
      <c r="C2707" t="s">
        <v>17</v>
      </c>
      <c r="D2707" t="s">
        <v>18</v>
      </c>
      <c r="E2707" t="s">
        <v>25</v>
      </c>
      <c r="F2707" s="1">
        <v>45623</v>
      </c>
      <c r="G2707">
        <v>4</v>
      </c>
      <c r="H2707">
        <v>70333.87</v>
      </c>
      <c r="I2707">
        <v>10</v>
      </c>
      <c r="J2707" t="s">
        <v>71</v>
      </c>
      <c r="K2707">
        <v>28133.55</v>
      </c>
      <c r="L2707">
        <v>281335.48</v>
      </c>
      <c r="M2707">
        <v>253201.93</v>
      </c>
      <c r="N2707" t="s">
        <v>96</v>
      </c>
      <c r="O2707">
        <v>2024</v>
      </c>
    </row>
    <row r="2708" spans="1:15" x14ac:dyDescent="0.3">
      <c r="A2708" t="s">
        <v>2793</v>
      </c>
      <c r="B2708" t="s">
        <v>109</v>
      </c>
      <c r="C2708" t="s">
        <v>90</v>
      </c>
      <c r="D2708" t="s">
        <v>115</v>
      </c>
      <c r="E2708" t="s">
        <v>19</v>
      </c>
      <c r="F2708" s="1">
        <v>45330</v>
      </c>
      <c r="G2708">
        <v>4</v>
      </c>
      <c r="H2708">
        <v>8538.56</v>
      </c>
      <c r="I2708">
        <v>20</v>
      </c>
      <c r="J2708" t="s">
        <v>82</v>
      </c>
      <c r="K2708">
        <v>6830.85</v>
      </c>
      <c r="L2708">
        <v>34154.239999999998</v>
      </c>
      <c r="M2708">
        <v>27323.39</v>
      </c>
      <c r="N2708" t="s">
        <v>41</v>
      </c>
      <c r="O2708">
        <v>2024</v>
      </c>
    </row>
    <row r="2709" spans="1:15" x14ac:dyDescent="0.3">
      <c r="A2709" t="s">
        <v>2794</v>
      </c>
      <c r="B2709" t="s">
        <v>89</v>
      </c>
      <c r="C2709" t="s">
        <v>17</v>
      </c>
      <c r="D2709" t="s">
        <v>59</v>
      </c>
      <c r="E2709" t="s">
        <v>50</v>
      </c>
      <c r="F2709" s="1">
        <v>45562</v>
      </c>
      <c r="G2709">
        <v>3</v>
      </c>
      <c r="H2709">
        <v>25541.29</v>
      </c>
      <c r="I2709">
        <v>5</v>
      </c>
      <c r="J2709" t="s">
        <v>26</v>
      </c>
      <c r="K2709">
        <v>3831.19</v>
      </c>
      <c r="L2709">
        <v>76623.87</v>
      </c>
      <c r="M2709">
        <v>72792.679999999993</v>
      </c>
      <c r="N2709" t="s">
        <v>86</v>
      </c>
      <c r="O2709">
        <v>2024</v>
      </c>
    </row>
    <row r="2710" spans="1:15" x14ac:dyDescent="0.3">
      <c r="A2710" t="s">
        <v>2795</v>
      </c>
      <c r="B2710" t="s">
        <v>114</v>
      </c>
      <c r="C2710" t="s">
        <v>90</v>
      </c>
      <c r="D2710" t="s">
        <v>107</v>
      </c>
      <c r="E2710" t="s">
        <v>44</v>
      </c>
      <c r="F2710" s="1">
        <v>45561</v>
      </c>
      <c r="G2710">
        <v>5</v>
      </c>
      <c r="H2710">
        <v>12829.3</v>
      </c>
      <c r="I2710">
        <v>15</v>
      </c>
      <c r="J2710" t="s">
        <v>82</v>
      </c>
      <c r="K2710">
        <v>9621.98</v>
      </c>
      <c r="L2710">
        <v>64146.5</v>
      </c>
      <c r="M2710">
        <v>54524.52</v>
      </c>
      <c r="N2710" t="s">
        <v>86</v>
      </c>
      <c r="O2710">
        <v>2024</v>
      </c>
    </row>
    <row r="2711" spans="1:15" x14ac:dyDescent="0.3">
      <c r="A2711" t="s">
        <v>2796</v>
      </c>
      <c r="B2711" t="s">
        <v>74</v>
      </c>
      <c r="C2711" t="s">
        <v>17</v>
      </c>
      <c r="D2711" t="s">
        <v>24</v>
      </c>
      <c r="E2711" t="s">
        <v>81</v>
      </c>
      <c r="F2711" s="1">
        <v>45898</v>
      </c>
      <c r="G2711">
        <v>6</v>
      </c>
      <c r="H2711">
        <v>3295.69</v>
      </c>
      <c r="I2711">
        <v>0</v>
      </c>
      <c r="J2711" t="s">
        <v>20</v>
      </c>
      <c r="K2711">
        <v>0</v>
      </c>
      <c r="L2711">
        <v>19774.14</v>
      </c>
      <c r="M2711">
        <v>19774.14</v>
      </c>
      <c r="N2711" t="s">
        <v>21</v>
      </c>
      <c r="O2711">
        <v>2025</v>
      </c>
    </row>
    <row r="2712" spans="1:15" x14ac:dyDescent="0.3">
      <c r="A2712" t="s">
        <v>2797</v>
      </c>
      <c r="B2712" t="s">
        <v>93</v>
      </c>
      <c r="C2712" t="s">
        <v>54</v>
      </c>
      <c r="D2712" t="s">
        <v>68</v>
      </c>
      <c r="E2712" t="s">
        <v>44</v>
      </c>
      <c r="F2712" s="1">
        <v>45720</v>
      </c>
      <c r="G2712">
        <v>8</v>
      </c>
      <c r="H2712">
        <v>4502.3999999999996</v>
      </c>
      <c r="I2712">
        <v>20</v>
      </c>
      <c r="J2712" t="s">
        <v>26</v>
      </c>
      <c r="K2712">
        <v>7203.84</v>
      </c>
      <c r="L2712">
        <v>36019.199999999997</v>
      </c>
      <c r="M2712">
        <v>28815.360000000001</v>
      </c>
      <c r="N2712" t="s">
        <v>83</v>
      </c>
      <c r="O2712">
        <v>2025</v>
      </c>
    </row>
    <row r="2713" spans="1:15" x14ac:dyDescent="0.3">
      <c r="A2713" t="s">
        <v>2798</v>
      </c>
      <c r="B2713" t="s">
        <v>53</v>
      </c>
      <c r="C2713" t="s">
        <v>17</v>
      </c>
      <c r="D2713" t="s">
        <v>24</v>
      </c>
      <c r="E2713" t="s">
        <v>50</v>
      </c>
      <c r="F2713" s="1">
        <v>45920</v>
      </c>
      <c r="G2713">
        <v>9</v>
      </c>
      <c r="H2713">
        <v>3040.76</v>
      </c>
      <c r="I2713">
        <v>10</v>
      </c>
      <c r="J2713" t="s">
        <v>40</v>
      </c>
      <c r="K2713">
        <v>2736.68</v>
      </c>
      <c r="L2713">
        <v>27366.84</v>
      </c>
      <c r="M2713">
        <v>24630.16</v>
      </c>
      <c r="N2713" t="s">
        <v>86</v>
      </c>
      <c r="O2713">
        <v>2025</v>
      </c>
    </row>
    <row r="2714" spans="1:15" x14ac:dyDescent="0.3">
      <c r="A2714" t="s">
        <v>2799</v>
      </c>
      <c r="B2714" t="s">
        <v>47</v>
      </c>
      <c r="C2714" t="s">
        <v>62</v>
      </c>
      <c r="D2714" t="s">
        <v>119</v>
      </c>
      <c r="E2714" t="s">
        <v>44</v>
      </c>
      <c r="F2714" s="1">
        <v>45628</v>
      </c>
      <c r="G2714">
        <v>9</v>
      </c>
      <c r="H2714">
        <v>4185.54</v>
      </c>
      <c r="I2714">
        <v>15</v>
      </c>
      <c r="J2714" t="s">
        <v>20</v>
      </c>
      <c r="K2714">
        <v>5650.48</v>
      </c>
      <c r="L2714">
        <v>37669.86</v>
      </c>
      <c r="M2714">
        <v>32019.38</v>
      </c>
      <c r="N2714" t="s">
        <v>51</v>
      </c>
      <c r="O2714">
        <v>2024</v>
      </c>
    </row>
    <row r="2715" spans="1:15" x14ac:dyDescent="0.3">
      <c r="A2715" t="s">
        <v>2800</v>
      </c>
      <c r="B2715" t="s">
        <v>47</v>
      </c>
      <c r="C2715" t="s">
        <v>34</v>
      </c>
      <c r="D2715" t="s">
        <v>35</v>
      </c>
      <c r="E2715" t="s">
        <v>56</v>
      </c>
      <c r="F2715" s="1">
        <v>45493</v>
      </c>
      <c r="G2715">
        <v>1</v>
      </c>
      <c r="H2715">
        <v>26511.27</v>
      </c>
      <c r="I2715">
        <v>15</v>
      </c>
      <c r="J2715" t="s">
        <v>40</v>
      </c>
      <c r="K2715">
        <v>3976.69</v>
      </c>
      <c r="L2715">
        <v>26511.27</v>
      </c>
      <c r="M2715">
        <v>22534.58</v>
      </c>
      <c r="N2715" t="s">
        <v>122</v>
      </c>
      <c r="O2715">
        <v>2024</v>
      </c>
    </row>
    <row r="2716" spans="1:15" x14ac:dyDescent="0.3">
      <c r="A2716" t="s">
        <v>2801</v>
      </c>
      <c r="B2716" t="s">
        <v>47</v>
      </c>
      <c r="C2716" t="s">
        <v>54</v>
      </c>
      <c r="D2716" t="s">
        <v>77</v>
      </c>
      <c r="E2716" t="s">
        <v>44</v>
      </c>
      <c r="F2716" s="1">
        <v>45684</v>
      </c>
      <c r="G2716">
        <v>5</v>
      </c>
      <c r="H2716">
        <v>5469.57</v>
      </c>
      <c r="I2716">
        <v>0</v>
      </c>
      <c r="J2716" t="s">
        <v>82</v>
      </c>
      <c r="K2716">
        <v>0</v>
      </c>
      <c r="L2716">
        <v>27347.85</v>
      </c>
      <c r="M2716">
        <v>27347.85</v>
      </c>
      <c r="N2716" t="s">
        <v>116</v>
      </c>
      <c r="O2716">
        <v>2025</v>
      </c>
    </row>
    <row r="2717" spans="1:15" x14ac:dyDescent="0.3">
      <c r="A2717" t="s">
        <v>2802</v>
      </c>
      <c r="B2717" t="s">
        <v>29</v>
      </c>
      <c r="C2717" t="s">
        <v>34</v>
      </c>
      <c r="D2717" t="s">
        <v>48</v>
      </c>
      <c r="E2717" t="s">
        <v>81</v>
      </c>
      <c r="F2717" s="1">
        <v>45811</v>
      </c>
      <c r="G2717">
        <v>8</v>
      </c>
      <c r="H2717">
        <v>7611.09</v>
      </c>
      <c r="I2717">
        <v>15</v>
      </c>
      <c r="J2717" t="s">
        <v>82</v>
      </c>
      <c r="K2717">
        <v>9133.31</v>
      </c>
      <c r="L2717">
        <v>60888.72</v>
      </c>
      <c r="M2717">
        <v>51755.41</v>
      </c>
      <c r="N2717" t="s">
        <v>72</v>
      </c>
      <c r="O2717">
        <v>2025</v>
      </c>
    </row>
    <row r="2718" spans="1:15" x14ac:dyDescent="0.3">
      <c r="A2718" t="s">
        <v>2803</v>
      </c>
      <c r="B2718" t="s">
        <v>65</v>
      </c>
      <c r="C2718" t="s">
        <v>90</v>
      </c>
      <c r="D2718" t="s">
        <v>115</v>
      </c>
      <c r="E2718" t="s">
        <v>50</v>
      </c>
      <c r="F2718" s="1">
        <v>45511</v>
      </c>
      <c r="G2718">
        <v>7</v>
      </c>
      <c r="H2718">
        <v>7767.93</v>
      </c>
      <c r="I2718">
        <v>15</v>
      </c>
      <c r="J2718" t="s">
        <v>20</v>
      </c>
      <c r="K2718">
        <v>8156.33</v>
      </c>
      <c r="L2718">
        <v>54375.51</v>
      </c>
      <c r="M2718">
        <v>46219.18</v>
      </c>
      <c r="N2718" t="s">
        <v>21</v>
      </c>
      <c r="O2718">
        <v>2024</v>
      </c>
    </row>
    <row r="2719" spans="1:15" x14ac:dyDescent="0.3">
      <c r="A2719" t="s">
        <v>2804</v>
      </c>
      <c r="B2719" t="s">
        <v>38</v>
      </c>
      <c r="C2719" t="s">
        <v>90</v>
      </c>
      <c r="D2719" t="s">
        <v>105</v>
      </c>
      <c r="E2719" t="s">
        <v>19</v>
      </c>
      <c r="F2719" s="1">
        <v>45530</v>
      </c>
      <c r="G2719">
        <v>1</v>
      </c>
      <c r="H2719">
        <v>3679.41</v>
      </c>
      <c r="I2719">
        <v>20</v>
      </c>
      <c r="J2719" t="s">
        <v>82</v>
      </c>
      <c r="K2719">
        <v>735.88</v>
      </c>
      <c r="L2719">
        <v>3679.41</v>
      </c>
      <c r="M2719">
        <v>2943.53</v>
      </c>
      <c r="N2719" t="s">
        <v>21</v>
      </c>
      <c r="O2719">
        <v>2024</v>
      </c>
    </row>
    <row r="2720" spans="1:15" x14ac:dyDescent="0.3">
      <c r="A2720" t="s">
        <v>2805</v>
      </c>
      <c r="B2720" t="s">
        <v>29</v>
      </c>
      <c r="C2720" t="s">
        <v>17</v>
      </c>
      <c r="D2720" t="s">
        <v>39</v>
      </c>
      <c r="E2720" t="s">
        <v>81</v>
      </c>
      <c r="F2720" s="1">
        <v>45315</v>
      </c>
      <c r="G2720">
        <v>3</v>
      </c>
      <c r="H2720">
        <v>18652.28</v>
      </c>
      <c r="I2720">
        <v>15</v>
      </c>
      <c r="J2720" t="s">
        <v>31</v>
      </c>
      <c r="K2720">
        <v>8393.5300000000007</v>
      </c>
      <c r="L2720">
        <v>55956.84</v>
      </c>
      <c r="M2720">
        <v>47563.31</v>
      </c>
      <c r="N2720" t="s">
        <v>116</v>
      </c>
      <c r="O2720">
        <v>2024</v>
      </c>
    </row>
    <row r="2721" spans="1:15" x14ac:dyDescent="0.3">
      <c r="A2721" t="s">
        <v>2806</v>
      </c>
      <c r="B2721" t="s">
        <v>43</v>
      </c>
      <c r="C2721" t="s">
        <v>34</v>
      </c>
      <c r="D2721" t="s">
        <v>48</v>
      </c>
      <c r="E2721" t="s">
        <v>44</v>
      </c>
      <c r="F2721" s="1">
        <v>45332</v>
      </c>
      <c r="G2721">
        <v>5</v>
      </c>
      <c r="H2721">
        <v>7335.64</v>
      </c>
      <c r="I2721">
        <v>5</v>
      </c>
      <c r="J2721" t="s">
        <v>36</v>
      </c>
      <c r="K2721">
        <v>1833.91</v>
      </c>
      <c r="L2721">
        <v>36678.199999999997</v>
      </c>
      <c r="M2721">
        <v>34844.29</v>
      </c>
      <c r="N2721" t="s">
        <v>41</v>
      </c>
      <c r="O2721">
        <v>2024</v>
      </c>
    </row>
    <row r="2722" spans="1:15" x14ac:dyDescent="0.3">
      <c r="A2722" t="s">
        <v>2807</v>
      </c>
      <c r="B2722" t="s">
        <v>93</v>
      </c>
      <c r="C2722" t="s">
        <v>34</v>
      </c>
      <c r="D2722" t="s">
        <v>80</v>
      </c>
      <c r="E2722" t="s">
        <v>25</v>
      </c>
      <c r="F2722" s="1">
        <v>45753</v>
      </c>
      <c r="G2722">
        <v>8</v>
      </c>
      <c r="H2722">
        <v>5600.93</v>
      </c>
      <c r="I2722">
        <v>10</v>
      </c>
      <c r="J2722" t="s">
        <v>45</v>
      </c>
      <c r="K2722">
        <v>4480.74</v>
      </c>
      <c r="L2722">
        <v>44807.44</v>
      </c>
      <c r="M2722">
        <v>40326.699999999997</v>
      </c>
      <c r="N2722" t="s">
        <v>27</v>
      </c>
      <c r="O2722">
        <v>2025</v>
      </c>
    </row>
    <row r="2723" spans="1:15" x14ac:dyDescent="0.3">
      <c r="A2723" t="s">
        <v>2808</v>
      </c>
      <c r="B2723" t="s">
        <v>109</v>
      </c>
      <c r="C2723" t="s">
        <v>62</v>
      </c>
      <c r="D2723" t="s">
        <v>95</v>
      </c>
      <c r="E2723" t="s">
        <v>25</v>
      </c>
      <c r="F2723" s="1">
        <v>45998</v>
      </c>
      <c r="G2723">
        <v>10</v>
      </c>
      <c r="H2723">
        <v>976.55</v>
      </c>
      <c r="I2723">
        <v>10</v>
      </c>
      <c r="J2723" t="s">
        <v>71</v>
      </c>
      <c r="K2723">
        <v>976.55</v>
      </c>
      <c r="L2723">
        <v>9765.5</v>
      </c>
      <c r="M2723">
        <v>8788.9500000000007</v>
      </c>
      <c r="N2723" t="s">
        <v>51</v>
      </c>
      <c r="O2723">
        <v>2025</v>
      </c>
    </row>
    <row r="2724" spans="1:15" x14ac:dyDescent="0.3">
      <c r="A2724" t="s">
        <v>2809</v>
      </c>
      <c r="B2724" t="s">
        <v>29</v>
      </c>
      <c r="C2724" t="s">
        <v>17</v>
      </c>
      <c r="D2724" t="s">
        <v>24</v>
      </c>
      <c r="E2724" t="s">
        <v>50</v>
      </c>
      <c r="F2724" s="1">
        <v>45672</v>
      </c>
      <c r="G2724">
        <v>4</v>
      </c>
      <c r="H2724">
        <v>3330.14</v>
      </c>
      <c r="I2724">
        <v>0</v>
      </c>
      <c r="J2724" t="s">
        <v>40</v>
      </c>
      <c r="K2724">
        <v>0</v>
      </c>
      <c r="L2724">
        <v>13320.56</v>
      </c>
      <c r="M2724">
        <v>13320.56</v>
      </c>
      <c r="N2724" t="s">
        <v>116</v>
      </c>
      <c r="O2724">
        <v>2025</v>
      </c>
    </row>
    <row r="2725" spans="1:15" x14ac:dyDescent="0.3">
      <c r="A2725" t="s">
        <v>2810</v>
      </c>
      <c r="B2725" t="s">
        <v>89</v>
      </c>
      <c r="C2725" t="s">
        <v>17</v>
      </c>
      <c r="D2725" t="s">
        <v>24</v>
      </c>
      <c r="E2725" t="s">
        <v>30</v>
      </c>
      <c r="F2725" s="1">
        <v>45393</v>
      </c>
      <c r="G2725">
        <v>3</v>
      </c>
      <c r="H2725">
        <v>2808.15</v>
      </c>
      <c r="I2725">
        <v>10</v>
      </c>
      <c r="J2725" t="s">
        <v>40</v>
      </c>
      <c r="K2725">
        <v>842.45</v>
      </c>
      <c r="L2725">
        <v>8424.4500000000007</v>
      </c>
      <c r="M2725">
        <v>7582</v>
      </c>
      <c r="N2725" t="s">
        <v>27</v>
      </c>
      <c r="O2725">
        <v>2024</v>
      </c>
    </row>
    <row r="2726" spans="1:15" x14ac:dyDescent="0.3">
      <c r="A2726" t="s">
        <v>2811</v>
      </c>
      <c r="B2726" t="s">
        <v>109</v>
      </c>
      <c r="C2726" t="s">
        <v>54</v>
      </c>
      <c r="D2726" t="s">
        <v>68</v>
      </c>
      <c r="E2726" t="s">
        <v>81</v>
      </c>
      <c r="F2726" s="1">
        <v>45446</v>
      </c>
      <c r="G2726">
        <v>7</v>
      </c>
      <c r="H2726">
        <v>5155.83</v>
      </c>
      <c r="I2726">
        <v>20</v>
      </c>
      <c r="J2726" t="s">
        <v>71</v>
      </c>
      <c r="K2726">
        <v>7218.16</v>
      </c>
      <c r="L2726">
        <v>36090.81</v>
      </c>
      <c r="M2726">
        <v>28872.65</v>
      </c>
      <c r="N2726" t="s">
        <v>72</v>
      </c>
      <c r="O2726">
        <v>2024</v>
      </c>
    </row>
    <row r="2727" spans="1:15" x14ac:dyDescent="0.3">
      <c r="A2727" t="s">
        <v>2812</v>
      </c>
      <c r="B2727" t="s">
        <v>53</v>
      </c>
      <c r="C2727" t="s">
        <v>90</v>
      </c>
      <c r="D2727" t="s">
        <v>107</v>
      </c>
      <c r="E2727" t="s">
        <v>50</v>
      </c>
      <c r="F2727" s="1">
        <v>45372</v>
      </c>
      <c r="G2727">
        <v>8</v>
      </c>
      <c r="H2727">
        <v>13325.95</v>
      </c>
      <c r="I2727">
        <v>5</v>
      </c>
      <c r="J2727" t="s">
        <v>45</v>
      </c>
      <c r="K2727">
        <v>5330.38</v>
      </c>
      <c r="L2727">
        <v>106607.6</v>
      </c>
      <c r="M2727">
        <v>101277.22</v>
      </c>
      <c r="N2727" t="s">
        <v>83</v>
      </c>
      <c r="O2727">
        <v>2024</v>
      </c>
    </row>
    <row r="2728" spans="1:15" x14ac:dyDescent="0.3">
      <c r="A2728" t="s">
        <v>2813</v>
      </c>
      <c r="B2728" t="s">
        <v>109</v>
      </c>
      <c r="C2728" t="s">
        <v>34</v>
      </c>
      <c r="D2728" t="s">
        <v>48</v>
      </c>
      <c r="E2728" t="s">
        <v>19</v>
      </c>
      <c r="F2728" s="1">
        <v>45468</v>
      </c>
      <c r="G2728">
        <v>7</v>
      </c>
      <c r="H2728">
        <v>7399.36</v>
      </c>
      <c r="I2728">
        <v>20</v>
      </c>
      <c r="J2728" t="s">
        <v>20</v>
      </c>
      <c r="K2728">
        <v>10359.1</v>
      </c>
      <c r="L2728">
        <v>51795.519999999997</v>
      </c>
      <c r="M2728">
        <v>41436.42</v>
      </c>
      <c r="N2728" t="s">
        <v>72</v>
      </c>
      <c r="O2728">
        <v>2024</v>
      </c>
    </row>
    <row r="2729" spans="1:15" x14ac:dyDescent="0.3">
      <c r="A2729" t="s">
        <v>2814</v>
      </c>
      <c r="B2729" t="s">
        <v>109</v>
      </c>
      <c r="C2729" t="s">
        <v>54</v>
      </c>
      <c r="D2729" t="s">
        <v>70</v>
      </c>
      <c r="E2729" t="s">
        <v>50</v>
      </c>
      <c r="F2729" s="1">
        <v>45683</v>
      </c>
      <c r="G2729">
        <v>9</v>
      </c>
      <c r="H2729">
        <v>2519.7600000000002</v>
      </c>
      <c r="I2729">
        <v>15</v>
      </c>
      <c r="J2729" t="s">
        <v>40</v>
      </c>
      <c r="K2729">
        <v>3401.68</v>
      </c>
      <c r="L2729">
        <v>22677.84</v>
      </c>
      <c r="M2729">
        <v>19276.16</v>
      </c>
      <c r="N2729" t="s">
        <v>116</v>
      </c>
      <c r="O2729">
        <v>2025</v>
      </c>
    </row>
    <row r="2730" spans="1:15" x14ac:dyDescent="0.3">
      <c r="A2730" t="s">
        <v>2815</v>
      </c>
      <c r="B2730" t="s">
        <v>89</v>
      </c>
      <c r="C2730" t="s">
        <v>34</v>
      </c>
      <c r="D2730" t="s">
        <v>80</v>
      </c>
      <c r="E2730" t="s">
        <v>25</v>
      </c>
      <c r="F2730" s="1">
        <v>45851</v>
      </c>
      <c r="G2730">
        <v>7</v>
      </c>
      <c r="H2730">
        <v>6072.98</v>
      </c>
      <c r="I2730">
        <v>5</v>
      </c>
      <c r="J2730" t="s">
        <v>36</v>
      </c>
      <c r="K2730">
        <v>2125.54</v>
      </c>
      <c r="L2730">
        <v>42510.86</v>
      </c>
      <c r="M2730">
        <v>40385.32</v>
      </c>
      <c r="N2730" t="s">
        <v>122</v>
      </c>
      <c r="O2730">
        <v>2025</v>
      </c>
    </row>
    <row r="2731" spans="1:15" x14ac:dyDescent="0.3">
      <c r="A2731" t="s">
        <v>2816</v>
      </c>
      <c r="B2731" t="s">
        <v>74</v>
      </c>
      <c r="C2731" t="s">
        <v>17</v>
      </c>
      <c r="D2731" t="s">
        <v>59</v>
      </c>
      <c r="E2731" t="s">
        <v>25</v>
      </c>
      <c r="F2731" s="1">
        <v>45900</v>
      </c>
      <c r="G2731">
        <v>6</v>
      </c>
      <c r="H2731">
        <v>27371.45</v>
      </c>
      <c r="I2731">
        <v>5</v>
      </c>
      <c r="J2731" t="s">
        <v>26</v>
      </c>
      <c r="K2731">
        <v>8211.44</v>
      </c>
      <c r="L2731">
        <v>164228.70000000001</v>
      </c>
      <c r="M2731">
        <v>156017.26</v>
      </c>
      <c r="N2731" t="s">
        <v>21</v>
      </c>
      <c r="O2731">
        <v>2025</v>
      </c>
    </row>
    <row r="2732" spans="1:15" x14ac:dyDescent="0.3">
      <c r="A2732" t="s">
        <v>2817</v>
      </c>
      <c r="B2732" t="s">
        <v>16</v>
      </c>
      <c r="C2732" t="s">
        <v>90</v>
      </c>
      <c r="D2732" t="s">
        <v>152</v>
      </c>
      <c r="E2732" t="s">
        <v>50</v>
      </c>
      <c r="F2732" s="1">
        <v>45876</v>
      </c>
      <c r="G2732">
        <v>6</v>
      </c>
      <c r="H2732">
        <v>9491.48</v>
      </c>
      <c r="I2732">
        <v>20</v>
      </c>
      <c r="J2732" t="s">
        <v>82</v>
      </c>
      <c r="K2732">
        <v>11389.78</v>
      </c>
      <c r="L2732">
        <v>56948.88</v>
      </c>
      <c r="M2732">
        <v>45559.1</v>
      </c>
      <c r="N2732" t="s">
        <v>21</v>
      </c>
      <c r="O2732">
        <v>2025</v>
      </c>
    </row>
    <row r="2733" spans="1:15" x14ac:dyDescent="0.3">
      <c r="A2733" t="s">
        <v>2818</v>
      </c>
      <c r="B2733" t="s">
        <v>109</v>
      </c>
      <c r="C2733" t="s">
        <v>54</v>
      </c>
      <c r="D2733" t="s">
        <v>70</v>
      </c>
      <c r="E2733" t="s">
        <v>19</v>
      </c>
      <c r="F2733" s="1">
        <v>45779</v>
      </c>
      <c r="G2733">
        <v>10</v>
      </c>
      <c r="H2733">
        <v>2445.62</v>
      </c>
      <c r="I2733">
        <v>0</v>
      </c>
      <c r="J2733" t="s">
        <v>71</v>
      </c>
      <c r="K2733">
        <v>0</v>
      </c>
      <c r="L2733">
        <v>24456.2</v>
      </c>
      <c r="M2733">
        <v>24456.2</v>
      </c>
      <c r="N2733" t="s">
        <v>101</v>
      </c>
      <c r="O2733">
        <v>2025</v>
      </c>
    </row>
    <row r="2734" spans="1:15" x14ac:dyDescent="0.3">
      <c r="A2734" t="s">
        <v>2819</v>
      </c>
      <c r="B2734" t="s">
        <v>29</v>
      </c>
      <c r="C2734" t="s">
        <v>17</v>
      </c>
      <c r="D2734" t="s">
        <v>157</v>
      </c>
      <c r="E2734" t="s">
        <v>50</v>
      </c>
      <c r="F2734" s="1">
        <v>45868</v>
      </c>
      <c r="G2734">
        <v>1</v>
      </c>
      <c r="H2734">
        <v>6345.49</v>
      </c>
      <c r="I2734">
        <v>15</v>
      </c>
      <c r="J2734" t="s">
        <v>45</v>
      </c>
      <c r="K2734">
        <v>951.82</v>
      </c>
      <c r="L2734">
        <v>6345.49</v>
      </c>
      <c r="M2734">
        <v>5393.67</v>
      </c>
      <c r="N2734" t="s">
        <v>122</v>
      </c>
      <c r="O2734">
        <v>2025</v>
      </c>
    </row>
    <row r="2735" spans="1:15" x14ac:dyDescent="0.3">
      <c r="A2735" t="s">
        <v>2820</v>
      </c>
      <c r="B2735" t="s">
        <v>89</v>
      </c>
      <c r="C2735" t="s">
        <v>34</v>
      </c>
      <c r="D2735" t="s">
        <v>66</v>
      </c>
      <c r="E2735" t="s">
        <v>25</v>
      </c>
      <c r="F2735" s="1">
        <v>45327</v>
      </c>
      <c r="G2735">
        <v>8</v>
      </c>
      <c r="H2735">
        <v>37716.65</v>
      </c>
      <c r="I2735">
        <v>0</v>
      </c>
      <c r="J2735" t="s">
        <v>20</v>
      </c>
      <c r="K2735">
        <v>0</v>
      </c>
      <c r="L2735">
        <v>301733.2</v>
      </c>
      <c r="M2735">
        <v>301733.2</v>
      </c>
      <c r="N2735" t="s">
        <v>41</v>
      </c>
      <c r="O2735">
        <v>2024</v>
      </c>
    </row>
    <row r="2736" spans="1:15" x14ac:dyDescent="0.3">
      <c r="A2736" t="s">
        <v>2821</v>
      </c>
      <c r="B2736" t="s">
        <v>65</v>
      </c>
      <c r="C2736" t="s">
        <v>17</v>
      </c>
      <c r="D2736" t="s">
        <v>59</v>
      </c>
      <c r="E2736" t="s">
        <v>44</v>
      </c>
      <c r="F2736" s="1">
        <v>45871</v>
      </c>
      <c r="G2736">
        <v>1</v>
      </c>
      <c r="H2736">
        <v>27145.279999999999</v>
      </c>
      <c r="I2736">
        <v>15</v>
      </c>
      <c r="J2736" t="s">
        <v>31</v>
      </c>
      <c r="K2736">
        <v>4071.79</v>
      </c>
      <c r="L2736">
        <v>27145.279999999999</v>
      </c>
      <c r="M2736">
        <v>23073.49</v>
      </c>
      <c r="N2736" t="s">
        <v>21</v>
      </c>
      <c r="O2736">
        <v>2025</v>
      </c>
    </row>
    <row r="2737" spans="1:15" x14ac:dyDescent="0.3">
      <c r="A2737" t="s">
        <v>2822</v>
      </c>
      <c r="B2737" t="s">
        <v>89</v>
      </c>
      <c r="C2737" t="s">
        <v>17</v>
      </c>
      <c r="D2737" t="s">
        <v>157</v>
      </c>
      <c r="E2737" t="s">
        <v>50</v>
      </c>
      <c r="F2737" s="1">
        <v>45414</v>
      </c>
      <c r="G2737">
        <v>1</v>
      </c>
      <c r="H2737">
        <v>7707.46</v>
      </c>
      <c r="I2737">
        <v>10</v>
      </c>
      <c r="J2737" t="s">
        <v>36</v>
      </c>
      <c r="K2737">
        <v>770.75</v>
      </c>
      <c r="L2737">
        <v>7707.46</v>
      </c>
      <c r="M2737">
        <v>6936.71</v>
      </c>
      <c r="N2737" t="s">
        <v>101</v>
      </c>
      <c r="O2737">
        <v>2024</v>
      </c>
    </row>
    <row r="2738" spans="1:15" x14ac:dyDescent="0.3">
      <c r="A2738" t="s">
        <v>2823</v>
      </c>
      <c r="B2738" t="s">
        <v>16</v>
      </c>
      <c r="C2738" t="s">
        <v>62</v>
      </c>
      <c r="D2738" t="s">
        <v>119</v>
      </c>
      <c r="E2738" t="s">
        <v>56</v>
      </c>
      <c r="F2738" s="1">
        <v>45799</v>
      </c>
      <c r="G2738">
        <v>2</v>
      </c>
      <c r="H2738">
        <v>3648.29</v>
      </c>
      <c r="I2738">
        <v>20</v>
      </c>
      <c r="J2738" t="s">
        <v>82</v>
      </c>
      <c r="K2738">
        <v>1459.32</v>
      </c>
      <c r="L2738">
        <v>7296.58</v>
      </c>
      <c r="M2738">
        <v>5837.26</v>
      </c>
      <c r="N2738" t="s">
        <v>101</v>
      </c>
      <c r="O2738">
        <v>2025</v>
      </c>
    </row>
    <row r="2739" spans="1:15" x14ac:dyDescent="0.3">
      <c r="A2739" t="s">
        <v>2824</v>
      </c>
      <c r="B2739" t="s">
        <v>38</v>
      </c>
      <c r="C2739" t="s">
        <v>17</v>
      </c>
      <c r="D2739" t="s">
        <v>157</v>
      </c>
      <c r="E2739" t="s">
        <v>25</v>
      </c>
      <c r="F2739" s="1">
        <v>45554</v>
      </c>
      <c r="G2739">
        <v>5</v>
      </c>
      <c r="H2739">
        <v>6728.54</v>
      </c>
      <c r="I2739">
        <v>0</v>
      </c>
      <c r="J2739" t="s">
        <v>71</v>
      </c>
      <c r="K2739">
        <v>0</v>
      </c>
      <c r="L2739">
        <v>33642.699999999997</v>
      </c>
      <c r="M2739">
        <v>33642.699999999997</v>
      </c>
      <c r="N2739" t="s">
        <v>86</v>
      </c>
      <c r="O2739">
        <v>2024</v>
      </c>
    </row>
    <row r="2740" spans="1:15" x14ac:dyDescent="0.3">
      <c r="A2740" t="s">
        <v>2825</v>
      </c>
      <c r="B2740" t="s">
        <v>74</v>
      </c>
      <c r="C2740" t="s">
        <v>34</v>
      </c>
      <c r="D2740" t="s">
        <v>85</v>
      </c>
      <c r="E2740" t="s">
        <v>19</v>
      </c>
      <c r="F2740" s="1">
        <v>45426</v>
      </c>
      <c r="G2740">
        <v>3</v>
      </c>
      <c r="H2740">
        <v>11881.64</v>
      </c>
      <c r="I2740">
        <v>0</v>
      </c>
      <c r="J2740" t="s">
        <v>40</v>
      </c>
      <c r="K2740">
        <v>0</v>
      </c>
      <c r="L2740">
        <v>35644.92</v>
      </c>
      <c r="M2740">
        <v>35644.92</v>
      </c>
      <c r="N2740" t="s">
        <v>101</v>
      </c>
      <c r="O2740">
        <v>2024</v>
      </c>
    </row>
    <row r="2741" spans="1:15" x14ac:dyDescent="0.3">
      <c r="A2741" t="s">
        <v>2826</v>
      </c>
      <c r="B2741" t="s">
        <v>53</v>
      </c>
      <c r="C2741" t="s">
        <v>90</v>
      </c>
      <c r="D2741" t="s">
        <v>105</v>
      </c>
      <c r="E2741" t="s">
        <v>19</v>
      </c>
      <c r="F2741" s="1">
        <v>45511</v>
      </c>
      <c r="G2741">
        <v>10</v>
      </c>
      <c r="H2741">
        <v>3386.14</v>
      </c>
      <c r="I2741">
        <v>0</v>
      </c>
      <c r="J2741" t="s">
        <v>36</v>
      </c>
      <c r="K2741">
        <v>0</v>
      </c>
      <c r="L2741">
        <v>33861.4</v>
      </c>
      <c r="M2741">
        <v>33861.4</v>
      </c>
      <c r="N2741" t="s">
        <v>21</v>
      </c>
      <c r="O2741">
        <v>2024</v>
      </c>
    </row>
    <row r="2742" spans="1:15" x14ac:dyDescent="0.3">
      <c r="A2742" t="s">
        <v>2827</v>
      </c>
      <c r="B2742" t="s">
        <v>93</v>
      </c>
      <c r="C2742" t="s">
        <v>34</v>
      </c>
      <c r="D2742" t="s">
        <v>80</v>
      </c>
      <c r="E2742" t="s">
        <v>19</v>
      </c>
      <c r="F2742" s="1">
        <v>45748</v>
      </c>
      <c r="G2742">
        <v>8</v>
      </c>
      <c r="H2742">
        <v>6724.95</v>
      </c>
      <c r="I2742">
        <v>15</v>
      </c>
      <c r="J2742" t="s">
        <v>40</v>
      </c>
      <c r="K2742">
        <v>8069.94</v>
      </c>
      <c r="L2742">
        <v>53799.6</v>
      </c>
      <c r="M2742">
        <v>45729.66</v>
      </c>
      <c r="N2742" t="s">
        <v>27</v>
      </c>
      <c r="O2742">
        <v>2025</v>
      </c>
    </row>
    <row r="2743" spans="1:15" x14ac:dyDescent="0.3">
      <c r="A2743" t="s">
        <v>2828</v>
      </c>
      <c r="B2743" t="s">
        <v>29</v>
      </c>
      <c r="C2743" t="s">
        <v>54</v>
      </c>
      <c r="D2743" t="s">
        <v>70</v>
      </c>
      <c r="E2743" t="s">
        <v>30</v>
      </c>
      <c r="F2743" s="1">
        <v>45722</v>
      </c>
      <c r="G2743">
        <v>6</v>
      </c>
      <c r="H2743">
        <v>2447.38</v>
      </c>
      <c r="I2743">
        <v>5</v>
      </c>
      <c r="J2743" t="s">
        <v>36</v>
      </c>
      <c r="K2743">
        <v>734.21</v>
      </c>
      <c r="L2743">
        <v>14684.28</v>
      </c>
      <c r="M2743">
        <v>13950.07</v>
      </c>
      <c r="N2743" t="s">
        <v>83</v>
      </c>
      <c r="O2743">
        <v>2025</v>
      </c>
    </row>
    <row r="2744" spans="1:15" x14ac:dyDescent="0.3">
      <c r="A2744" t="s">
        <v>2829</v>
      </c>
      <c r="B2744" t="s">
        <v>23</v>
      </c>
      <c r="C2744" t="s">
        <v>34</v>
      </c>
      <c r="D2744" t="s">
        <v>35</v>
      </c>
      <c r="E2744" t="s">
        <v>25</v>
      </c>
      <c r="F2744" s="1">
        <v>45909</v>
      </c>
      <c r="G2744">
        <v>5</v>
      </c>
      <c r="H2744">
        <v>27001.25</v>
      </c>
      <c r="I2744">
        <v>0</v>
      </c>
      <c r="J2744" t="s">
        <v>71</v>
      </c>
      <c r="K2744">
        <v>0</v>
      </c>
      <c r="L2744">
        <v>135006.25</v>
      </c>
      <c r="M2744">
        <v>135006.25</v>
      </c>
      <c r="N2744" t="s">
        <v>86</v>
      </c>
      <c r="O2744">
        <v>2025</v>
      </c>
    </row>
    <row r="2745" spans="1:15" x14ac:dyDescent="0.3">
      <c r="A2745" t="s">
        <v>2830</v>
      </c>
      <c r="B2745" t="s">
        <v>33</v>
      </c>
      <c r="C2745" t="s">
        <v>34</v>
      </c>
      <c r="D2745" t="s">
        <v>48</v>
      </c>
      <c r="E2745" t="s">
        <v>44</v>
      </c>
      <c r="F2745" s="1">
        <v>45890</v>
      </c>
      <c r="G2745">
        <v>9</v>
      </c>
      <c r="H2745">
        <v>7901.51</v>
      </c>
      <c r="I2745">
        <v>15</v>
      </c>
      <c r="J2745" t="s">
        <v>45</v>
      </c>
      <c r="K2745">
        <v>10667.04</v>
      </c>
      <c r="L2745">
        <v>71113.59</v>
      </c>
      <c r="M2745">
        <v>60446.55</v>
      </c>
      <c r="N2745" t="s">
        <v>21</v>
      </c>
      <c r="O2745">
        <v>2025</v>
      </c>
    </row>
    <row r="2746" spans="1:15" x14ac:dyDescent="0.3">
      <c r="A2746" t="s">
        <v>2831</v>
      </c>
      <c r="B2746" t="s">
        <v>47</v>
      </c>
      <c r="C2746" t="s">
        <v>17</v>
      </c>
      <c r="D2746" t="s">
        <v>59</v>
      </c>
      <c r="E2746" t="s">
        <v>25</v>
      </c>
      <c r="F2746" s="1">
        <v>45619</v>
      </c>
      <c r="G2746">
        <v>9</v>
      </c>
      <c r="H2746">
        <v>28747.42</v>
      </c>
      <c r="I2746">
        <v>0</v>
      </c>
      <c r="J2746" t="s">
        <v>82</v>
      </c>
      <c r="K2746">
        <v>0</v>
      </c>
      <c r="L2746">
        <v>258726.78</v>
      </c>
      <c r="M2746">
        <v>258726.78</v>
      </c>
      <c r="N2746" t="s">
        <v>96</v>
      </c>
      <c r="O2746">
        <v>2024</v>
      </c>
    </row>
    <row r="2747" spans="1:15" x14ac:dyDescent="0.3">
      <c r="A2747" t="s">
        <v>2832</v>
      </c>
      <c r="B2747" t="s">
        <v>65</v>
      </c>
      <c r="C2747" t="s">
        <v>34</v>
      </c>
      <c r="D2747" t="s">
        <v>35</v>
      </c>
      <c r="E2747" t="s">
        <v>56</v>
      </c>
      <c r="F2747" s="1">
        <v>45913</v>
      </c>
      <c r="G2747">
        <v>9</v>
      </c>
      <c r="H2747">
        <v>28030.6</v>
      </c>
      <c r="I2747">
        <v>10</v>
      </c>
      <c r="J2747" t="s">
        <v>40</v>
      </c>
      <c r="K2747">
        <v>25227.54</v>
      </c>
      <c r="L2747">
        <v>252275.4</v>
      </c>
      <c r="M2747">
        <v>227047.86</v>
      </c>
      <c r="N2747" t="s">
        <v>86</v>
      </c>
      <c r="O2747">
        <v>2025</v>
      </c>
    </row>
    <row r="2748" spans="1:15" x14ac:dyDescent="0.3">
      <c r="A2748" t="s">
        <v>2833</v>
      </c>
      <c r="B2748" t="s">
        <v>23</v>
      </c>
      <c r="C2748" t="s">
        <v>90</v>
      </c>
      <c r="D2748" t="s">
        <v>91</v>
      </c>
      <c r="E2748" t="s">
        <v>44</v>
      </c>
      <c r="F2748" s="1">
        <v>45421</v>
      </c>
      <c r="G2748">
        <v>4</v>
      </c>
      <c r="H2748">
        <v>1523.85</v>
      </c>
      <c r="I2748">
        <v>0</v>
      </c>
      <c r="J2748" t="s">
        <v>31</v>
      </c>
      <c r="K2748">
        <v>0</v>
      </c>
      <c r="L2748">
        <v>6095.4</v>
      </c>
      <c r="M2748">
        <v>6095.4</v>
      </c>
      <c r="N2748" t="s">
        <v>101</v>
      </c>
      <c r="O2748">
        <v>2024</v>
      </c>
    </row>
    <row r="2749" spans="1:15" x14ac:dyDescent="0.3">
      <c r="A2749" t="s">
        <v>2834</v>
      </c>
      <c r="B2749" t="s">
        <v>65</v>
      </c>
      <c r="C2749" t="s">
        <v>17</v>
      </c>
      <c r="D2749" t="s">
        <v>24</v>
      </c>
      <c r="E2749" t="s">
        <v>19</v>
      </c>
      <c r="F2749" s="1">
        <v>45759</v>
      </c>
      <c r="G2749">
        <v>5</v>
      </c>
      <c r="H2749">
        <v>2717.73</v>
      </c>
      <c r="I2749">
        <v>5</v>
      </c>
      <c r="J2749" t="s">
        <v>40</v>
      </c>
      <c r="K2749">
        <v>679.43</v>
      </c>
      <c r="L2749">
        <v>13588.65</v>
      </c>
      <c r="M2749">
        <v>12909.22</v>
      </c>
      <c r="N2749" t="s">
        <v>27</v>
      </c>
      <c r="O2749">
        <v>2025</v>
      </c>
    </row>
    <row r="2750" spans="1:15" x14ac:dyDescent="0.3">
      <c r="A2750" t="s">
        <v>2835</v>
      </c>
      <c r="B2750" t="s">
        <v>47</v>
      </c>
      <c r="C2750" t="s">
        <v>90</v>
      </c>
      <c r="D2750" t="s">
        <v>91</v>
      </c>
      <c r="E2750" t="s">
        <v>81</v>
      </c>
      <c r="F2750" s="1">
        <v>45877</v>
      </c>
      <c r="G2750">
        <v>1</v>
      </c>
      <c r="H2750">
        <v>1534.01</v>
      </c>
      <c r="I2750">
        <v>20</v>
      </c>
      <c r="J2750" t="s">
        <v>82</v>
      </c>
      <c r="K2750">
        <v>306.8</v>
      </c>
      <c r="L2750">
        <v>1534.01</v>
      </c>
      <c r="M2750">
        <v>1227.21</v>
      </c>
      <c r="N2750" t="s">
        <v>21</v>
      </c>
      <c r="O2750">
        <v>2025</v>
      </c>
    </row>
    <row r="2751" spans="1:15" x14ac:dyDescent="0.3">
      <c r="A2751" t="s">
        <v>2836</v>
      </c>
      <c r="B2751" t="s">
        <v>47</v>
      </c>
      <c r="C2751" t="s">
        <v>54</v>
      </c>
      <c r="D2751" t="s">
        <v>55</v>
      </c>
      <c r="E2751" t="s">
        <v>56</v>
      </c>
      <c r="F2751" s="1">
        <v>45336</v>
      </c>
      <c r="G2751">
        <v>1</v>
      </c>
      <c r="H2751">
        <v>1201.0999999999999</v>
      </c>
      <c r="I2751">
        <v>20</v>
      </c>
      <c r="J2751" t="s">
        <v>40</v>
      </c>
      <c r="K2751">
        <v>240.22</v>
      </c>
      <c r="L2751">
        <v>1201.0999999999999</v>
      </c>
      <c r="M2751">
        <v>960.88</v>
      </c>
      <c r="N2751" t="s">
        <v>41</v>
      </c>
      <c r="O2751">
        <v>2024</v>
      </c>
    </row>
    <row r="2752" spans="1:15" x14ac:dyDescent="0.3">
      <c r="A2752" t="s">
        <v>2837</v>
      </c>
      <c r="B2752" t="s">
        <v>93</v>
      </c>
      <c r="C2752" t="s">
        <v>34</v>
      </c>
      <c r="D2752" t="s">
        <v>35</v>
      </c>
      <c r="E2752" t="s">
        <v>30</v>
      </c>
      <c r="F2752" s="1">
        <v>45494</v>
      </c>
      <c r="G2752">
        <v>6</v>
      </c>
      <c r="H2752">
        <v>28622.799999999999</v>
      </c>
      <c r="I2752">
        <v>10</v>
      </c>
      <c r="J2752" t="s">
        <v>36</v>
      </c>
      <c r="K2752">
        <v>17173.68</v>
      </c>
      <c r="L2752">
        <v>171736.8</v>
      </c>
      <c r="M2752">
        <v>154563.12</v>
      </c>
      <c r="N2752" t="s">
        <v>122</v>
      </c>
      <c r="O2752">
        <v>2024</v>
      </c>
    </row>
    <row r="2753" spans="1:15" x14ac:dyDescent="0.3">
      <c r="A2753" t="s">
        <v>2838</v>
      </c>
      <c r="B2753" t="s">
        <v>65</v>
      </c>
      <c r="C2753" t="s">
        <v>54</v>
      </c>
      <c r="D2753" t="s">
        <v>137</v>
      </c>
      <c r="E2753" t="s">
        <v>56</v>
      </c>
      <c r="F2753" s="1">
        <v>45751</v>
      </c>
      <c r="G2753">
        <v>1</v>
      </c>
      <c r="H2753">
        <v>923.44</v>
      </c>
      <c r="I2753">
        <v>0</v>
      </c>
      <c r="J2753" t="s">
        <v>40</v>
      </c>
      <c r="K2753">
        <v>0</v>
      </c>
      <c r="L2753">
        <v>923.44</v>
      </c>
      <c r="M2753">
        <v>923.44</v>
      </c>
      <c r="N2753" t="s">
        <v>27</v>
      </c>
      <c r="O2753">
        <v>2025</v>
      </c>
    </row>
    <row r="2754" spans="1:15" x14ac:dyDescent="0.3">
      <c r="A2754" t="s">
        <v>2839</v>
      </c>
      <c r="B2754" t="s">
        <v>65</v>
      </c>
      <c r="C2754" t="s">
        <v>34</v>
      </c>
      <c r="D2754" t="s">
        <v>66</v>
      </c>
      <c r="E2754" t="s">
        <v>56</v>
      </c>
      <c r="F2754" s="1">
        <v>45572</v>
      </c>
      <c r="G2754">
        <v>7</v>
      </c>
      <c r="H2754">
        <v>41662.410000000003</v>
      </c>
      <c r="I2754">
        <v>0</v>
      </c>
      <c r="J2754" t="s">
        <v>45</v>
      </c>
      <c r="K2754">
        <v>0</v>
      </c>
      <c r="L2754">
        <v>291636.87</v>
      </c>
      <c r="M2754">
        <v>291636.87</v>
      </c>
      <c r="N2754" t="s">
        <v>57</v>
      </c>
      <c r="O2754">
        <v>2024</v>
      </c>
    </row>
    <row r="2755" spans="1:15" x14ac:dyDescent="0.3">
      <c r="A2755" t="s">
        <v>2840</v>
      </c>
      <c r="B2755" t="s">
        <v>53</v>
      </c>
      <c r="C2755" t="s">
        <v>34</v>
      </c>
      <c r="D2755" t="s">
        <v>80</v>
      </c>
      <c r="E2755" t="s">
        <v>50</v>
      </c>
      <c r="F2755" s="1">
        <v>45994</v>
      </c>
      <c r="G2755">
        <v>3</v>
      </c>
      <c r="H2755">
        <v>7369.26</v>
      </c>
      <c r="I2755">
        <v>10</v>
      </c>
      <c r="J2755" t="s">
        <v>71</v>
      </c>
      <c r="K2755">
        <v>2210.7800000000002</v>
      </c>
      <c r="L2755">
        <v>22107.78</v>
      </c>
      <c r="M2755">
        <v>19897</v>
      </c>
      <c r="N2755" t="s">
        <v>51</v>
      </c>
      <c r="O2755">
        <v>2025</v>
      </c>
    </row>
    <row r="2756" spans="1:15" x14ac:dyDescent="0.3">
      <c r="A2756" t="s">
        <v>2841</v>
      </c>
      <c r="B2756" t="s">
        <v>114</v>
      </c>
      <c r="C2756" t="s">
        <v>62</v>
      </c>
      <c r="D2756" t="s">
        <v>95</v>
      </c>
      <c r="E2756" t="s">
        <v>50</v>
      </c>
      <c r="F2756" s="1">
        <v>45294</v>
      </c>
      <c r="G2756">
        <v>1</v>
      </c>
      <c r="H2756">
        <v>724.12</v>
      </c>
      <c r="I2756">
        <v>20</v>
      </c>
      <c r="J2756" t="s">
        <v>20</v>
      </c>
      <c r="K2756">
        <v>144.82</v>
      </c>
      <c r="L2756">
        <v>724.12</v>
      </c>
      <c r="M2756">
        <v>579.29999999999995</v>
      </c>
      <c r="N2756" t="s">
        <v>116</v>
      </c>
      <c r="O2756">
        <v>2024</v>
      </c>
    </row>
    <row r="2757" spans="1:15" x14ac:dyDescent="0.3">
      <c r="A2757" t="s">
        <v>2842</v>
      </c>
      <c r="B2757" t="s">
        <v>29</v>
      </c>
      <c r="C2757" t="s">
        <v>54</v>
      </c>
      <c r="D2757" t="s">
        <v>68</v>
      </c>
      <c r="E2757" t="s">
        <v>44</v>
      </c>
      <c r="F2757" s="1">
        <v>45704</v>
      </c>
      <c r="G2757">
        <v>8</v>
      </c>
      <c r="H2757">
        <v>4319.18</v>
      </c>
      <c r="I2757">
        <v>0</v>
      </c>
      <c r="J2757" t="s">
        <v>40</v>
      </c>
      <c r="K2757">
        <v>0</v>
      </c>
      <c r="L2757">
        <v>34553.440000000002</v>
      </c>
      <c r="M2757">
        <v>34553.440000000002</v>
      </c>
      <c r="N2757" t="s">
        <v>41</v>
      </c>
      <c r="O2757">
        <v>2025</v>
      </c>
    </row>
    <row r="2758" spans="1:15" x14ac:dyDescent="0.3">
      <c r="A2758" t="s">
        <v>2843</v>
      </c>
      <c r="B2758" t="s">
        <v>109</v>
      </c>
      <c r="C2758" t="s">
        <v>54</v>
      </c>
      <c r="D2758" t="s">
        <v>70</v>
      </c>
      <c r="E2758" t="s">
        <v>81</v>
      </c>
      <c r="F2758" s="1">
        <v>45416</v>
      </c>
      <c r="G2758">
        <v>5</v>
      </c>
      <c r="H2758">
        <v>2324.44</v>
      </c>
      <c r="I2758">
        <v>0</v>
      </c>
      <c r="J2758" t="s">
        <v>82</v>
      </c>
      <c r="K2758">
        <v>0</v>
      </c>
      <c r="L2758">
        <v>11622.2</v>
      </c>
      <c r="M2758">
        <v>11622.2</v>
      </c>
      <c r="N2758" t="s">
        <v>101</v>
      </c>
      <c r="O2758">
        <v>2024</v>
      </c>
    </row>
    <row r="2759" spans="1:15" x14ac:dyDescent="0.3">
      <c r="A2759" t="s">
        <v>2844</v>
      </c>
      <c r="B2759" t="s">
        <v>38</v>
      </c>
      <c r="C2759" t="s">
        <v>17</v>
      </c>
      <c r="D2759" t="s">
        <v>24</v>
      </c>
      <c r="E2759" t="s">
        <v>44</v>
      </c>
      <c r="F2759" s="1">
        <v>45685</v>
      </c>
      <c r="G2759">
        <v>10</v>
      </c>
      <c r="H2759">
        <v>3264.73</v>
      </c>
      <c r="I2759">
        <v>5</v>
      </c>
      <c r="J2759" t="s">
        <v>82</v>
      </c>
      <c r="K2759">
        <v>1632.37</v>
      </c>
      <c r="L2759">
        <v>32647.3</v>
      </c>
      <c r="M2759">
        <v>31014.93</v>
      </c>
      <c r="N2759" t="s">
        <v>116</v>
      </c>
      <c r="O2759">
        <v>2025</v>
      </c>
    </row>
    <row r="2760" spans="1:15" x14ac:dyDescent="0.3">
      <c r="A2760" t="s">
        <v>2845</v>
      </c>
      <c r="B2760" t="s">
        <v>61</v>
      </c>
      <c r="C2760" t="s">
        <v>34</v>
      </c>
      <c r="D2760" t="s">
        <v>85</v>
      </c>
      <c r="E2760" t="s">
        <v>56</v>
      </c>
      <c r="F2760" s="1">
        <v>45759</v>
      </c>
      <c r="G2760">
        <v>10</v>
      </c>
      <c r="H2760">
        <v>12819.76</v>
      </c>
      <c r="I2760">
        <v>20</v>
      </c>
      <c r="J2760" t="s">
        <v>20</v>
      </c>
      <c r="K2760">
        <v>25639.52</v>
      </c>
      <c r="L2760">
        <v>128197.6</v>
      </c>
      <c r="M2760">
        <v>102558.08</v>
      </c>
      <c r="N2760" t="s">
        <v>27</v>
      </c>
      <c r="O2760">
        <v>2025</v>
      </c>
    </row>
    <row r="2761" spans="1:15" x14ac:dyDescent="0.3">
      <c r="A2761" t="s">
        <v>2846</v>
      </c>
      <c r="B2761" t="s">
        <v>109</v>
      </c>
      <c r="C2761" t="s">
        <v>90</v>
      </c>
      <c r="D2761" t="s">
        <v>91</v>
      </c>
      <c r="E2761" t="s">
        <v>56</v>
      </c>
      <c r="F2761" s="1">
        <v>45846</v>
      </c>
      <c r="G2761">
        <v>6</v>
      </c>
      <c r="H2761">
        <v>1462.58</v>
      </c>
      <c r="I2761">
        <v>0</v>
      </c>
      <c r="J2761" t="s">
        <v>26</v>
      </c>
      <c r="K2761">
        <v>0</v>
      </c>
      <c r="L2761">
        <v>8775.48</v>
      </c>
      <c r="M2761">
        <v>8775.48</v>
      </c>
      <c r="N2761" t="s">
        <v>122</v>
      </c>
      <c r="O2761">
        <v>2025</v>
      </c>
    </row>
    <row r="2762" spans="1:15" x14ac:dyDescent="0.3">
      <c r="A2762" t="s">
        <v>2847</v>
      </c>
      <c r="B2762" t="s">
        <v>89</v>
      </c>
      <c r="C2762" t="s">
        <v>54</v>
      </c>
      <c r="D2762" t="s">
        <v>68</v>
      </c>
      <c r="E2762" t="s">
        <v>19</v>
      </c>
      <c r="F2762" s="1">
        <v>45542</v>
      </c>
      <c r="G2762">
        <v>1</v>
      </c>
      <c r="H2762">
        <v>4106.99</v>
      </c>
      <c r="I2762">
        <v>20</v>
      </c>
      <c r="J2762" t="s">
        <v>31</v>
      </c>
      <c r="K2762">
        <v>821.4</v>
      </c>
      <c r="L2762">
        <v>4106.99</v>
      </c>
      <c r="M2762">
        <v>3285.59</v>
      </c>
      <c r="N2762" t="s">
        <v>86</v>
      </c>
      <c r="O2762">
        <v>2024</v>
      </c>
    </row>
    <row r="2763" spans="1:15" x14ac:dyDescent="0.3">
      <c r="A2763" t="s">
        <v>2848</v>
      </c>
      <c r="B2763" t="s">
        <v>43</v>
      </c>
      <c r="C2763" t="s">
        <v>54</v>
      </c>
      <c r="D2763" t="s">
        <v>77</v>
      </c>
      <c r="E2763" t="s">
        <v>30</v>
      </c>
      <c r="F2763" s="1">
        <v>45547</v>
      </c>
      <c r="G2763">
        <v>7</v>
      </c>
      <c r="H2763">
        <v>4648.43</v>
      </c>
      <c r="I2763">
        <v>0</v>
      </c>
      <c r="J2763" t="s">
        <v>20</v>
      </c>
      <c r="K2763">
        <v>0</v>
      </c>
      <c r="L2763">
        <v>32539.01</v>
      </c>
      <c r="M2763">
        <v>32539.01</v>
      </c>
      <c r="N2763" t="s">
        <v>86</v>
      </c>
      <c r="O2763">
        <v>2024</v>
      </c>
    </row>
    <row r="2764" spans="1:15" x14ac:dyDescent="0.3">
      <c r="A2764" t="s">
        <v>2849</v>
      </c>
      <c r="B2764" t="s">
        <v>47</v>
      </c>
      <c r="C2764" t="s">
        <v>34</v>
      </c>
      <c r="D2764" t="s">
        <v>35</v>
      </c>
      <c r="E2764" t="s">
        <v>25</v>
      </c>
      <c r="F2764" s="1">
        <v>45617</v>
      </c>
      <c r="G2764">
        <v>2</v>
      </c>
      <c r="H2764">
        <v>29302.3</v>
      </c>
      <c r="I2764">
        <v>20</v>
      </c>
      <c r="J2764" t="s">
        <v>82</v>
      </c>
      <c r="K2764">
        <v>11720.92</v>
      </c>
      <c r="L2764">
        <v>58604.6</v>
      </c>
      <c r="M2764">
        <v>46883.68</v>
      </c>
      <c r="N2764" t="s">
        <v>96</v>
      </c>
      <c r="O2764">
        <v>2024</v>
      </c>
    </row>
    <row r="2765" spans="1:15" x14ac:dyDescent="0.3">
      <c r="A2765" t="s">
        <v>2850</v>
      </c>
      <c r="B2765" t="s">
        <v>33</v>
      </c>
      <c r="C2765" t="s">
        <v>62</v>
      </c>
      <c r="D2765" t="s">
        <v>119</v>
      </c>
      <c r="E2765" t="s">
        <v>81</v>
      </c>
      <c r="F2765" s="1">
        <v>45879</v>
      </c>
      <c r="G2765">
        <v>5</v>
      </c>
      <c r="H2765">
        <v>3281.32</v>
      </c>
      <c r="I2765">
        <v>0</v>
      </c>
      <c r="J2765" t="s">
        <v>36</v>
      </c>
      <c r="K2765">
        <v>0</v>
      </c>
      <c r="L2765">
        <v>16406.599999999999</v>
      </c>
      <c r="M2765">
        <v>16406.599999999999</v>
      </c>
      <c r="N2765" t="s">
        <v>21</v>
      </c>
      <c r="O2765">
        <v>2025</v>
      </c>
    </row>
    <row r="2766" spans="1:15" x14ac:dyDescent="0.3">
      <c r="A2766" t="s">
        <v>2851</v>
      </c>
      <c r="B2766" t="s">
        <v>74</v>
      </c>
      <c r="C2766" t="s">
        <v>34</v>
      </c>
      <c r="D2766" t="s">
        <v>48</v>
      </c>
      <c r="E2766" t="s">
        <v>44</v>
      </c>
      <c r="F2766" s="1">
        <v>45362</v>
      </c>
      <c r="G2766">
        <v>6</v>
      </c>
      <c r="H2766">
        <v>7606.91</v>
      </c>
      <c r="I2766">
        <v>5</v>
      </c>
      <c r="J2766" t="s">
        <v>26</v>
      </c>
      <c r="K2766">
        <v>2282.0700000000002</v>
      </c>
      <c r="L2766">
        <v>45641.46</v>
      </c>
      <c r="M2766">
        <v>43359.39</v>
      </c>
      <c r="N2766" t="s">
        <v>83</v>
      </c>
      <c r="O2766">
        <v>2024</v>
      </c>
    </row>
    <row r="2767" spans="1:15" x14ac:dyDescent="0.3">
      <c r="A2767" t="s">
        <v>2852</v>
      </c>
      <c r="B2767" t="s">
        <v>23</v>
      </c>
      <c r="C2767" t="s">
        <v>62</v>
      </c>
      <c r="D2767" t="s">
        <v>99</v>
      </c>
      <c r="E2767" t="s">
        <v>25</v>
      </c>
      <c r="F2767" s="1">
        <v>45621</v>
      </c>
      <c r="G2767">
        <v>7</v>
      </c>
      <c r="H2767">
        <v>1874.17</v>
      </c>
      <c r="I2767">
        <v>20</v>
      </c>
      <c r="J2767" t="s">
        <v>71</v>
      </c>
      <c r="K2767">
        <v>2623.84</v>
      </c>
      <c r="L2767">
        <v>13119.19</v>
      </c>
      <c r="M2767">
        <v>10495.35</v>
      </c>
      <c r="N2767" t="s">
        <v>96</v>
      </c>
      <c r="O2767">
        <v>2024</v>
      </c>
    </row>
    <row r="2768" spans="1:15" x14ac:dyDescent="0.3">
      <c r="A2768" t="s">
        <v>2853</v>
      </c>
      <c r="B2768" t="s">
        <v>43</v>
      </c>
      <c r="C2768" t="s">
        <v>54</v>
      </c>
      <c r="D2768" t="s">
        <v>137</v>
      </c>
      <c r="E2768" t="s">
        <v>81</v>
      </c>
      <c r="F2768" s="1">
        <v>45706</v>
      </c>
      <c r="G2768">
        <v>7</v>
      </c>
      <c r="H2768">
        <v>909.36</v>
      </c>
      <c r="I2768">
        <v>0</v>
      </c>
      <c r="J2768" t="s">
        <v>40</v>
      </c>
      <c r="K2768">
        <v>0</v>
      </c>
      <c r="L2768">
        <v>6365.52</v>
      </c>
      <c r="M2768">
        <v>6365.52</v>
      </c>
      <c r="N2768" t="s">
        <v>41</v>
      </c>
      <c r="O2768">
        <v>2025</v>
      </c>
    </row>
    <row r="2769" spans="1:15" x14ac:dyDescent="0.3">
      <c r="A2769" t="s">
        <v>2854</v>
      </c>
      <c r="B2769" t="s">
        <v>65</v>
      </c>
      <c r="C2769" t="s">
        <v>17</v>
      </c>
      <c r="D2769" t="s">
        <v>18</v>
      </c>
      <c r="E2769" t="s">
        <v>50</v>
      </c>
      <c r="F2769" s="1">
        <v>45951</v>
      </c>
      <c r="G2769">
        <v>1</v>
      </c>
      <c r="H2769">
        <v>78830.78</v>
      </c>
      <c r="I2769">
        <v>20</v>
      </c>
      <c r="J2769" t="s">
        <v>40</v>
      </c>
      <c r="K2769">
        <v>15766.16</v>
      </c>
      <c r="L2769">
        <v>78830.78</v>
      </c>
      <c r="M2769">
        <v>63064.62</v>
      </c>
      <c r="N2769" t="s">
        <v>57</v>
      </c>
      <c r="O2769">
        <v>2025</v>
      </c>
    </row>
    <row r="2770" spans="1:15" x14ac:dyDescent="0.3">
      <c r="A2770" t="s">
        <v>2855</v>
      </c>
      <c r="B2770" t="s">
        <v>53</v>
      </c>
      <c r="C2770" t="s">
        <v>17</v>
      </c>
      <c r="D2770" t="s">
        <v>24</v>
      </c>
      <c r="E2770" t="s">
        <v>50</v>
      </c>
      <c r="F2770" s="1">
        <v>45817</v>
      </c>
      <c r="G2770">
        <v>8</v>
      </c>
      <c r="H2770">
        <v>3147.35</v>
      </c>
      <c r="I2770">
        <v>10</v>
      </c>
      <c r="J2770" t="s">
        <v>20</v>
      </c>
      <c r="K2770">
        <v>2517.88</v>
      </c>
      <c r="L2770">
        <v>25178.799999999999</v>
      </c>
      <c r="M2770">
        <v>22660.92</v>
      </c>
      <c r="N2770" t="s">
        <v>72</v>
      </c>
      <c r="O2770">
        <v>2025</v>
      </c>
    </row>
    <row r="2771" spans="1:15" x14ac:dyDescent="0.3">
      <c r="A2771" t="s">
        <v>2856</v>
      </c>
      <c r="B2771" t="s">
        <v>114</v>
      </c>
      <c r="C2771" t="s">
        <v>17</v>
      </c>
      <c r="D2771" t="s">
        <v>59</v>
      </c>
      <c r="E2771" t="s">
        <v>56</v>
      </c>
      <c r="F2771" s="1">
        <v>45326</v>
      </c>
      <c r="G2771">
        <v>9</v>
      </c>
      <c r="H2771">
        <v>24666.57</v>
      </c>
      <c r="I2771">
        <v>0</v>
      </c>
      <c r="J2771" t="s">
        <v>36</v>
      </c>
      <c r="K2771">
        <v>0</v>
      </c>
      <c r="L2771">
        <v>221999.13</v>
      </c>
      <c r="M2771">
        <v>221999.13</v>
      </c>
      <c r="N2771" t="s">
        <v>41</v>
      </c>
      <c r="O2771">
        <v>2024</v>
      </c>
    </row>
    <row r="2772" spans="1:15" x14ac:dyDescent="0.3">
      <c r="A2772" t="s">
        <v>2857</v>
      </c>
      <c r="B2772" t="s">
        <v>16</v>
      </c>
      <c r="C2772" t="s">
        <v>90</v>
      </c>
      <c r="D2772" t="s">
        <v>115</v>
      </c>
      <c r="E2772" t="s">
        <v>19</v>
      </c>
      <c r="F2772" s="1">
        <v>45770</v>
      </c>
      <c r="G2772">
        <v>4</v>
      </c>
      <c r="H2772">
        <v>8779.34</v>
      </c>
      <c r="I2772">
        <v>10</v>
      </c>
      <c r="J2772" t="s">
        <v>36</v>
      </c>
      <c r="K2772">
        <v>3511.74</v>
      </c>
      <c r="L2772">
        <v>35117.360000000001</v>
      </c>
      <c r="M2772">
        <v>31605.62</v>
      </c>
      <c r="N2772" t="s">
        <v>27</v>
      </c>
      <c r="O2772">
        <v>2025</v>
      </c>
    </row>
    <row r="2773" spans="1:15" x14ac:dyDescent="0.3">
      <c r="A2773" t="s">
        <v>2858</v>
      </c>
      <c r="B2773" t="s">
        <v>43</v>
      </c>
      <c r="C2773" t="s">
        <v>34</v>
      </c>
      <c r="D2773" t="s">
        <v>35</v>
      </c>
      <c r="E2773" t="s">
        <v>50</v>
      </c>
      <c r="F2773" s="1">
        <v>45644</v>
      </c>
      <c r="G2773">
        <v>8</v>
      </c>
      <c r="H2773">
        <v>24869.599999999999</v>
      </c>
      <c r="I2773">
        <v>10</v>
      </c>
      <c r="J2773" t="s">
        <v>20</v>
      </c>
      <c r="K2773">
        <v>19895.68</v>
      </c>
      <c r="L2773">
        <v>198956.79999999999</v>
      </c>
      <c r="M2773">
        <v>179061.12</v>
      </c>
      <c r="N2773" t="s">
        <v>51</v>
      </c>
      <c r="O2773">
        <v>2024</v>
      </c>
    </row>
    <row r="2774" spans="1:15" x14ac:dyDescent="0.3">
      <c r="A2774" t="s">
        <v>2859</v>
      </c>
      <c r="B2774" t="s">
        <v>93</v>
      </c>
      <c r="C2774" t="s">
        <v>17</v>
      </c>
      <c r="D2774" t="s">
        <v>59</v>
      </c>
      <c r="E2774" t="s">
        <v>25</v>
      </c>
      <c r="F2774" s="1">
        <v>45856</v>
      </c>
      <c r="G2774">
        <v>6</v>
      </c>
      <c r="H2774">
        <v>23169.89</v>
      </c>
      <c r="I2774">
        <v>0</v>
      </c>
      <c r="J2774" t="s">
        <v>36</v>
      </c>
      <c r="K2774">
        <v>0</v>
      </c>
      <c r="L2774">
        <v>139019.34</v>
      </c>
      <c r="M2774">
        <v>139019.34</v>
      </c>
      <c r="N2774" t="s">
        <v>122</v>
      </c>
      <c r="O2774">
        <v>2025</v>
      </c>
    </row>
    <row r="2775" spans="1:15" x14ac:dyDescent="0.3">
      <c r="A2775" t="s">
        <v>2860</v>
      </c>
      <c r="B2775" t="s">
        <v>61</v>
      </c>
      <c r="C2775" t="s">
        <v>90</v>
      </c>
      <c r="D2775" t="s">
        <v>105</v>
      </c>
      <c r="E2775" t="s">
        <v>50</v>
      </c>
      <c r="F2775" s="1">
        <v>45646</v>
      </c>
      <c r="G2775">
        <v>10</v>
      </c>
      <c r="H2775">
        <v>3482.23</v>
      </c>
      <c r="I2775">
        <v>15</v>
      </c>
      <c r="J2775" t="s">
        <v>45</v>
      </c>
      <c r="K2775">
        <v>5223.3500000000004</v>
      </c>
      <c r="L2775">
        <v>34822.300000000003</v>
      </c>
      <c r="M2775">
        <v>29598.95</v>
      </c>
      <c r="N2775" t="s">
        <v>51</v>
      </c>
      <c r="O2775">
        <v>2024</v>
      </c>
    </row>
    <row r="2776" spans="1:15" x14ac:dyDescent="0.3">
      <c r="A2776" t="s">
        <v>2861</v>
      </c>
      <c r="B2776" t="s">
        <v>109</v>
      </c>
      <c r="C2776" t="s">
        <v>17</v>
      </c>
      <c r="D2776" t="s">
        <v>18</v>
      </c>
      <c r="E2776" t="s">
        <v>56</v>
      </c>
      <c r="F2776" s="1">
        <v>45516</v>
      </c>
      <c r="G2776">
        <v>1</v>
      </c>
      <c r="H2776">
        <v>62798.16</v>
      </c>
      <c r="I2776">
        <v>15</v>
      </c>
      <c r="J2776" t="s">
        <v>36</v>
      </c>
      <c r="K2776">
        <v>9419.7199999999993</v>
      </c>
      <c r="L2776">
        <v>62798.16</v>
      </c>
      <c r="M2776">
        <v>53378.44</v>
      </c>
      <c r="N2776" t="s">
        <v>21</v>
      </c>
      <c r="O2776">
        <v>2024</v>
      </c>
    </row>
    <row r="2777" spans="1:15" x14ac:dyDescent="0.3">
      <c r="A2777" t="s">
        <v>2862</v>
      </c>
      <c r="B2777" t="s">
        <v>47</v>
      </c>
      <c r="C2777" t="s">
        <v>17</v>
      </c>
      <c r="D2777" t="s">
        <v>18</v>
      </c>
      <c r="E2777" t="s">
        <v>50</v>
      </c>
      <c r="F2777" s="1">
        <v>45826</v>
      </c>
      <c r="G2777">
        <v>3</v>
      </c>
      <c r="H2777">
        <v>65947.070000000007</v>
      </c>
      <c r="I2777">
        <v>0</v>
      </c>
      <c r="J2777" t="s">
        <v>20</v>
      </c>
      <c r="K2777">
        <v>0</v>
      </c>
      <c r="L2777">
        <v>197841.21</v>
      </c>
      <c r="M2777">
        <v>197841.21</v>
      </c>
      <c r="N2777" t="s">
        <v>72</v>
      </c>
      <c r="O2777">
        <v>2025</v>
      </c>
    </row>
    <row r="2778" spans="1:15" x14ac:dyDescent="0.3">
      <c r="A2778" t="s">
        <v>2863</v>
      </c>
      <c r="B2778" t="s">
        <v>29</v>
      </c>
      <c r="C2778" t="s">
        <v>17</v>
      </c>
      <c r="D2778" t="s">
        <v>59</v>
      </c>
      <c r="E2778" t="s">
        <v>50</v>
      </c>
      <c r="F2778" s="1">
        <v>45362</v>
      </c>
      <c r="G2778">
        <v>6</v>
      </c>
      <c r="H2778">
        <v>23059.82</v>
      </c>
      <c r="I2778">
        <v>0</v>
      </c>
      <c r="J2778" t="s">
        <v>31</v>
      </c>
      <c r="K2778">
        <v>0</v>
      </c>
      <c r="L2778">
        <v>138358.92000000001</v>
      </c>
      <c r="M2778">
        <v>138358.92000000001</v>
      </c>
      <c r="N2778" t="s">
        <v>83</v>
      </c>
      <c r="O2778">
        <v>2024</v>
      </c>
    </row>
    <row r="2779" spans="1:15" x14ac:dyDescent="0.3">
      <c r="A2779" t="s">
        <v>2864</v>
      </c>
      <c r="B2779" t="s">
        <v>16</v>
      </c>
      <c r="C2779" t="s">
        <v>62</v>
      </c>
      <c r="D2779" t="s">
        <v>132</v>
      </c>
      <c r="E2779" t="s">
        <v>19</v>
      </c>
      <c r="F2779" s="1">
        <v>45801</v>
      </c>
      <c r="G2779">
        <v>7</v>
      </c>
      <c r="H2779">
        <v>2522.02</v>
      </c>
      <c r="I2779">
        <v>10</v>
      </c>
      <c r="J2779" t="s">
        <v>26</v>
      </c>
      <c r="K2779">
        <v>1765.41</v>
      </c>
      <c r="L2779">
        <v>17654.14</v>
      </c>
      <c r="M2779">
        <v>15888.73</v>
      </c>
      <c r="N2779" t="s">
        <v>101</v>
      </c>
      <c r="O2779">
        <v>2025</v>
      </c>
    </row>
    <row r="2780" spans="1:15" x14ac:dyDescent="0.3">
      <c r="A2780" t="s">
        <v>2865</v>
      </c>
      <c r="B2780" t="s">
        <v>43</v>
      </c>
      <c r="C2780" t="s">
        <v>34</v>
      </c>
      <c r="D2780" t="s">
        <v>48</v>
      </c>
      <c r="E2780" t="s">
        <v>56</v>
      </c>
      <c r="F2780" s="1">
        <v>45604</v>
      </c>
      <c r="G2780">
        <v>3</v>
      </c>
      <c r="H2780">
        <v>9886.43</v>
      </c>
      <c r="I2780">
        <v>15</v>
      </c>
      <c r="J2780" t="s">
        <v>26</v>
      </c>
      <c r="K2780">
        <v>4448.8900000000003</v>
      </c>
      <c r="L2780">
        <v>29659.29</v>
      </c>
      <c r="M2780">
        <v>25210.400000000001</v>
      </c>
      <c r="N2780" t="s">
        <v>96</v>
      </c>
      <c r="O2780">
        <v>2024</v>
      </c>
    </row>
    <row r="2781" spans="1:15" x14ac:dyDescent="0.3">
      <c r="A2781" t="s">
        <v>2866</v>
      </c>
      <c r="B2781" t="s">
        <v>38</v>
      </c>
      <c r="C2781" t="s">
        <v>90</v>
      </c>
      <c r="D2781" t="s">
        <v>107</v>
      </c>
      <c r="E2781" t="s">
        <v>30</v>
      </c>
      <c r="F2781" s="1">
        <v>45684</v>
      </c>
      <c r="G2781">
        <v>1</v>
      </c>
      <c r="H2781">
        <v>11121.21</v>
      </c>
      <c r="I2781">
        <v>0</v>
      </c>
      <c r="J2781" t="s">
        <v>40</v>
      </c>
      <c r="K2781">
        <v>0</v>
      </c>
      <c r="L2781">
        <v>11121.21</v>
      </c>
      <c r="M2781">
        <v>11121.21</v>
      </c>
      <c r="N2781" t="s">
        <v>116</v>
      </c>
      <c r="O2781">
        <v>2025</v>
      </c>
    </row>
    <row r="2782" spans="1:15" x14ac:dyDescent="0.3">
      <c r="A2782" t="s">
        <v>2867</v>
      </c>
      <c r="B2782" t="s">
        <v>109</v>
      </c>
      <c r="C2782" t="s">
        <v>62</v>
      </c>
      <c r="D2782" t="s">
        <v>63</v>
      </c>
      <c r="E2782" t="s">
        <v>19</v>
      </c>
      <c r="F2782" s="1">
        <v>45932</v>
      </c>
      <c r="G2782">
        <v>4</v>
      </c>
      <c r="H2782">
        <v>2259.1999999999998</v>
      </c>
      <c r="I2782">
        <v>10</v>
      </c>
      <c r="J2782" t="s">
        <v>71</v>
      </c>
      <c r="K2782">
        <v>903.68</v>
      </c>
      <c r="L2782">
        <v>9036.7999999999993</v>
      </c>
      <c r="M2782">
        <v>8133.12</v>
      </c>
      <c r="N2782" t="s">
        <v>57</v>
      </c>
      <c r="O2782">
        <v>2025</v>
      </c>
    </row>
    <row r="2783" spans="1:15" x14ac:dyDescent="0.3">
      <c r="A2783" t="s">
        <v>2868</v>
      </c>
      <c r="B2783" t="s">
        <v>43</v>
      </c>
      <c r="C2783" t="s">
        <v>90</v>
      </c>
      <c r="D2783" t="s">
        <v>107</v>
      </c>
      <c r="E2783" t="s">
        <v>50</v>
      </c>
      <c r="F2783" s="1">
        <v>45863</v>
      </c>
      <c r="G2783">
        <v>7</v>
      </c>
      <c r="H2783">
        <v>11049.22</v>
      </c>
      <c r="I2783">
        <v>15</v>
      </c>
      <c r="J2783" t="s">
        <v>45</v>
      </c>
      <c r="K2783">
        <v>11601.68</v>
      </c>
      <c r="L2783">
        <v>77344.539999999994</v>
      </c>
      <c r="M2783">
        <v>65742.86</v>
      </c>
      <c r="N2783" t="s">
        <v>122</v>
      </c>
      <c r="O2783">
        <v>2025</v>
      </c>
    </row>
    <row r="2784" spans="1:15" x14ac:dyDescent="0.3">
      <c r="A2784" t="s">
        <v>2869</v>
      </c>
      <c r="B2784" t="s">
        <v>53</v>
      </c>
      <c r="C2784" t="s">
        <v>54</v>
      </c>
      <c r="D2784" t="s">
        <v>55</v>
      </c>
      <c r="E2784" t="s">
        <v>19</v>
      </c>
      <c r="F2784" s="1">
        <v>45987</v>
      </c>
      <c r="G2784">
        <v>3</v>
      </c>
      <c r="H2784">
        <v>1460.6</v>
      </c>
      <c r="I2784">
        <v>5</v>
      </c>
      <c r="J2784" t="s">
        <v>82</v>
      </c>
      <c r="K2784">
        <v>219.09</v>
      </c>
      <c r="L2784">
        <v>4381.8</v>
      </c>
      <c r="M2784">
        <v>4162.71</v>
      </c>
      <c r="N2784" t="s">
        <v>96</v>
      </c>
      <c r="O2784">
        <v>2025</v>
      </c>
    </row>
    <row r="2785" spans="1:15" x14ac:dyDescent="0.3">
      <c r="A2785" t="s">
        <v>2870</v>
      </c>
      <c r="B2785" t="s">
        <v>109</v>
      </c>
      <c r="C2785" t="s">
        <v>90</v>
      </c>
      <c r="D2785" t="s">
        <v>152</v>
      </c>
      <c r="E2785" t="s">
        <v>81</v>
      </c>
      <c r="F2785" s="1">
        <v>45720</v>
      </c>
      <c r="G2785">
        <v>7</v>
      </c>
      <c r="H2785">
        <v>11337.37</v>
      </c>
      <c r="I2785">
        <v>15</v>
      </c>
      <c r="J2785" t="s">
        <v>31</v>
      </c>
      <c r="K2785">
        <v>11904.24</v>
      </c>
      <c r="L2785">
        <v>79361.59</v>
      </c>
      <c r="M2785">
        <v>67457.350000000006</v>
      </c>
      <c r="N2785" t="s">
        <v>83</v>
      </c>
      <c r="O2785">
        <v>2025</v>
      </c>
    </row>
    <row r="2786" spans="1:15" x14ac:dyDescent="0.3">
      <c r="A2786" t="s">
        <v>2871</v>
      </c>
      <c r="B2786" t="s">
        <v>43</v>
      </c>
      <c r="C2786" t="s">
        <v>34</v>
      </c>
      <c r="D2786" t="s">
        <v>85</v>
      </c>
      <c r="E2786" t="s">
        <v>25</v>
      </c>
      <c r="F2786" s="1">
        <v>45710</v>
      </c>
      <c r="G2786">
        <v>9</v>
      </c>
      <c r="H2786">
        <v>12125.99</v>
      </c>
      <c r="I2786">
        <v>10</v>
      </c>
      <c r="J2786" t="s">
        <v>71</v>
      </c>
      <c r="K2786">
        <v>10913.39</v>
      </c>
      <c r="L2786">
        <v>109133.91</v>
      </c>
      <c r="M2786">
        <v>98220.52</v>
      </c>
      <c r="N2786" t="s">
        <v>41</v>
      </c>
      <c r="O2786">
        <v>2025</v>
      </c>
    </row>
    <row r="2787" spans="1:15" x14ac:dyDescent="0.3">
      <c r="A2787" t="s">
        <v>2872</v>
      </c>
      <c r="B2787" t="s">
        <v>89</v>
      </c>
      <c r="C2787" t="s">
        <v>54</v>
      </c>
      <c r="D2787" t="s">
        <v>137</v>
      </c>
      <c r="E2787" t="s">
        <v>56</v>
      </c>
      <c r="F2787" s="1">
        <v>45970</v>
      </c>
      <c r="G2787">
        <v>3</v>
      </c>
      <c r="H2787">
        <v>1034.0999999999999</v>
      </c>
      <c r="I2787">
        <v>5</v>
      </c>
      <c r="J2787" t="s">
        <v>82</v>
      </c>
      <c r="K2787">
        <v>155.12</v>
      </c>
      <c r="L2787">
        <v>3102.3</v>
      </c>
      <c r="M2787">
        <v>2947.18</v>
      </c>
      <c r="N2787" t="s">
        <v>96</v>
      </c>
      <c r="O2787">
        <v>2025</v>
      </c>
    </row>
    <row r="2788" spans="1:15" x14ac:dyDescent="0.3">
      <c r="A2788" t="s">
        <v>2873</v>
      </c>
      <c r="B2788" t="s">
        <v>109</v>
      </c>
      <c r="C2788" t="s">
        <v>62</v>
      </c>
      <c r="D2788" t="s">
        <v>95</v>
      </c>
      <c r="E2788" t="s">
        <v>56</v>
      </c>
      <c r="F2788" s="1">
        <v>45814</v>
      </c>
      <c r="G2788">
        <v>5</v>
      </c>
      <c r="H2788">
        <v>820.12</v>
      </c>
      <c r="I2788">
        <v>15</v>
      </c>
      <c r="J2788" t="s">
        <v>82</v>
      </c>
      <c r="K2788">
        <v>615.09</v>
      </c>
      <c r="L2788">
        <v>4100.6000000000004</v>
      </c>
      <c r="M2788">
        <v>3485.51</v>
      </c>
      <c r="N2788" t="s">
        <v>72</v>
      </c>
      <c r="O2788">
        <v>2025</v>
      </c>
    </row>
    <row r="2789" spans="1:15" x14ac:dyDescent="0.3">
      <c r="A2789" t="s">
        <v>2874</v>
      </c>
      <c r="B2789" t="s">
        <v>53</v>
      </c>
      <c r="C2789" t="s">
        <v>62</v>
      </c>
      <c r="D2789" t="s">
        <v>63</v>
      </c>
      <c r="E2789" t="s">
        <v>50</v>
      </c>
      <c r="F2789" s="1">
        <v>45570</v>
      </c>
      <c r="G2789">
        <v>4</v>
      </c>
      <c r="H2789">
        <v>1934.26</v>
      </c>
      <c r="I2789">
        <v>10</v>
      </c>
      <c r="J2789" t="s">
        <v>45</v>
      </c>
      <c r="K2789">
        <v>773.7</v>
      </c>
      <c r="L2789">
        <v>7737.04</v>
      </c>
      <c r="M2789">
        <v>6963.34</v>
      </c>
      <c r="N2789" t="s">
        <v>57</v>
      </c>
      <c r="O2789">
        <v>2024</v>
      </c>
    </row>
    <row r="2790" spans="1:15" x14ac:dyDescent="0.3">
      <c r="A2790" t="s">
        <v>2875</v>
      </c>
      <c r="B2790" t="s">
        <v>65</v>
      </c>
      <c r="C2790" t="s">
        <v>90</v>
      </c>
      <c r="D2790" t="s">
        <v>152</v>
      </c>
      <c r="E2790" t="s">
        <v>50</v>
      </c>
      <c r="F2790" s="1">
        <v>45446</v>
      </c>
      <c r="G2790">
        <v>2</v>
      </c>
      <c r="H2790">
        <v>9840.7000000000007</v>
      </c>
      <c r="I2790">
        <v>15</v>
      </c>
      <c r="J2790" t="s">
        <v>82</v>
      </c>
      <c r="K2790">
        <v>2952.21</v>
      </c>
      <c r="L2790">
        <v>19681.400000000001</v>
      </c>
      <c r="M2790">
        <v>16729.189999999999</v>
      </c>
      <c r="N2790" t="s">
        <v>72</v>
      </c>
      <c r="O2790">
        <v>2024</v>
      </c>
    </row>
    <row r="2791" spans="1:15" x14ac:dyDescent="0.3">
      <c r="A2791" t="s">
        <v>2876</v>
      </c>
      <c r="B2791" t="s">
        <v>16</v>
      </c>
      <c r="C2791" t="s">
        <v>62</v>
      </c>
      <c r="D2791" t="s">
        <v>132</v>
      </c>
      <c r="E2791" t="s">
        <v>44</v>
      </c>
      <c r="F2791" s="1">
        <v>45459</v>
      </c>
      <c r="G2791">
        <v>6</v>
      </c>
      <c r="H2791">
        <v>2410.4899999999998</v>
      </c>
      <c r="I2791">
        <v>5</v>
      </c>
      <c r="J2791" t="s">
        <v>45</v>
      </c>
      <c r="K2791">
        <v>723.15</v>
      </c>
      <c r="L2791">
        <v>14462.94</v>
      </c>
      <c r="M2791">
        <v>13739.79</v>
      </c>
      <c r="N2791" t="s">
        <v>72</v>
      </c>
      <c r="O2791">
        <v>2024</v>
      </c>
    </row>
    <row r="2792" spans="1:15" x14ac:dyDescent="0.3">
      <c r="A2792" t="s">
        <v>2877</v>
      </c>
      <c r="B2792" t="s">
        <v>61</v>
      </c>
      <c r="C2792" t="s">
        <v>17</v>
      </c>
      <c r="D2792" t="s">
        <v>157</v>
      </c>
      <c r="E2792" t="s">
        <v>30</v>
      </c>
      <c r="F2792" s="1">
        <v>45581</v>
      </c>
      <c r="G2792">
        <v>2</v>
      </c>
      <c r="H2792">
        <v>8405.35</v>
      </c>
      <c r="I2792">
        <v>0</v>
      </c>
      <c r="J2792" t="s">
        <v>40</v>
      </c>
      <c r="K2792">
        <v>0</v>
      </c>
      <c r="L2792">
        <v>16810.7</v>
      </c>
      <c r="M2792">
        <v>16810.7</v>
      </c>
      <c r="N2792" t="s">
        <v>57</v>
      </c>
      <c r="O2792">
        <v>2024</v>
      </c>
    </row>
    <row r="2793" spans="1:15" x14ac:dyDescent="0.3">
      <c r="A2793" t="s">
        <v>2878</v>
      </c>
      <c r="B2793" t="s">
        <v>74</v>
      </c>
      <c r="C2793" t="s">
        <v>54</v>
      </c>
      <c r="D2793" t="s">
        <v>68</v>
      </c>
      <c r="E2793" t="s">
        <v>50</v>
      </c>
      <c r="F2793" s="1">
        <v>45835</v>
      </c>
      <c r="G2793">
        <v>3</v>
      </c>
      <c r="H2793">
        <v>4571.55</v>
      </c>
      <c r="I2793">
        <v>0</v>
      </c>
      <c r="J2793" t="s">
        <v>82</v>
      </c>
      <c r="K2793">
        <v>0</v>
      </c>
      <c r="L2793">
        <v>13714.65</v>
      </c>
      <c r="M2793">
        <v>13714.65</v>
      </c>
      <c r="N2793" t="s">
        <v>72</v>
      </c>
      <c r="O2793">
        <v>2025</v>
      </c>
    </row>
    <row r="2794" spans="1:15" x14ac:dyDescent="0.3">
      <c r="A2794" t="s">
        <v>2879</v>
      </c>
      <c r="B2794" t="s">
        <v>43</v>
      </c>
      <c r="C2794" t="s">
        <v>90</v>
      </c>
      <c r="D2794" t="s">
        <v>107</v>
      </c>
      <c r="E2794" t="s">
        <v>50</v>
      </c>
      <c r="F2794" s="1">
        <v>45985</v>
      </c>
      <c r="G2794">
        <v>10</v>
      </c>
      <c r="H2794">
        <v>14483.55</v>
      </c>
      <c r="I2794">
        <v>20</v>
      </c>
      <c r="J2794" t="s">
        <v>45</v>
      </c>
      <c r="K2794">
        <v>28967.1</v>
      </c>
      <c r="L2794">
        <v>144835.5</v>
      </c>
      <c r="M2794">
        <v>115868.4</v>
      </c>
      <c r="N2794" t="s">
        <v>96</v>
      </c>
      <c r="O2794">
        <v>2025</v>
      </c>
    </row>
    <row r="2795" spans="1:15" x14ac:dyDescent="0.3">
      <c r="A2795" t="s">
        <v>2880</v>
      </c>
      <c r="B2795" t="s">
        <v>16</v>
      </c>
      <c r="C2795" t="s">
        <v>54</v>
      </c>
      <c r="D2795" t="s">
        <v>55</v>
      </c>
      <c r="E2795" t="s">
        <v>25</v>
      </c>
      <c r="F2795" s="1">
        <v>45892</v>
      </c>
      <c r="G2795">
        <v>7</v>
      </c>
      <c r="H2795">
        <v>1241.05</v>
      </c>
      <c r="I2795">
        <v>15</v>
      </c>
      <c r="J2795" t="s">
        <v>40</v>
      </c>
      <c r="K2795">
        <v>1303.0999999999999</v>
      </c>
      <c r="L2795">
        <v>8687.35</v>
      </c>
      <c r="M2795">
        <v>7384.25</v>
      </c>
      <c r="N2795" t="s">
        <v>21</v>
      </c>
      <c r="O2795">
        <v>2025</v>
      </c>
    </row>
    <row r="2796" spans="1:15" x14ac:dyDescent="0.3">
      <c r="A2796" t="s">
        <v>2881</v>
      </c>
      <c r="B2796" t="s">
        <v>38</v>
      </c>
      <c r="C2796" t="s">
        <v>90</v>
      </c>
      <c r="D2796" t="s">
        <v>115</v>
      </c>
      <c r="E2796" t="s">
        <v>44</v>
      </c>
      <c r="F2796" s="1">
        <v>45647</v>
      </c>
      <c r="G2796">
        <v>2</v>
      </c>
      <c r="H2796">
        <v>9716.43</v>
      </c>
      <c r="I2796">
        <v>0</v>
      </c>
      <c r="J2796" t="s">
        <v>26</v>
      </c>
      <c r="K2796">
        <v>0</v>
      </c>
      <c r="L2796">
        <v>19432.86</v>
      </c>
      <c r="M2796">
        <v>19432.86</v>
      </c>
      <c r="N2796" t="s">
        <v>51</v>
      </c>
      <c r="O2796">
        <v>2024</v>
      </c>
    </row>
    <row r="2797" spans="1:15" x14ac:dyDescent="0.3">
      <c r="A2797" t="s">
        <v>2882</v>
      </c>
      <c r="B2797" t="s">
        <v>53</v>
      </c>
      <c r="C2797" t="s">
        <v>34</v>
      </c>
      <c r="D2797" t="s">
        <v>80</v>
      </c>
      <c r="E2797" t="s">
        <v>44</v>
      </c>
      <c r="F2797" s="1">
        <v>45610</v>
      </c>
      <c r="G2797">
        <v>4</v>
      </c>
      <c r="H2797">
        <v>7023.24</v>
      </c>
      <c r="I2797">
        <v>10</v>
      </c>
      <c r="J2797" t="s">
        <v>45</v>
      </c>
      <c r="K2797">
        <v>2809.3</v>
      </c>
      <c r="L2797">
        <v>28092.959999999999</v>
      </c>
      <c r="M2797">
        <v>25283.66</v>
      </c>
      <c r="N2797" t="s">
        <v>96</v>
      </c>
      <c r="O2797">
        <v>2024</v>
      </c>
    </row>
    <row r="2798" spans="1:15" x14ac:dyDescent="0.3">
      <c r="A2798" t="s">
        <v>2883</v>
      </c>
      <c r="B2798" t="s">
        <v>29</v>
      </c>
      <c r="C2798" t="s">
        <v>17</v>
      </c>
      <c r="D2798" t="s">
        <v>59</v>
      </c>
      <c r="E2798" t="s">
        <v>44</v>
      </c>
      <c r="F2798" s="1">
        <v>45413</v>
      </c>
      <c r="G2798">
        <v>7</v>
      </c>
      <c r="H2798">
        <v>22818.49</v>
      </c>
      <c r="I2798">
        <v>20</v>
      </c>
      <c r="J2798" t="s">
        <v>26</v>
      </c>
      <c r="K2798">
        <v>31945.89</v>
      </c>
      <c r="L2798">
        <v>159729.43</v>
      </c>
      <c r="M2798">
        <v>127783.54</v>
      </c>
      <c r="N2798" t="s">
        <v>101</v>
      </c>
      <c r="O2798">
        <v>2024</v>
      </c>
    </row>
    <row r="2799" spans="1:15" x14ac:dyDescent="0.3">
      <c r="A2799" t="s">
        <v>2884</v>
      </c>
      <c r="B2799" t="s">
        <v>109</v>
      </c>
      <c r="C2799" t="s">
        <v>54</v>
      </c>
      <c r="D2799" t="s">
        <v>68</v>
      </c>
      <c r="E2799" t="s">
        <v>44</v>
      </c>
      <c r="F2799" s="1">
        <v>45800</v>
      </c>
      <c r="G2799">
        <v>3</v>
      </c>
      <c r="H2799">
        <v>4163.04</v>
      </c>
      <c r="I2799">
        <v>20</v>
      </c>
      <c r="J2799" t="s">
        <v>20</v>
      </c>
      <c r="K2799">
        <v>2497.8200000000002</v>
      </c>
      <c r="L2799">
        <v>12489.12</v>
      </c>
      <c r="M2799">
        <v>9991.2999999999993</v>
      </c>
      <c r="N2799" t="s">
        <v>101</v>
      </c>
      <c r="O2799">
        <v>2025</v>
      </c>
    </row>
    <row r="2800" spans="1:15" x14ac:dyDescent="0.3">
      <c r="A2800" t="s">
        <v>2885</v>
      </c>
      <c r="B2800" t="s">
        <v>109</v>
      </c>
      <c r="C2800" t="s">
        <v>90</v>
      </c>
      <c r="D2800" t="s">
        <v>105</v>
      </c>
      <c r="E2800" t="s">
        <v>50</v>
      </c>
      <c r="F2800" s="1">
        <v>45355</v>
      </c>
      <c r="G2800">
        <v>4</v>
      </c>
      <c r="H2800">
        <v>3241.91</v>
      </c>
      <c r="I2800">
        <v>15</v>
      </c>
      <c r="J2800" t="s">
        <v>36</v>
      </c>
      <c r="K2800">
        <v>1945.15</v>
      </c>
      <c r="L2800">
        <v>12967.64</v>
      </c>
      <c r="M2800">
        <v>11022.49</v>
      </c>
      <c r="N2800" t="s">
        <v>83</v>
      </c>
      <c r="O2800">
        <v>2024</v>
      </c>
    </row>
    <row r="2801" spans="1:15" x14ac:dyDescent="0.3">
      <c r="A2801" t="s">
        <v>2886</v>
      </c>
      <c r="B2801" t="s">
        <v>93</v>
      </c>
      <c r="C2801" t="s">
        <v>54</v>
      </c>
      <c r="D2801" t="s">
        <v>77</v>
      </c>
      <c r="E2801" t="s">
        <v>81</v>
      </c>
      <c r="F2801" s="1">
        <v>45374</v>
      </c>
      <c r="G2801">
        <v>2</v>
      </c>
      <c r="H2801">
        <v>5509.48</v>
      </c>
      <c r="I2801">
        <v>0</v>
      </c>
      <c r="J2801" t="s">
        <v>26</v>
      </c>
      <c r="K2801">
        <v>0</v>
      </c>
      <c r="L2801">
        <v>11018.96</v>
      </c>
      <c r="M2801">
        <v>11018.96</v>
      </c>
      <c r="N2801" t="s">
        <v>83</v>
      </c>
      <c r="O2801">
        <v>2024</v>
      </c>
    </row>
    <row r="2802" spans="1:15" x14ac:dyDescent="0.3">
      <c r="A2802" t="s">
        <v>2887</v>
      </c>
      <c r="B2802" t="s">
        <v>43</v>
      </c>
      <c r="C2802" t="s">
        <v>17</v>
      </c>
      <c r="D2802" t="s">
        <v>59</v>
      </c>
      <c r="E2802" t="s">
        <v>56</v>
      </c>
      <c r="F2802" s="1">
        <v>45538</v>
      </c>
      <c r="G2802">
        <v>2</v>
      </c>
      <c r="H2802">
        <v>27188.83</v>
      </c>
      <c r="I2802">
        <v>15</v>
      </c>
      <c r="J2802" t="s">
        <v>82</v>
      </c>
      <c r="K2802">
        <v>8156.65</v>
      </c>
      <c r="L2802">
        <v>54377.66</v>
      </c>
      <c r="M2802">
        <v>46221.01</v>
      </c>
      <c r="N2802" t="s">
        <v>86</v>
      </c>
      <c r="O2802">
        <v>2024</v>
      </c>
    </row>
    <row r="2803" spans="1:15" x14ac:dyDescent="0.3">
      <c r="A2803" t="s">
        <v>2888</v>
      </c>
      <c r="B2803" t="s">
        <v>38</v>
      </c>
      <c r="C2803" t="s">
        <v>17</v>
      </c>
      <c r="D2803" t="s">
        <v>24</v>
      </c>
      <c r="E2803" t="s">
        <v>56</v>
      </c>
      <c r="F2803" s="1">
        <v>45338</v>
      </c>
      <c r="G2803">
        <v>2</v>
      </c>
      <c r="H2803">
        <v>3363.47</v>
      </c>
      <c r="I2803">
        <v>15</v>
      </c>
      <c r="J2803" t="s">
        <v>31</v>
      </c>
      <c r="K2803">
        <v>1009.04</v>
      </c>
      <c r="L2803">
        <v>6726.94</v>
      </c>
      <c r="M2803">
        <v>5717.9</v>
      </c>
      <c r="N2803" t="s">
        <v>41</v>
      </c>
      <c r="O2803">
        <v>2024</v>
      </c>
    </row>
    <row r="2804" spans="1:15" x14ac:dyDescent="0.3">
      <c r="A2804" t="s">
        <v>2889</v>
      </c>
      <c r="B2804" t="s">
        <v>61</v>
      </c>
      <c r="C2804" t="s">
        <v>34</v>
      </c>
      <c r="D2804" t="s">
        <v>48</v>
      </c>
      <c r="E2804" t="s">
        <v>30</v>
      </c>
      <c r="F2804" s="1">
        <v>45811</v>
      </c>
      <c r="G2804">
        <v>5</v>
      </c>
      <c r="H2804">
        <v>7397.04</v>
      </c>
      <c r="I2804">
        <v>10</v>
      </c>
      <c r="J2804" t="s">
        <v>26</v>
      </c>
      <c r="K2804">
        <v>3698.52</v>
      </c>
      <c r="L2804">
        <v>36985.199999999997</v>
      </c>
      <c r="M2804">
        <v>33286.68</v>
      </c>
      <c r="N2804" t="s">
        <v>72</v>
      </c>
      <c r="O2804">
        <v>2025</v>
      </c>
    </row>
    <row r="2805" spans="1:15" x14ac:dyDescent="0.3">
      <c r="A2805" t="s">
        <v>2890</v>
      </c>
      <c r="B2805" t="s">
        <v>33</v>
      </c>
      <c r="C2805" t="s">
        <v>90</v>
      </c>
      <c r="D2805" t="s">
        <v>91</v>
      </c>
      <c r="E2805" t="s">
        <v>44</v>
      </c>
      <c r="F2805" s="1">
        <v>45301</v>
      </c>
      <c r="G2805">
        <v>2</v>
      </c>
      <c r="H2805">
        <v>1378.89</v>
      </c>
      <c r="I2805">
        <v>15</v>
      </c>
      <c r="J2805" t="s">
        <v>45</v>
      </c>
      <c r="K2805">
        <v>413.67</v>
      </c>
      <c r="L2805">
        <v>2757.78</v>
      </c>
      <c r="M2805">
        <v>2344.11</v>
      </c>
      <c r="N2805" t="s">
        <v>116</v>
      </c>
      <c r="O2805">
        <v>2024</v>
      </c>
    </row>
    <row r="2806" spans="1:15" x14ac:dyDescent="0.3">
      <c r="A2806" t="s">
        <v>2891</v>
      </c>
      <c r="B2806" t="s">
        <v>33</v>
      </c>
      <c r="C2806" t="s">
        <v>62</v>
      </c>
      <c r="D2806" t="s">
        <v>63</v>
      </c>
      <c r="E2806" t="s">
        <v>81</v>
      </c>
      <c r="F2806" s="1">
        <v>46015</v>
      </c>
      <c r="G2806">
        <v>2</v>
      </c>
      <c r="H2806">
        <v>1793.2</v>
      </c>
      <c r="I2806">
        <v>5</v>
      </c>
      <c r="J2806" t="s">
        <v>36</v>
      </c>
      <c r="K2806">
        <v>179.32</v>
      </c>
      <c r="L2806">
        <v>3586.4</v>
      </c>
      <c r="M2806">
        <v>3407.08</v>
      </c>
      <c r="N2806" t="s">
        <v>51</v>
      </c>
      <c r="O2806">
        <v>2025</v>
      </c>
    </row>
    <row r="2807" spans="1:15" x14ac:dyDescent="0.3">
      <c r="A2807" t="s">
        <v>2892</v>
      </c>
      <c r="B2807" t="s">
        <v>61</v>
      </c>
      <c r="C2807" t="s">
        <v>54</v>
      </c>
      <c r="D2807" t="s">
        <v>77</v>
      </c>
      <c r="E2807" t="s">
        <v>44</v>
      </c>
      <c r="F2807" s="1">
        <v>45827</v>
      </c>
      <c r="G2807">
        <v>1</v>
      </c>
      <c r="H2807">
        <v>5089.59</v>
      </c>
      <c r="I2807">
        <v>15</v>
      </c>
      <c r="J2807" t="s">
        <v>71</v>
      </c>
      <c r="K2807">
        <v>763.44</v>
      </c>
      <c r="L2807">
        <v>5089.59</v>
      </c>
      <c r="M2807">
        <v>4326.1499999999996</v>
      </c>
      <c r="N2807" t="s">
        <v>72</v>
      </c>
      <c r="O2807">
        <v>2025</v>
      </c>
    </row>
    <row r="2808" spans="1:15" x14ac:dyDescent="0.3">
      <c r="A2808" t="s">
        <v>2893</v>
      </c>
      <c r="B2808" t="s">
        <v>16</v>
      </c>
      <c r="C2808" t="s">
        <v>54</v>
      </c>
      <c r="D2808" t="s">
        <v>70</v>
      </c>
      <c r="E2808" t="s">
        <v>50</v>
      </c>
      <c r="F2808" s="1">
        <v>45406</v>
      </c>
      <c r="G2808">
        <v>7</v>
      </c>
      <c r="H2808">
        <v>2316.11</v>
      </c>
      <c r="I2808">
        <v>0</v>
      </c>
      <c r="J2808" t="s">
        <v>71</v>
      </c>
      <c r="K2808">
        <v>0</v>
      </c>
      <c r="L2808">
        <v>16212.77</v>
      </c>
      <c r="M2808">
        <v>16212.77</v>
      </c>
      <c r="N2808" t="s">
        <v>27</v>
      </c>
      <c r="O2808">
        <v>2024</v>
      </c>
    </row>
    <row r="2809" spans="1:15" x14ac:dyDescent="0.3">
      <c r="A2809" t="s">
        <v>2894</v>
      </c>
      <c r="B2809" t="s">
        <v>47</v>
      </c>
      <c r="C2809" t="s">
        <v>54</v>
      </c>
      <c r="D2809" t="s">
        <v>77</v>
      </c>
      <c r="E2809" t="s">
        <v>44</v>
      </c>
      <c r="F2809" s="1">
        <v>45450</v>
      </c>
      <c r="G2809">
        <v>3</v>
      </c>
      <c r="H2809">
        <v>5617.2</v>
      </c>
      <c r="I2809">
        <v>20</v>
      </c>
      <c r="J2809" t="s">
        <v>71</v>
      </c>
      <c r="K2809">
        <v>3370.32</v>
      </c>
      <c r="L2809">
        <v>16851.599999999999</v>
      </c>
      <c r="M2809">
        <v>13481.28</v>
      </c>
      <c r="N2809" t="s">
        <v>72</v>
      </c>
      <c r="O2809">
        <v>2024</v>
      </c>
    </row>
    <row r="2810" spans="1:15" x14ac:dyDescent="0.3">
      <c r="A2810" t="s">
        <v>2895</v>
      </c>
      <c r="B2810" t="s">
        <v>43</v>
      </c>
      <c r="C2810" t="s">
        <v>54</v>
      </c>
      <c r="D2810" t="s">
        <v>68</v>
      </c>
      <c r="E2810" t="s">
        <v>56</v>
      </c>
      <c r="F2810" s="1">
        <v>45415</v>
      </c>
      <c r="G2810">
        <v>9</v>
      </c>
      <c r="H2810">
        <v>4272.71</v>
      </c>
      <c r="I2810">
        <v>10</v>
      </c>
      <c r="J2810" t="s">
        <v>71</v>
      </c>
      <c r="K2810">
        <v>3845.44</v>
      </c>
      <c r="L2810">
        <v>38454.39</v>
      </c>
      <c r="M2810">
        <v>34608.949999999997</v>
      </c>
      <c r="N2810" t="s">
        <v>101</v>
      </c>
      <c r="O2810">
        <v>2024</v>
      </c>
    </row>
    <row r="2811" spans="1:15" x14ac:dyDescent="0.3">
      <c r="A2811" t="s">
        <v>2896</v>
      </c>
      <c r="B2811" t="s">
        <v>89</v>
      </c>
      <c r="C2811" t="s">
        <v>34</v>
      </c>
      <c r="D2811" t="s">
        <v>80</v>
      </c>
      <c r="E2811" t="s">
        <v>56</v>
      </c>
      <c r="F2811" s="1">
        <v>45299</v>
      </c>
      <c r="G2811">
        <v>3</v>
      </c>
      <c r="H2811">
        <v>6597.4</v>
      </c>
      <c r="I2811">
        <v>20</v>
      </c>
      <c r="J2811" t="s">
        <v>82</v>
      </c>
      <c r="K2811">
        <v>3958.44</v>
      </c>
      <c r="L2811">
        <v>19792.2</v>
      </c>
      <c r="M2811">
        <v>15833.76</v>
      </c>
      <c r="N2811" t="s">
        <v>116</v>
      </c>
      <c r="O2811">
        <v>2024</v>
      </c>
    </row>
    <row r="2812" spans="1:15" x14ac:dyDescent="0.3">
      <c r="A2812" t="s">
        <v>2897</v>
      </c>
      <c r="B2812" t="s">
        <v>33</v>
      </c>
      <c r="C2812" t="s">
        <v>17</v>
      </c>
      <c r="D2812" t="s">
        <v>24</v>
      </c>
      <c r="E2812" t="s">
        <v>44</v>
      </c>
      <c r="F2812" s="1">
        <v>45768</v>
      </c>
      <c r="G2812">
        <v>9</v>
      </c>
      <c r="H2812">
        <v>2723.61</v>
      </c>
      <c r="I2812">
        <v>5</v>
      </c>
      <c r="J2812" t="s">
        <v>45</v>
      </c>
      <c r="K2812">
        <v>1225.6199999999999</v>
      </c>
      <c r="L2812">
        <v>24512.49</v>
      </c>
      <c r="M2812">
        <v>23286.87</v>
      </c>
      <c r="N2812" t="s">
        <v>27</v>
      </c>
      <c r="O2812">
        <v>2025</v>
      </c>
    </row>
    <row r="2813" spans="1:15" x14ac:dyDescent="0.3">
      <c r="A2813" t="s">
        <v>2898</v>
      </c>
      <c r="B2813" t="s">
        <v>29</v>
      </c>
      <c r="C2813" t="s">
        <v>62</v>
      </c>
      <c r="D2813" t="s">
        <v>119</v>
      </c>
      <c r="E2813" t="s">
        <v>44</v>
      </c>
      <c r="F2813" s="1">
        <v>45510</v>
      </c>
      <c r="G2813">
        <v>7</v>
      </c>
      <c r="H2813">
        <v>3993.51</v>
      </c>
      <c r="I2813">
        <v>5</v>
      </c>
      <c r="J2813" t="s">
        <v>36</v>
      </c>
      <c r="K2813">
        <v>1397.73</v>
      </c>
      <c r="L2813">
        <v>27954.57</v>
      </c>
      <c r="M2813">
        <v>26556.84</v>
      </c>
      <c r="N2813" t="s">
        <v>21</v>
      </c>
      <c r="O2813">
        <v>2024</v>
      </c>
    </row>
    <row r="2814" spans="1:15" x14ac:dyDescent="0.3">
      <c r="A2814" t="s">
        <v>2899</v>
      </c>
      <c r="B2814" t="s">
        <v>93</v>
      </c>
      <c r="C2814" t="s">
        <v>17</v>
      </c>
      <c r="D2814" t="s">
        <v>157</v>
      </c>
      <c r="E2814" t="s">
        <v>25</v>
      </c>
      <c r="F2814" s="1">
        <v>45908</v>
      </c>
      <c r="G2814">
        <v>7</v>
      </c>
      <c r="H2814">
        <v>7265.1</v>
      </c>
      <c r="I2814">
        <v>15</v>
      </c>
      <c r="J2814" t="s">
        <v>31</v>
      </c>
      <c r="K2814">
        <v>7628.35</v>
      </c>
      <c r="L2814">
        <v>50855.7</v>
      </c>
      <c r="M2814">
        <v>43227.35</v>
      </c>
      <c r="N2814" t="s">
        <v>86</v>
      </c>
      <c r="O2814">
        <v>2025</v>
      </c>
    </row>
    <row r="2815" spans="1:15" x14ac:dyDescent="0.3">
      <c r="A2815" t="s">
        <v>2900</v>
      </c>
      <c r="B2815" t="s">
        <v>61</v>
      </c>
      <c r="C2815" t="s">
        <v>62</v>
      </c>
      <c r="D2815" t="s">
        <v>99</v>
      </c>
      <c r="E2815" t="s">
        <v>56</v>
      </c>
      <c r="F2815" s="1">
        <v>45690</v>
      </c>
      <c r="G2815">
        <v>8</v>
      </c>
      <c r="H2815">
        <v>1605.84</v>
      </c>
      <c r="I2815">
        <v>10</v>
      </c>
      <c r="J2815" t="s">
        <v>26</v>
      </c>
      <c r="K2815">
        <v>1284.67</v>
      </c>
      <c r="L2815">
        <v>12846.72</v>
      </c>
      <c r="M2815">
        <v>11562.05</v>
      </c>
      <c r="N2815" t="s">
        <v>41</v>
      </c>
      <c r="O2815">
        <v>2025</v>
      </c>
    </row>
    <row r="2816" spans="1:15" x14ac:dyDescent="0.3">
      <c r="A2816" t="s">
        <v>2901</v>
      </c>
      <c r="B2816" t="s">
        <v>93</v>
      </c>
      <c r="C2816" t="s">
        <v>17</v>
      </c>
      <c r="D2816" t="s">
        <v>157</v>
      </c>
      <c r="E2816" t="s">
        <v>30</v>
      </c>
      <c r="F2816" s="1">
        <v>45543</v>
      </c>
      <c r="G2816">
        <v>10</v>
      </c>
      <c r="H2816">
        <v>7786.98</v>
      </c>
      <c r="I2816">
        <v>10</v>
      </c>
      <c r="J2816" t="s">
        <v>82</v>
      </c>
      <c r="K2816">
        <v>7786.98</v>
      </c>
      <c r="L2816">
        <v>77869.8</v>
      </c>
      <c r="M2816">
        <v>70082.820000000007</v>
      </c>
      <c r="N2816" t="s">
        <v>86</v>
      </c>
      <c r="O2816">
        <v>2024</v>
      </c>
    </row>
    <row r="2817" spans="1:15" x14ac:dyDescent="0.3">
      <c r="A2817" t="s">
        <v>2902</v>
      </c>
      <c r="B2817" t="s">
        <v>33</v>
      </c>
      <c r="C2817" t="s">
        <v>34</v>
      </c>
      <c r="D2817" t="s">
        <v>80</v>
      </c>
      <c r="E2817" t="s">
        <v>25</v>
      </c>
      <c r="F2817" s="1">
        <v>45708</v>
      </c>
      <c r="G2817">
        <v>5</v>
      </c>
      <c r="H2817">
        <v>6635.18</v>
      </c>
      <c r="I2817">
        <v>15</v>
      </c>
      <c r="J2817" t="s">
        <v>82</v>
      </c>
      <c r="K2817">
        <v>4976.3900000000003</v>
      </c>
      <c r="L2817">
        <v>33175.9</v>
      </c>
      <c r="M2817">
        <v>28199.51</v>
      </c>
      <c r="N2817" t="s">
        <v>41</v>
      </c>
      <c r="O2817">
        <v>2025</v>
      </c>
    </row>
    <row r="2818" spans="1:15" x14ac:dyDescent="0.3">
      <c r="A2818" t="s">
        <v>2903</v>
      </c>
      <c r="B2818" t="s">
        <v>89</v>
      </c>
      <c r="C2818" t="s">
        <v>17</v>
      </c>
      <c r="D2818" t="s">
        <v>18</v>
      </c>
      <c r="E2818" t="s">
        <v>25</v>
      </c>
      <c r="F2818" s="1">
        <v>45494</v>
      </c>
      <c r="G2818">
        <v>6</v>
      </c>
      <c r="H2818">
        <v>59254.34</v>
      </c>
      <c r="I2818">
        <v>20</v>
      </c>
      <c r="J2818" t="s">
        <v>20</v>
      </c>
      <c r="K2818">
        <v>71105.210000000006</v>
      </c>
      <c r="L2818">
        <v>355526.04</v>
      </c>
      <c r="M2818">
        <v>284420.83</v>
      </c>
      <c r="N2818" t="s">
        <v>122</v>
      </c>
      <c r="O2818">
        <v>2024</v>
      </c>
    </row>
    <row r="2819" spans="1:15" x14ac:dyDescent="0.3">
      <c r="A2819" t="s">
        <v>2904</v>
      </c>
      <c r="B2819" t="s">
        <v>43</v>
      </c>
      <c r="C2819" t="s">
        <v>62</v>
      </c>
      <c r="D2819" t="s">
        <v>63</v>
      </c>
      <c r="E2819" t="s">
        <v>44</v>
      </c>
      <c r="F2819" s="1">
        <v>46011</v>
      </c>
      <c r="G2819">
        <v>2</v>
      </c>
      <c r="H2819">
        <v>2088.9</v>
      </c>
      <c r="I2819">
        <v>5</v>
      </c>
      <c r="J2819" t="s">
        <v>20</v>
      </c>
      <c r="K2819">
        <v>208.89</v>
      </c>
      <c r="L2819">
        <v>4177.8</v>
      </c>
      <c r="M2819">
        <v>3968.91</v>
      </c>
      <c r="N2819" t="s">
        <v>51</v>
      </c>
      <c r="O2819">
        <v>2025</v>
      </c>
    </row>
    <row r="2820" spans="1:15" x14ac:dyDescent="0.3">
      <c r="A2820" t="s">
        <v>2905</v>
      </c>
      <c r="B2820" t="s">
        <v>43</v>
      </c>
      <c r="C2820" t="s">
        <v>54</v>
      </c>
      <c r="D2820" t="s">
        <v>55</v>
      </c>
      <c r="E2820" t="s">
        <v>81</v>
      </c>
      <c r="F2820" s="1">
        <v>45807</v>
      </c>
      <c r="G2820">
        <v>2</v>
      </c>
      <c r="H2820">
        <v>1146.1199999999999</v>
      </c>
      <c r="I2820">
        <v>0</v>
      </c>
      <c r="J2820" t="s">
        <v>40</v>
      </c>
      <c r="K2820">
        <v>0</v>
      </c>
      <c r="L2820">
        <v>2292.2399999999998</v>
      </c>
      <c r="M2820">
        <v>2292.2399999999998</v>
      </c>
      <c r="N2820" t="s">
        <v>101</v>
      </c>
      <c r="O2820">
        <v>2025</v>
      </c>
    </row>
    <row r="2821" spans="1:15" x14ac:dyDescent="0.3">
      <c r="A2821" t="s">
        <v>2906</v>
      </c>
      <c r="B2821" t="s">
        <v>16</v>
      </c>
      <c r="C2821" t="s">
        <v>62</v>
      </c>
      <c r="D2821" t="s">
        <v>95</v>
      </c>
      <c r="E2821" t="s">
        <v>56</v>
      </c>
      <c r="F2821" s="1">
        <v>45307</v>
      </c>
      <c r="G2821">
        <v>6</v>
      </c>
      <c r="H2821">
        <v>891.63</v>
      </c>
      <c r="I2821">
        <v>0</v>
      </c>
      <c r="J2821" t="s">
        <v>82</v>
      </c>
      <c r="K2821">
        <v>0</v>
      </c>
      <c r="L2821">
        <v>5349.78</v>
      </c>
      <c r="M2821">
        <v>5349.78</v>
      </c>
      <c r="N2821" t="s">
        <v>116</v>
      </c>
      <c r="O2821">
        <v>2024</v>
      </c>
    </row>
    <row r="2822" spans="1:15" x14ac:dyDescent="0.3">
      <c r="A2822" t="s">
        <v>2907</v>
      </c>
      <c r="B2822" t="s">
        <v>33</v>
      </c>
      <c r="C2822" t="s">
        <v>34</v>
      </c>
      <c r="D2822" t="s">
        <v>80</v>
      </c>
      <c r="E2822" t="s">
        <v>25</v>
      </c>
      <c r="F2822" s="1">
        <v>45779</v>
      </c>
      <c r="G2822">
        <v>6</v>
      </c>
      <c r="H2822">
        <v>6545.48</v>
      </c>
      <c r="I2822">
        <v>20</v>
      </c>
      <c r="J2822" t="s">
        <v>31</v>
      </c>
      <c r="K2822">
        <v>7854.58</v>
      </c>
      <c r="L2822">
        <v>39272.879999999997</v>
      </c>
      <c r="M2822">
        <v>31418.3</v>
      </c>
      <c r="N2822" t="s">
        <v>101</v>
      </c>
      <c r="O2822">
        <v>2025</v>
      </c>
    </row>
    <row r="2823" spans="1:15" x14ac:dyDescent="0.3">
      <c r="A2823" t="s">
        <v>2908</v>
      </c>
      <c r="B2823" t="s">
        <v>23</v>
      </c>
      <c r="C2823" t="s">
        <v>90</v>
      </c>
      <c r="D2823" t="s">
        <v>115</v>
      </c>
      <c r="E2823" t="s">
        <v>30</v>
      </c>
      <c r="F2823" s="1">
        <v>45528</v>
      </c>
      <c r="G2823">
        <v>10</v>
      </c>
      <c r="H2823">
        <v>8925</v>
      </c>
      <c r="I2823">
        <v>5</v>
      </c>
      <c r="J2823" t="s">
        <v>20</v>
      </c>
      <c r="K2823">
        <v>4462.5</v>
      </c>
      <c r="L2823">
        <v>89250</v>
      </c>
      <c r="M2823">
        <v>84787.5</v>
      </c>
      <c r="N2823" t="s">
        <v>21</v>
      </c>
      <c r="O2823">
        <v>2024</v>
      </c>
    </row>
    <row r="2824" spans="1:15" x14ac:dyDescent="0.3">
      <c r="A2824" t="s">
        <v>2909</v>
      </c>
      <c r="B2824" t="s">
        <v>47</v>
      </c>
      <c r="C2824" t="s">
        <v>62</v>
      </c>
      <c r="D2824" t="s">
        <v>132</v>
      </c>
      <c r="E2824" t="s">
        <v>25</v>
      </c>
      <c r="F2824" s="1">
        <v>45625</v>
      </c>
      <c r="G2824">
        <v>1</v>
      </c>
      <c r="H2824">
        <v>3038.88</v>
      </c>
      <c r="I2824">
        <v>10</v>
      </c>
      <c r="J2824" t="s">
        <v>26</v>
      </c>
      <c r="K2824">
        <v>303.89</v>
      </c>
      <c r="L2824">
        <v>3038.88</v>
      </c>
      <c r="M2824">
        <v>2734.99</v>
      </c>
      <c r="N2824" t="s">
        <v>96</v>
      </c>
      <c r="O2824">
        <v>2024</v>
      </c>
    </row>
    <row r="2825" spans="1:15" x14ac:dyDescent="0.3">
      <c r="A2825" t="s">
        <v>2910</v>
      </c>
      <c r="B2825" t="s">
        <v>43</v>
      </c>
      <c r="C2825" t="s">
        <v>90</v>
      </c>
      <c r="D2825" t="s">
        <v>152</v>
      </c>
      <c r="E2825" t="s">
        <v>44</v>
      </c>
      <c r="F2825" s="1">
        <v>45794</v>
      </c>
      <c r="G2825">
        <v>9</v>
      </c>
      <c r="H2825">
        <v>11050.66</v>
      </c>
      <c r="I2825">
        <v>20</v>
      </c>
      <c r="J2825" t="s">
        <v>36</v>
      </c>
      <c r="K2825">
        <v>19891.189999999999</v>
      </c>
      <c r="L2825">
        <v>99455.94</v>
      </c>
      <c r="M2825">
        <v>79564.75</v>
      </c>
      <c r="N2825" t="s">
        <v>101</v>
      </c>
      <c r="O2825">
        <v>2025</v>
      </c>
    </row>
    <row r="2826" spans="1:15" x14ac:dyDescent="0.3">
      <c r="A2826" t="s">
        <v>2911</v>
      </c>
      <c r="B2826" t="s">
        <v>33</v>
      </c>
      <c r="C2826" t="s">
        <v>90</v>
      </c>
      <c r="D2826" t="s">
        <v>105</v>
      </c>
      <c r="E2826" t="s">
        <v>56</v>
      </c>
      <c r="F2826" s="1">
        <v>45857</v>
      </c>
      <c r="G2826">
        <v>6</v>
      </c>
      <c r="H2826">
        <v>3430.83</v>
      </c>
      <c r="I2826">
        <v>0</v>
      </c>
      <c r="J2826" t="s">
        <v>20</v>
      </c>
      <c r="K2826">
        <v>0</v>
      </c>
      <c r="L2826">
        <v>20584.98</v>
      </c>
      <c r="M2826">
        <v>20584.98</v>
      </c>
      <c r="N2826" t="s">
        <v>122</v>
      </c>
      <c r="O2826">
        <v>2025</v>
      </c>
    </row>
    <row r="2827" spans="1:15" x14ac:dyDescent="0.3">
      <c r="A2827" t="s">
        <v>2912</v>
      </c>
      <c r="B2827" t="s">
        <v>74</v>
      </c>
      <c r="C2827" t="s">
        <v>34</v>
      </c>
      <c r="D2827" t="s">
        <v>66</v>
      </c>
      <c r="E2827" t="s">
        <v>25</v>
      </c>
      <c r="F2827" s="1">
        <v>45796</v>
      </c>
      <c r="G2827">
        <v>6</v>
      </c>
      <c r="H2827">
        <v>44071.8</v>
      </c>
      <c r="I2827">
        <v>5</v>
      </c>
      <c r="J2827" t="s">
        <v>71</v>
      </c>
      <c r="K2827">
        <v>13221.54</v>
      </c>
      <c r="L2827">
        <v>264430.8</v>
      </c>
      <c r="M2827">
        <v>251209.26</v>
      </c>
      <c r="N2827" t="s">
        <v>101</v>
      </c>
      <c r="O2827">
        <v>2025</v>
      </c>
    </row>
    <row r="2828" spans="1:15" x14ac:dyDescent="0.3">
      <c r="A2828" t="s">
        <v>2913</v>
      </c>
      <c r="B2828" t="s">
        <v>33</v>
      </c>
      <c r="C2828" t="s">
        <v>34</v>
      </c>
      <c r="D2828" t="s">
        <v>66</v>
      </c>
      <c r="E2828" t="s">
        <v>44</v>
      </c>
      <c r="F2828" s="1">
        <v>45810</v>
      </c>
      <c r="G2828">
        <v>2</v>
      </c>
      <c r="H2828">
        <v>39413.660000000003</v>
      </c>
      <c r="I2828">
        <v>10</v>
      </c>
      <c r="J2828" t="s">
        <v>71</v>
      </c>
      <c r="K2828">
        <v>7882.73</v>
      </c>
      <c r="L2828">
        <v>78827.320000000007</v>
      </c>
      <c r="M2828">
        <v>70944.59</v>
      </c>
      <c r="N2828" t="s">
        <v>72</v>
      </c>
      <c r="O2828">
        <v>2025</v>
      </c>
    </row>
    <row r="2829" spans="1:15" x14ac:dyDescent="0.3">
      <c r="A2829" t="s">
        <v>2914</v>
      </c>
      <c r="B2829" t="s">
        <v>38</v>
      </c>
      <c r="C2829" t="s">
        <v>34</v>
      </c>
      <c r="D2829" t="s">
        <v>35</v>
      </c>
      <c r="E2829" t="s">
        <v>30</v>
      </c>
      <c r="F2829" s="1">
        <v>45979</v>
      </c>
      <c r="G2829">
        <v>10</v>
      </c>
      <c r="H2829">
        <v>27925.29</v>
      </c>
      <c r="I2829">
        <v>5</v>
      </c>
      <c r="J2829" t="s">
        <v>26</v>
      </c>
      <c r="K2829">
        <v>13962.65</v>
      </c>
      <c r="L2829">
        <v>279252.90000000002</v>
      </c>
      <c r="M2829">
        <v>265290.25</v>
      </c>
      <c r="N2829" t="s">
        <v>96</v>
      </c>
      <c r="O2829">
        <v>2025</v>
      </c>
    </row>
    <row r="2830" spans="1:15" x14ac:dyDescent="0.3">
      <c r="A2830" t="s">
        <v>2915</v>
      </c>
      <c r="B2830" t="s">
        <v>53</v>
      </c>
      <c r="C2830" t="s">
        <v>90</v>
      </c>
      <c r="D2830" t="s">
        <v>105</v>
      </c>
      <c r="E2830" t="s">
        <v>19</v>
      </c>
      <c r="F2830" s="1">
        <v>45737</v>
      </c>
      <c r="G2830">
        <v>6</v>
      </c>
      <c r="H2830">
        <v>3825.24</v>
      </c>
      <c r="I2830">
        <v>15</v>
      </c>
      <c r="J2830" t="s">
        <v>40</v>
      </c>
      <c r="K2830">
        <v>3442.72</v>
      </c>
      <c r="L2830">
        <v>22951.439999999999</v>
      </c>
      <c r="M2830">
        <v>19508.72</v>
      </c>
      <c r="N2830" t="s">
        <v>83</v>
      </c>
      <c r="O2830">
        <v>2025</v>
      </c>
    </row>
    <row r="2831" spans="1:15" x14ac:dyDescent="0.3">
      <c r="A2831" t="s">
        <v>2916</v>
      </c>
      <c r="B2831" t="s">
        <v>53</v>
      </c>
      <c r="C2831" t="s">
        <v>90</v>
      </c>
      <c r="D2831" t="s">
        <v>152</v>
      </c>
      <c r="E2831" t="s">
        <v>25</v>
      </c>
      <c r="F2831" s="1">
        <v>45358</v>
      </c>
      <c r="G2831">
        <v>8</v>
      </c>
      <c r="H2831">
        <v>9254.36</v>
      </c>
      <c r="I2831">
        <v>15</v>
      </c>
      <c r="J2831" t="s">
        <v>45</v>
      </c>
      <c r="K2831">
        <v>11105.23</v>
      </c>
      <c r="L2831">
        <v>74034.880000000005</v>
      </c>
      <c r="M2831">
        <v>62929.65</v>
      </c>
      <c r="N2831" t="s">
        <v>83</v>
      </c>
      <c r="O2831">
        <v>2024</v>
      </c>
    </row>
    <row r="2832" spans="1:15" x14ac:dyDescent="0.3">
      <c r="A2832" t="s">
        <v>2917</v>
      </c>
      <c r="B2832" t="s">
        <v>38</v>
      </c>
      <c r="C2832" t="s">
        <v>34</v>
      </c>
      <c r="D2832" t="s">
        <v>80</v>
      </c>
      <c r="E2832" t="s">
        <v>81</v>
      </c>
      <c r="F2832" s="1">
        <v>45417</v>
      </c>
      <c r="G2832">
        <v>6</v>
      </c>
      <c r="H2832">
        <v>5976.41</v>
      </c>
      <c r="I2832">
        <v>10</v>
      </c>
      <c r="J2832" t="s">
        <v>71</v>
      </c>
      <c r="K2832">
        <v>3585.85</v>
      </c>
      <c r="L2832">
        <v>35858.46</v>
      </c>
      <c r="M2832">
        <v>32272.61</v>
      </c>
      <c r="N2832" t="s">
        <v>101</v>
      </c>
      <c r="O2832">
        <v>2024</v>
      </c>
    </row>
    <row r="2833" spans="1:15" x14ac:dyDescent="0.3">
      <c r="A2833" t="s">
        <v>2918</v>
      </c>
      <c r="B2833" t="s">
        <v>61</v>
      </c>
      <c r="C2833" t="s">
        <v>90</v>
      </c>
      <c r="D2833" t="s">
        <v>91</v>
      </c>
      <c r="E2833" t="s">
        <v>44</v>
      </c>
      <c r="F2833" s="1">
        <v>45784</v>
      </c>
      <c r="G2833">
        <v>1</v>
      </c>
      <c r="H2833">
        <v>1431.19</v>
      </c>
      <c r="I2833">
        <v>15</v>
      </c>
      <c r="J2833" t="s">
        <v>20</v>
      </c>
      <c r="K2833">
        <v>214.68</v>
      </c>
      <c r="L2833">
        <v>1431.19</v>
      </c>
      <c r="M2833">
        <v>1216.51</v>
      </c>
      <c r="N2833" t="s">
        <v>101</v>
      </c>
      <c r="O2833">
        <v>2025</v>
      </c>
    </row>
    <row r="2834" spans="1:15" x14ac:dyDescent="0.3">
      <c r="A2834" t="s">
        <v>2919</v>
      </c>
      <c r="B2834" t="s">
        <v>29</v>
      </c>
      <c r="C2834" t="s">
        <v>62</v>
      </c>
      <c r="D2834" t="s">
        <v>119</v>
      </c>
      <c r="E2834" t="s">
        <v>81</v>
      </c>
      <c r="F2834" s="1">
        <v>45482</v>
      </c>
      <c r="G2834">
        <v>8</v>
      </c>
      <c r="H2834">
        <v>3409.44</v>
      </c>
      <c r="I2834">
        <v>0</v>
      </c>
      <c r="J2834" t="s">
        <v>26</v>
      </c>
      <c r="K2834">
        <v>0</v>
      </c>
      <c r="L2834">
        <v>27275.52</v>
      </c>
      <c r="M2834">
        <v>27275.52</v>
      </c>
      <c r="N2834" t="s">
        <v>122</v>
      </c>
      <c r="O2834">
        <v>2024</v>
      </c>
    </row>
    <row r="2835" spans="1:15" x14ac:dyDescent="0.3">
      <c r="A2835" t="s">
        <v>2920</v>
      </c>
      <c r="B2835" t="s">
        <v>38</v>
      </c>
      <c r="C2835" t="s">
        <v>62</v>
      </c>
      <c r="D2835" t="s">
        <v>132</v>
      </c>
      <c r="E2835" t="s">
        <v>19</v>
      </c>
      <c r="F2835" s="1">
        <v>45979</v>
      </c>
      <c r="G2835">
        <v>3</v>
      </c>
      <c r="H2835">
        <v>2738.53</v>
      </c>
      <c r="I2835">
        <v>5</v>
      </c>
      <c r="J2835" t="s">
        <v>71</v>
      </c>
      <c r="K2835">
        <v>410.78</v>
      </c>
      <c r="L2835">
        <v>8215.59</v>
      </c>
      <c r="M2835">
        <v>7804.81</v>
      </c>
      <c r="N2835" t="s">
        <v>96</v>
      </c>
      <c r="O2835">
        <v>2025</v>
      </c>
    </row>
    <row r="2836" spans="1:15" x14ac:dyDescent="0.3">
      <c r="A2836" t="s">
        <v>2921</v>
      </c>
      <c r="B2836" t="s">
        <v>33</v>
      </c>
      <c r="C2836" t="s">
        <v>54</v>
      </c>
      <c r="D2836" t="s">
        <v>55</v>
      </c>
      <c r="E2836" t="s">
        <v>19</v>
      </c>
      <c r="F2836" s="1">
        <v>45993</v>
      </c>
      <c r="G2836">
        <v>9</v>
      </c>
      <c r="H2836">
        <v>1320.93</v>
      </c>
      <c r="I2836">
        <v>5</v>
      </c>
      <c r="J2836" t="s">
        <v>31</v>
      </c>
      <c r="K2836">
        <v>594.41999999999996</v>
      </c>
      <c r="L2836">
        <v>11888.37</v>
      </c>
      <c r="M2836">
        <v>11293.95</v>
      </c>
      <c r="N2836" t="s">
        <v>51</v>
      </c>
      <c r="O2836">
        <v>2025</v>
      </c>
    </row>
    <row r="2837" spans="1:15" x14ac:dyDescent="0.3">
      <c r="A2837" t="s">
        <v>2922</v>
      </c>
      <c r="B2837" t="s">
        <v>65</v>
      </c>
      <c r="C2837" t="s">
        <v>90</v>
      </c>
      <c r="D2837" t="s">
        <v>107</v>
      </c>
      <c r="E2837" t="s">
        <v>81</v>
      </c>
      <c r="F2837" s="1">
        <v>45338</v>
      </c>
      <c r="G2837">
        <v>8</v>
      </c>
      <c r="H2837">
        <v>12049.86</v>
      </c>
      <c r="I2837">
        <v>10</v>
      </c>
      <c r="J2837" t="s">
        <v>40</v>
      </c>
      <c r="K2837">
        <v>9639.89</v>
      </c>
      <c r="L2837">
        <v>96398.88</v>
      </c>
      <c r="M2837">
        <v>86758.99</v>
      </c>
      <c r="N2837" t="s">
        <v>41</v>
      </c>
      <c r="O2837">
        <v>2024</v>
      </c>
    </row>
    <row r="2838" spans="1:15" x14ac:dyDescent="0.3">
      <c r="A2838" t="s">
        <v>2923</v>
      </c>
      <c r="B2838" t="s">
        <v>89</v>
      </c>
      <c r="C2838" t="s">
        <v>34</v>
      </c>
      <c r="D2838" t="s">
        <v>80</v>
      </c>
      <c r="E2838" t="s">
        <v>30</v>
      </c>
      <c r="F2838" s="1">
        <v>45991</v>
      </c>
      <c r="G2838">
        <v>4</v>
      </c>
      <c r="H2838">
        <v>6177.3</v>
      </c>
      <c r="I2838">
        <v>0</v>
      </c>
      <c r="J2838" t="s">
        <v>31</v>
      </c>
      <c r="K2838">
        <v>0</v>
      </c>
      <c r="L2838">
        <v>24709.200000000001</v>
      </c>
      <c r="M2838">
        <v>24709.200000000001</v>
      </c>
      <c r="N2838" t="s">
        <v>96</v>
      </c>
      <c r="O2838">
        <v>2025</v>
      </c>
    </row>
    <row r="2839" spans="1:15" x14ac:dyDescent="0.3">
      <c r="A2839" t="s">
        <v>2924</v>
      </c>
      <c r="B2839" t="s">
        <v>29</v>
      </c>
      <c r="C2839" t="s">
        <v>34</v>
      </c>
      <c r="D2839" t="s">
        <v>48</v>
      </c>
      <c r="E2839" t="s">
        <v>30</v>
      </c>
      <c r="F2839" s="1">
        <v>45779</v>
      </c>
      <c r="G2839">
        <v>7</v>
      </c>
      <c r="H2839">
        <v>8583.26</v>
      </c>
      <c r="I2839">
        <v>10</v>
      </c>
      <c r="J2839" t="s">
        <v>31</v>
      </c>
      <c r="K2839">
        <v>6008.28</v>
      </c>
      <c r="L2839">
        <v>60082.82</v>
      </c>
      <c r="M2839">
        <v>54074.54</v>
      </c>
      <c r="N2839" t="s">
        <v>101</v>
      </c>
      <c r="O2839">
        <v>2025</v>
      </c>
    </row>
    <row r="2840" spans="1:15" x14ac:dyDescent="0.3">
      <c r="A2840" t="s">
        <v>2925</v>
      </c>
      <c r="B2840" t="s">
        <v>29</v>
      </c>
      <c r="C2840" t="s">
        <v>54</v>
      </c>
      <c r="D2840" t="s">
        <v>55</v>
      </c>
      <c r="E2840" t="s">
        <v>81</v>
      </c>
      <c r="F2840" s="1">
        <v>45808</v>
      </c>
      <c r="G2840">
        <v>8</v>
      </c>
      <c r="H2840">
        <v>1262.21</v>
      </c>
      <c r="I2840">
        <v>15</v>
      </c>
      <c r="J2840" t="s">
        <v>31</v>
      </c>
      <c r="K2840">
        <v>1514.65</v>
      </c>
      <c r="L2840">
        <v>10097.68</v>
      </c>
      <c r="M2840">
        <v>8583.0300000000007</v>
      </c>
      <c r="N2840" t="s">
        <v>101</v>
      </c>
      <c r="O2840">
        <v>2025</v>
      </c>
    </row>
    <row r="2841" spans="1:15" x14ac:dyDescent="0.3">
      <c r="A2841" t="s">
        <v>2926</v>
      </c>
      <c r="B2841" t="s">
        <v>65</v>
      </c>
      <c r="C2841" t="s">
        <v>17</v>
      </c>
      <c r="D2841" t="s">
        <v>39</v>
      </c>
      <c r="E2841" t="s">
        <v>81</v>
      </c>
      <c r="F2841" s="1">
        <v>45897</v>
      </c>
      <c r="G2841">
        <v>4</v>
      </c>
      <c r="H2841">
        <v>16993.64</v>
      </c>
      <c r="I2841">
        <v>10</v>
      </c>
      <c r="J2841" t="s">
        <v>31</v>
      </c>
      <c r="K2841">
        <v>6797.46</v>
      </c>
      <c r="L2841">
        <v>67974.559999999998</v>
      </c>
      <c r="M2841">
        <v>61177.1</v>
      </c>
      <c r="N2841" t="s">
        <v>21</v>
      </c>
      <c r="O2841">
        <v>2025</v>
      </c>
    </row>
    <row r="2842" spans="1:15" x14ac:dyDescent="0.3">
      <c r="A2842" t="s">
        <v>2927</v>
      </c>
      <c r="B2842" t="s">
        <v>43</v>
      </c>
      <c r="C2842" t="s">
        <v>62</v>
      </c>
      <c r="D2842" t="s">
        <v>63</v>
      </c>
      <c r="E2842" t="s">
        <v>25</v>
      </c>
      <c r="F2842" s="1">
        <v>45318</v>
      </c>
      <c r="G2842">
        <v>9</v>
      </c>
      <c r="H2842">
        <v>2044.62</v>
      </c>
      <c r="I2842">
        <v>20</v>
      </c>
      <c r="J2842" t="s">
        <v>45</v>
      </c>
      <c r="K2842">
        <v>3680.32</v>
      </c>
      <c r="L2842">
        <v>18401.580000000002</v>
      </c>
      <c r="M2842">
        <v>14721.26</v>
      </c>
      <c r="N2842" t="s">
        <v>116</v>
      </c>
      <c r="O2842">
        <v>2024</v>
      </c>
    </row>
    <row r="2843" spans="1:15" x14ac:dyDescent="0.3">
      <c r="A2843" t="s">
        <v>2928</v>
      </c>
      <c r="B2843" t="s">
        <v>29</v>
      </c>
      <c r="C2843" t="s">
        <v>34</v>
      </c>
      <c r="D2843" t="s">
        <v>35</v>
      </c>
      <c r="E2843" t="s">
        <v>81</v>
      </c>
      <c r="F2843" s="1">
        <v>45377</v>
      </c>
      <c r="G2843">
        <v>6</v>
      </c>
      <c r="H2843">
        <v>26226.13</v>
      </c>
      <c r="I2843">
        <v>15</v>
      </c>
      <c r="J2843" t="s">
        <v>31</v>
      </c>
      <c r="K2843">
        <v>23603.52</v>
      </c>
      <c r="L2843">
        <v>157356.78</v>
      </c>
      <c r="M2843">
        <v>133753.26</v>
      </c>
      <c r="N2843" t="s">
        <v>83</v>
      </c>
      <c r="O2843">
        <v>2024</v>
      </c>
    </row>
    <row r="2844" spans="1:15" x14ac:dyDescent="0.3">
      <c r="A2844" t="s">
        <v>2929</v>
      </c>
      <c r="B2844" t="s">
        <v>74</v>
      </c>
      <c r="C2844" t="s">
        <v>90</v>
      </c>
      <c r="D2844" t="s">
        <v>115</v>
      </c>
      <c r="E2844" t="s">
        <v>25</v>
      </c>
      <c r="F2844" s="1">
        <v>45488</v>
      </c>
      <c r="G2844">
        <v>6</v>
      </c>
      <c r="H2844">
        <v>8022.99</v>
      </c>
      <c r="I2844">
        <v>0</v>
      </c>
      <c r="J2844" t="s">
        <v>45</v>
      </c>
      <c r="K2844">
        <v>0</v>
      </c>
      <c r="L2844">
        <v>48137.94</v>
      </c>
      <c r="M2844">
        <v>48137.94</v>
      </c>
      <c r="N2844" t="s">
        <v>122</v>
      </c>
      <c r="O2844">
        <v>2024</v>
      </c>
    </row>
    <row r="2845" spans="1:15" x14ac:dyDescent="0.3">
      <c r="A2845" t="s">
        <v>2930</v>
      </c>
      <c r="B2845" t="s">
        <v>93</v>
      </c>
      <c r="C2845" t="s">
        <v>90</v>
      </c>
      <c r="D2845" t="s">
        <v>91</v>
      </c>
      <c r="E2845" t="s">
        <v>56</v>
      </c>
      <c r="F2845" s="1">
        <v>46019</v>
      </c>
      <c r="G2845">
        <v>6</v>
      </c>
      <c r="H2845">
        <v>1627.01</v>
      </c>
      <c r="I2845">
        <v>5</v>
      </c>
      <c r="J2845" t="s">
        <v>71</v>
      </c>
      <c r="K2845">
        <v>488.1</v>
      </c>
      <c r="L2845">
        <v>9762.06</v>
      </c>
      <c r="M2845">
        <v>9273.9599999999991</v>
      </c>
      <c r="N2845" t="s">
        <v>51</v>
      </c>
      <c r="O2845">
        <v>2025</v>
      </c>
    </row>
    <row r="2846" spans="1:15" x14ac:dyDescent="0.3">
      <c r="A2846" t="s">
        <v>2931</v>
      </c>
      <c r="B2846" t="s">
        <v>93</v>
      </c>
      <c r="C2846" t="s">
        <v>90</v>
      </c>
      <c r="D2846" t="s">
        <v>105</v>
      </c>
      <c r="E2846" t="s">
        <v>30</v>
      </c>
      <c r="F2846" s="1">
        <v>45539</v>
      </c>
      <c r="G2846">
        <v>9</v>
      </c>
      <c r="H2846">
        <v>3377.21</v>
      </c>
      <c r="I2846">
        <v>5</v>
      </c>
      <c r="J2846" t="s">
        <v>26</v>
      </c>
      <c r="K2846">
        <v>1519.74</v>
      </c>
      <c r="L2846">
        <v>30394.89</v>
      </c>
      <c r="M2846">
        <v>28875.15</v>
      </c>
      <c r="N2846" t="s">
        <v>86</v>
      </c>
      <c r="O2846">
        <v>2024</v>
      </c>
    </row>
    <row r="2847" spans="1:15" x14ac:dyDescent="0.3">
      <c r="A2847" t="s">
        <v>2932</v>
      </c>
      <c r="B2847" t="s">
        <v>38</v>
      </c>
      <c r="C2847" t="s">
        <v>90</v>
      </c>
      <c r="D2847" t="s">
        <v>107</v>
      </c>
      <c r="E2847" t="s">
        <v>56</v>
      </c>
      <c r="F2847" s="1">
        <v>45758</v>
      </c>
      <c r="G2847">
        <v>4</v>
      </c>
      <c r="H2847">
        <v>11340.79</v>
      </c>
      <c r="I2847">
        <v>5</v>
      </c>
      <c r="J2847" t="s">
        <v>36</v>
      </c>
      <c r="K2847">
        <v>2268.16</v>
      </c>
      <c r="L2847">
        <v>45363.16</v>
      </c>
      <c r="M2847">
        <v>43095</v>
      </c>
      <c r="N2847" t="s">
        <v>27</v>
      </c>
      <c r="O2847">
        <v>2025</v>
      </c>
    </row>
    <row r="2848" spans="1:15" x14ac:dyDescent="0.3">
      <c r="A2848" t="s">
        <v>2933</v>
      </c>
      <c r="B2848" t="s">
        <v>89</v>
      </c>
      <c r="C2848" t="s">
        <v>34</v>
      </c>
      <c r="D2848" t="s">
        <v>85</v>
      </c>
      <c r="E2848" t="s">
        <v>25</v>
      </c>
      <c r="F2848" s="1">
        <v>45368</v>
      </c>
      <c r="G2848">
        <v>8</v>
      </c>
      <c r="H2848">
        <v>13290.4</v>
      </c>
      <c r="I2848">
        <v>15</v>
      </c>
      <c r="J2848" t="s">
        <v>82</v>
      </c>
      <c r="K2848">
        <v>15948.48</v>
      </c>
      <c r="L2848">
        <v>106323.2</v>
      </c>
      <c r="M2848">
        <v>90374.720000000001</v>
      </c>
      <c r="N2848" t="s">
        <v>83</v>
      </c>
      <c r="O2848">
        <v>2024</v>
      </c>
    </row>
    <row r="2849" spans="1:15" x14ac:dyDescent="0.3">
      <c r="A2849" t="s">
        <v>2934</v>
      </c>
      <c r="B2849" t="s">
        <v>47</v>
      </c>
      <c r="C2849" t="s">
        <v>90</v>
      </c>
      <c r="D2849" t="s">
        <v>91</v>
      </c>
      <c r="E2849" t="s">
        <v>56</v>
      </c>
      <c r="F2849" s="1">
        <v>45725</v>
      </c>
      <c r="G2849">
        <v>3</v>
      </c>
      <c r="H2849">
        <v>1371.45</v>
      </c>
      <c r="I2849">
        <v>10</v>
      </c>
      <c r="J2849" t="s">
        <v>82</v>
      </c>
      <c r="K2849">
        <v>411.44</v>
      </c>
      <c r="L2849">
        <v>4114.3500000000004</v>
      </c>
      <c r="M2849">
        <v>3702.91</v>
      </c>
      <c r="N2849" t="s">
        <v>83</v>
      </c>
      <c r="O2849">
        <v>2025</v>
      </c>
    </row>
    <row r="2850" spans="1:15" x14ac:dyDescent="0.3">
      <c r="A2850" t="s">
        <v>2935</v>
      </c>
      <c r="B2850" t="s">
        <v>114</v>
      </c>
      <c r="C2850" t="s">
        <v>34</v>
      </c>
      <c r="D2850" t="s">
        <v>66</v>
      </c>
      <c r="E2850" t="s">
        <v>81</v>
      </c>
      <c r="F2850" s="1">
        <v>45408</v>
      </c>
      <c r="G2850">
        <v>5</v>
      </c>
      <c r="H2850">
        <v>38682.050000000003</v>
      </c>
      <c r="I2850">
        <v>20</v>
      </c>
      <c r="J2850" t="s">
        <v>45</v>
      </c>
      <c r="K2850">
        <v>38682.050000000003</v>
      </c>
      <c r="L2850">
        <v>193410.25</v>
      </c>
      <c r="M2850">
        <v>154728.20000000001</v>
      </c>
      <c r="N2850" t="s">
        <v>27</v>
      </c>
      <c r="O2850">
        <v>2024</v>
      </c>
    </row>
    <row r="2851" spans="1:15" x14ac:dyDescent="0.3">
      <c r="A2851" t="s">
        <v>2936</v>
      </c>
      <c r="B2851" t="s">
        <v>65</v>
      </c>
      <c r="C2851" t="s">
        <v>90</v>
      </c>
      <c r="D2851" t="s">
        <v>91</v>
      </c>
      <c r="E2851" t="s">
        <v>50</v>
      </c>
      <c r="F2851" s="1">
        <v>45675</v>
      </c>
      <c r="G2851">
        <v>3</v>
      </c>
      <c r="H2851">
        <v>1702.5</v>
      </c>
      <c r="I2851">
        <v>15</v>
      </c>
      <c r="J2851" t="s">
        <v>26</v>
      </c>
      <c r="K2851">
        <v>766.12</v>
      </c>
      <c r="L2851">
        <v>5107.5</v>
      </c>
      <c r="M2851">
        <v>4341.38</v>
      </c>
      <c r="N2851" t="s">
        <v>116</v>
      </c>
      <c r="O2851">
        <v>2025</v>
      </c>
    </row>
    <row r="2852" spans="1:15" x14ac:dyDescent="0.3">
      <c r="A2852" t="s">
        <v>2937</v>
      </c>
      <c r="B2852" t="s">
        <v>29</v>
      </c>
      <c r="C2852" t="s">
        <v>54</v>
      </c>
      <c r="D2852" t="s">
        <v>70</v>
      </c>
      <c r="E2852" t="s">
        <v>81</v>
      </c>
      <c r="F2852" s="1">
        <v>45483</v>
      </c>
      <c r="G2852">
        <v>1</v>
      </c>
      <c r="H2852">
        <v>2811.56</v>
      </c>
      <c r="I2852">
        <v>15</v>
      </c>
      <c r="J2852" t="s">
        <v>36</v>
      </c>
      <c r="K2852">
        <v>421.73</v>
      </c>
      <c r="L2852">
        <v>2811.56</v>
      </c>
      <c r="M2852">
        <v>2389.83</v>
      </c>
      <c r="N2852" t="s">
        <v>122</v>
      </c>
      <c r="O2852">
        <v>2024</v>
      </c>
    </row>
    <row r="2853" spans="1:15" x14ac:dyDescent="0.3">
      <c r="A2853" t="s">
        <v>2938</v>
      </c>
      <c r="B2853" t="s">
        <v>109</v>
      </c>
      <c r="C2853" t="s">
        <v>54</v>
      </c>
      <c r="D2853" t="s">
        <v>77</v>
      </c>
      <c r="E2853" t="s">
        <v>25</v>
      </c>
      <c r="F2853" s="1">
        <v>45480</v>
      </c>
      <c r="G2853">
        <v>7</v>
      </c>
      <c r="H2853">
        <v>4835.8</v>
      </c>
      <c r="I2853">
        <v>0</v>
      </c>
      <c r="J2853" t="s">
        <v>40</v>
      </c>
      <c r="K2853">
        <v>0</v>
      </c>
      <c r="L2853">
        <v>33850.6</v>
      </c>
      <c r="M2853">
        <v>33850.6</v>
      </c>
      <c r="N2853" t="s">
        <v>122</v>
      </c>
      <c r="O2853">
        <v>2024</v>
      </c>
    </row>
    <row r="2854" spans="1:15" x14ac:dyDescent="0.3">
      <c r="A2854" t="s">
        <v>2939</v>
      </c>
      <c r="B2854" t="s">
        <v>65</v>
      </c>
      <c r="C2854" t="s">
        <v>17</v>
      </c>
      <c r="D2854" t="s">
        <v>157</v>
      </c>
      <c r="E2854" t="s">
        <v>25</v>
      </c>
      <c r="F2854" s="1">
        <v>45753</v>
      </c>
      <c r="G2854">
        <v>8</v>
      </c>
      <c r="H2854">
        <v>7846.19</v>
      </c>
      <c r="I2854">
        <v>0</v>
      </c>
      <c r="J2854" t="s">
        <v>82</v>
      </c>
      <c r="K2854">
        <v>0</v>
      </c>
      <c r="L2854">
        <v>62769.52</v>
      </c>
      <c r="M2854">
        <v>62769.52</v>
      </c>
      <c r="N2854" t="s">
        <v>27</v>
      </c>
      <c r="O2854">
        <v>2025</v>
      </c>
    </row>
    <row r="2855" spans="1:15" x14ac:dyDescent="0.3">
      <c r="A2855" t="s">
        <v>2940</v>
      </c>
      <c r="B2855" t="s">
        <v>23</v>
      </c>
      <c r="C2855" t="s">
        <v>34</v>
      </c>
      <c r="D2855" t="s">
        <v>80</v>
      </c>
      <c r="E2855" t="s">
        <v>50</v>
      </c>
      <c r="F2855" s="1">
        <v>45332</v>
      </c>
      <c r="G2855">
        <v>6</v>
      </c>
      <c r="H2855">
        <v>6427.88</v>
      </c>
      <c r="I2855">
        <v>0</v>
      </c>
      <c r="J2855" t="s">
        <v>71</v>
      </c>
      <c r="K2855">
        <v>0</v>
      </c>
      <c r="L2855">
        <v>38567.279999999999</v>
      </c>
      <c r="M2855">
        <v>38567.279999999999</v>
      </c>
      <c r="N2855" t="s">
        <v>41</v>
      </c>
      <c r="O2855">
        <v>2024</v>
      </c>
    </row>
    <row r="2856" spans="1:15" x14ac:dyDescent="0.3">
      <c r="A2856" t="s">
        <v>2941</v>
      </c>
      <c r="B2856" t="s">
        <v>29</v>
      </c>
      <c r="C2856" t="s">
        <v>62</v>
      </c>
      <c r="D2856" t="s">
        <v>132</v>
      </c>
      <c r="E2856" t="s">
        <v>50</v>
      </c>
      <c r="F2856" s="1">
        <v>45715</v>
      </c>
      <c r="G2856">
        <v>8</v>
      </c>
      <c r="H2856">
        <v>2364.71</v>
      </c>
      <c r="I2856">
        <v>10</v>
      </c>
      <c r="J2856" t="s">
        <v>36</v>
      </c>
      <c r="K2856">
        <v>1891.77</v>
      </c>
      <c r="L2856">
        <v>18917.68</v>
      </c>
      <c r="M2856">
        <v>17025.91</v>
      </c>
      <c r="N2856" t="s">
        <v>41</v>
      </c>
      <c r="O2856">
        <v>2025</v>
      </c>
    </row>
    <row r="2857" spans="1:15" x14ac:dyDescent="0.3">
      <c r="A2857" t="s">
        <v>2942</v>
      </c>
      <c r="B2857" t="s">
        <v>29</v>
      </c>
      <c r="C2857" t="s">
        <v>90</v>
      </c>
      <c r="D2857" t="s">
        <v>91</v>
      </c>
      <c r="E2857" t="s">
        <v>44</v>
      </c>
      <c r="F2857" s="1">
        <v>45743</v>
      </c>
      <c r="G2857">
        <v>3</v>
      </c>
      <c r="H2857">
        <v>1561.2</v>
      </c>
      <c r="I2857">
        <v>15</v>
      </c>
      <c r="J2857" t="s">
        <v>82</v>
      </c>
      <c r="K2857">
        <v>702.54</v>
      </c>
      <c r="L2857">
        <v>4683.6000000000004</v>
      </c>
      <c r="M2857">
        <v>3981.06</v>
      </c>
      <c r="N2857" t="s">
        <v>83</v>
      </c>
      <c r="O2857">
        <v>2025</v>
      </c>
    </row>
    <row r="2858" spans="1:15" x14ac:dyDescent="0.3">
      <c r="A2858" t="s">
        <v>2943</v>
      </c>
      <c r="B2858" t="s">
        <v>114</v>
      </c>
      <c r="C2858" t="s">
        <v>90</v>
      </c>
      <c r="D2858" t="s">
        <v>107</v>
      </c>
      <c r="E2858" t="s">
        <v>81</v>
      </c>
      <c r="F2858" s="1">
        <v>45844</v>
      </c>
      <c r="G2858">
        <v>4</v>
      </c>
      <c r="H2858">
        <v>13673.71</v>
      </c>
      <c r="I2858">
        <v>0</v>
      </c>
      <c r="J2858" t="s">
        <v>26</v>
      </c>
      <c r="K2858">
        <v>0</v>
      </c>
      <c r="L2858">
        <v>54694.84</v>
      </c>
      <c r="M2858">
        <v>54694.84</v>
      </c>
      <c r="N2858" t="s">
        <v>122</v>
      </c>
      <c r="O2858">
        <v>2025</v>
      </c>
    </row>
    <row r="2859" spans="1:15" x14ac:dyDescent="0.3">
      <c r="A2859" t="s">
        <v>2944</v>
      </c>
      <c r="B2859" t="s">
        <v>43</v>
      </c>
      <c r="C2859" t="s">
        <v>90</v>
      </c>
      <c r="D2859" t="s">
        <v>115</v>
      </c>
      <c r="E2859" t="s">
        <v>25</v>
      </c>
      <c r="F2859" s="1">
        <v>45650</v>
      </c>
      <c r="G2859">
        <v>10</v>
      </c>
      <c r="H2859">
        <v>9522.76</v>
      </c>
      <c r="I2859">
        <v>20</v>
      </c>
      <c r="J2859" t="s">
        <v>36</v>
      </c>
      <c r="K2859">
        <v>19045.52</v>
      </c>
      <c r="L2859">
        <v>95227.6</v>
      </c>
      <c r="M2859">
        <v>76182.080000000002</v>
      </c>
      <c r="N2859" t="s">
        <v>51</v>
      </c>
      <c r="O2859">
        <v>2024</v>
      </c>
    </row>
    <row r="2860" spans="1:15" x14ac:dyDescent="0.3">
      <c r="A2860" t="s">
        <v>2945</v>
      </c>
      <c r="B2860" t="s">
        <v>16</v>
      </c>
      <c r="C2860" t="s">
        <v>62</v>
      </c>
      <c r="D2860" t="s">
        <v>95</v>
      </c>
      <c r="E2860" t="s">
        <v>81</v>
      </c>
      <c r="F2860" s="1">
        <v>45911</v>
      </c>
      <c r="G2860">
        <v>4</v>
      </c>
      <c r="H2860">
        <v>745.44</v>
      </c>
      <c r="I2860">
        <v>5</v>
      </c>
      <c r="J2860" t="s">
        <v>20</v>
      </c>
      <c r="K2860">
        <v>149.09</v>
      </c>
      <c r="L2860">
        <v>2981.76</v>
      </c>
      <c r="M2860">
        <v>2832.67</v>
      </c>
      <c r="N2860" t="s">
        <v>86</v>
      </c>
      <c r="O2860">
        <v>2025</v>
      </c>
    </row>
    <row r="2861" spans="1:15" x14ac:dyDescent="0.3">
      <c r="A2861" t="s">
        <v>2946</v>
      </c>
      <c r="B2861" t="s">
        <v>65</v>
      </c>
      <c r="C2861" t="s">
        <v>90</v>
      </c>
      <c r="D2861" t="s">
        <v>107</v>
      </c>
      <c r="E2861" t="s">
        <v>44</v>
      </c>
      <c r="F2861" s="1">
        <v>45455</v>
      </c>
      <c r="G2861">
        <v>10</v>
      </c>
      <c r="H2861">
        <v>11153.62</v>
      </c>
      <c r="I2861">
        <v>15</v>
      </c>
      <c r="J2861" t="s">
        <v>82</v>
      </c>
      <c r="K2861">
        <v>16730.43</v>
      </c>
      <c r="L2861">
        <v>111536.2</v>
      </c>
      <c r="M2861">
        <v>94805.77</v>
      </c>
      <c r="N2861" t="s">
        <v>72</v>
      </c>
      <c r="O2861">
        <v>2024</v>
      </c>
    </row>
    <row r="2862" spans="1:15" x14ac:dyDescent="0.3">
      <c r="A2862" t="s">
        <v>2947</v>
      </c>
      <c r="B2862" t="s">
        <v>61</v>
      </c>
      <c r="C2862" t="s">
        <v>34</v>
      </c>
      <c r="D2862" t="s">
        <v>48</v>
      </c>
      <c r="E2862" t="s">
        <v>25</v>
      </c>
      <c r="F2862" s="1">
        <v>45868</v>
      </c>
      <c r="G2862">
        <v>7</v>
      </c>
      <c r="H2862">
        <v>7319</v>
      </c>
      <c r="I2862">
        <v>15</v>
      </c>
      <c r="J2862" t="s">
        <v>40</v>
      </c>
      <c r="K2862">
        <v>7684.95</v>
      </c>
      <c r="L2862">
        <v>51233</v>
      </c>
      <c r="M2862">
        <v>43548.05</v>
      </c>
      <c r="N2862" t="s">
        <v>122</v>
      </c>
      <c r="O2862">
        <v>2025</v>
      </c>
    </row>
    <row r="2863" spans="1:15" x14ac:dyDescent="0.3">
      <c r="A2863" t="s">
        <v>2948</v>
      </c>
      <c r="B2863" t="s">
        <v>23</v>
      </c>
      <c r="C2863" t="s">
        <v>90</v>
      </c>
      <c r="D2863" t="s">
        <v>152</v>
      </c>
      <c r="E2863" t="s">
        <v>30</v>
      </c>
      <c r="F2863" s="1">
        <v>45467</v>
      </c>
      <c r="G2863">
        <v>8</v>
      </c>
      <c r="H2863">
        <v>11157.53</v>
      </c>
      <c r="I2863">
        <v>20</v>
      </c>
      <c r="J2863" t="s">
        <v>45</v>
      </c>
      <c r="K2863">
        <v>17852.05</v>
      </c>
      <c r="L2863">
        <v>89260.24</v>
      </c>
      <c r="M2863">
        <v>71408.19</v>
      </c>
      <c r="N2863" t="s">
        <v>72</v>
      </c>
      <c r="O2863">
        <v>2024</v>
      </c>
    </row>
    <row r="2864" spans="1:15" x14ac:dyDescent="0.3">
      <c r="A2864" t="s">
        <v>2949</v>
      </c>
      <c r="B2864" t="s">
        <v>29</v>
      </c>
      <c r="C2864" t="s">
        <v>62</v>
      </c>
      <c r="D2864" t="s">
        <v>119</v>
      </c>
      <c r="E2864" t="s">
        <v>81</v>
      </c>
      <c r="F2864" s="1">
        <v>45563</v>
      </c>
      <c r="G2864">
        <v>10</v>
      </c>
      <c r="H2864">
        <v>3805.3</v>
      </c>
      <c r="I2864">
        <v>20</v>
      </c>
      <c r="J2864" t="s">
        <v>71</v>
      </c>
      <c r="K2864">
        <v>7610.6</v>
      </c>
      <c r="L2864">
        <v>38053</v>
      </c>
      <c r="M2864">
        <v>30442.400000000001</v>
      </c>
      <c r="N2864" t="s">
        <v>86</v>
      </c>
      <c r="O2864">
        <v>2024</v>
      </c>
    </row>
    <row r="2865" spans="1:15" x14ac:dyDescent="0.3">
      <c r="A2865" t="s">
        <v>2950</v>
      </c>
      <c r="B2865" t="s">
        <v>89</v>
      </c>
      <c r="C2865" t="s">
        <v>62</v>
      </c>
      <c r="D2865" t="s">
        <v>95</v>
      </c>
      <c r="E2865" t="s">
        <v>30</v>
      </c>
      <c r="F2865" s="1">
        <v>45809</v>
      </c>
      <c r="G2865">
        <v>9</v>
      </c>
      <c r="H2865">
        <v>806.97</v>
      </c>
      <c r="I2865">
        <v>0</v>
      </c>
      <c r="J2865" t="s">
        <v>26</v>
      </c>
      <c r="K2865">
        <v>0</v>
      </c>
      <c r="L2865">
        <v>7262.73</v>
      </c>
      <c r="M2865">
        <v>7262.73</v>
      </c>
      <c r="N2865" t="s">
        <v>72</v>
      </c>
      <c r="O2865">
        <v>2025</v>
      </c>
    </row>
    <row r="2866" spans="1:15" x14ac:dyDescent="0.3">
      <c r="A2866" t="s">
        <v>2951</v>
      </c>
      <c r="B2866" t="s">
        <v>33</v>
      </c>
      <c r="C2866" t="s">
        <v>90</v>
      </c>
      <c r="D2866" t="s">
        <v>152</v>
      </c>
      <c r="E2866" t="s">
        <v>44</v>
      </c>
      <c r="F2866" s="1">
        <v>45314</v>
      </c>
      <c r="G2866">
        <v>3</v>
      </c>
      <c r="H2866">
        <v>9111.49</v>
      </c>
      <c r="I2866">
        <v>0</v>
      </c>
      <c r="J2866" t="s">
        <v>31</v>
      </c>
      <c r="K2866">
        <v>0</v>
      </c>
      <c r="L2866">
        <v>27334.47</v>
      </c>
      <c r="M2866">
        <v>27334.47</v>
      </c>
      <c r="N2866" t="s">
        <v>116</v>
      </c>
      <c r="O2866">
        <v>2024</v>
      </c>
    </row>
    <row r="2867" spans="1:15" x14ac:dyDescent="0.3">
      <c r="A2867" t="s">
        <v>2952</v>
      </c>
      <c r="B2867" t="s">
        <v>38</v>
      </c>
      <c r="C2867" t="s">
        <v>17</v>
      </c>
      <c r="D2867" t="s">
        <v>24</v>
      </c>
      <c r="E2867" t="s">
        <v>44</v>
      </c>
      <c r="F2867" s="1">
        <v>45901</v>
      </c>
      <c r="G2867">
        <v>1</v>
      </c>
      <c r="H2867">
        <v>2824.43</v>
      </c>
      <c r="I2867">
        <v>0</v>
      </c>
      <c r="J2867" t="s">
        <v>36</v>
      </c>
      <c r="K2867">
        <v>0</v>
      </c>
      <c r="L2867">
        <v>2824.43</v>
      </c>
      <c r="M2867">
        <v>2824.43</v>
      </c>
      <c r="N2867" t="s">
        <v>86</v>
      </c>
      <c r="O2867">
        <v>2025</v>
      </c>
    </row>
    <row r="2868" spans="1:15" x14ac:dyDescent="0.3">
      <c r="A2868" t="s">
        <v>2953</v>
      </c>
      <c r="B2868" t="s">
        <v>114</v>
      </c>
      <c r="C2868" t="s">
        <v>62</v>
      </c>
      <c r="D2868" t="s">
        <v>119</v>
      </c>
      <c r="E2868" t="s">
        <v>44</v>
      </c>
      <c r="F2868" s="1">
        <v>45926</v>
      </c>
      <c r="G2868">
        <v>1</v>
      </c>
      <c r="H2868">
        <v>3394.56</v>
      </c>
      <c r="I2868">
        <v>20</v>
      </c>
      <c r="J2868" t="s">
        <v>20</v>
      </c>
      <c r="K2868">
        <v>678.91</v>
      </c>
      <c r="L2868">
        <v>3394.56</v>
      </c>
      <c r="M2868">
        <v>2715.65</v>
      </c>
      <c r="N2868" t="s">
        <v>86</v>
      </c>
      <c r="O2868">
        <v>2025</v>
      </c>
    </row>
    <row r="2869" spans="1:15" x14ac:dyDescent="0.3">
      <c r="A2869" t="s">
        <v>2954</v>
      </c>
      <c r="B2869" t="s">
        <v>93</v>
      </c>
      <c r="C2869" t="s">
        <v>54</v>
      </c>
      <c r="D2869" t="s">
        <v>70</v>
      </c>
      <c r="E2869" t="s">
        <v>50</v>
      </c>
      <c r="F2869" s="1">
        <v>45452</v>
      </c>
      <c r="G2869">
        <v>6</v>
      </c>
      <c r="H2869">
        <v>2848.2</v>
      </c>
      <c r="I2869">
        <v>5</v>
      </c>
      <c r="J2869" t="s">
        <v>36</v>
      </c>
      <c r="K2869">
        <v>854.46</v>
      </c>
      <c r="L2869">
        <v>17089.2</v>
      </c>
      <c r="M2869">
        <v>16234.74</v>
      </c>
      <c r="N2869" t="s">
        <v>72</v>
      </c>
      <c r="O2869">
        <v>2024</v>
      </c>
    </row>
    <row r="2870" spans="1:15" x14ac:dyDescent="0.3">
      <c r="A2870" t="s">
        <v>2955</v>
      </c>
      <c r="B2870" t="s">
        <v>109</v>
      </c>
      <c r="C2870" t="s">
        <v>34</v>
      </c>
      <c r="D2870" t="s">
        <v>85</v>
      </c>
      <c r="E2870" t="s">
        <v>50</v>
      </c>
      <c r="F2870" s="1">
        <v>45658</v>
      </c>
      <c r="G2870">
        <v>2</v>
      </c>
      <c r="H2870">
        <v>10922.21</v>
      </c>
      <c r="I2870">
        <v>10</v>
      </c>
      <c r="J2870" t="s">
        <v>20</v>
      </c>
      <c r="K2870">
        <v>2184.44</v>
      </c>
      <c r="L2870">
        <v>21844.42</v>
      </c>
      <c r="M2870">
        <v>19659.98</v>
      </c>
      <c r="N2870" t="s">
        <v>116</v>
      </c>
      <c r="O2870">
        <v>2025</v>
      </c>
    </row>
    <row r="2871" spans="1:15" x14ac:dyDescent="0.3">
      <c r="A2871" t="s">
        <v>2956</v>
      </c>
      <c r="B2871" t="s">
        <v>38</v>
      </c>
      <c r="C2871" t="s">
        <v>62</v>
      </c>
      <c r="D2871" t="s">
        <v>119</v>
      </c>
      <c r="E2871" t="s">
        <v>25</v>
      </c>
      <c r="F2871" s="1">
        <v>45925</v>
      </c>
      <c r="G2871">
        <v>4</v>
      </c>
      <c r="H2871">
        <v>4015.65</v>
      </c>
      <c r="I2871">
        <v>10</v>
      </c>
      <c r="J2871" t="s">
        <v>82</v>
      </c>
      <c r="K2871">
        <v>1606.26</v>
      </c>
      <c r="L2871">
        <v>16062.6</v>
      </c>
      <c r="M2871">
        <v>14456.34</v>
      </c>
      <c r="N2871" t="s">
        <v>86</v>
      </c>
      <c r="O2871">
        <v>2025</v>
      </c>
    </row>
    <row r="2872" spans="1:15" x14ac:dyDescent="0.3">
      <c r="A2872" t="s">
        <v>2957</v>
      </c>
      <c r="B2872" t="s">
        <v>29</v>
      </c>
      <c r="C2872" t="s">
        <v>62</v>
      </c>
      <c r="D2872" t="s">
        <v>95</v>
      </c>
      <c r="E2872" t="s">
        <v>44</v>
      </c>
      <c r="F2872" s="1">
        <v>45886</v>
      </c>
      <c r="G2872">
        <v>9</v>
      </c>
      <c r="H2872">
        <v>882.63</v>
      </c>
      <c r="I2872">
        <v>20</v>
      </c>
      <c r="J2872" t="s">
        <v>31</v>
      </c>
      <c r="K2872">
        <v>1588.73</v>
      </c>
      <c r="L2872">
        <v>7943.67</v>
      </c>
      <c r="M2872">
        <v>6354.94</v>
      </c>
      <c r="N2872" t="s">
        <v>21</v>
      </c>
      <c r="O2872">
        <v>2025</v>
      </c>
    </row>
    <row r="2873" spans="1:15" x14ac:dyDescent="0.3">
      <c r="A2873" t="s">
        <v>2958</v>
      </c>
      <c r="B2873" t="s">
        <v>93</v>
      </c>
      <c r="C2873" t="s">
        <v>62</v>
      </c>
      <c r="D2873" t="s">
        <v>63</v>
      </c>
      <c r="E2873" t="s">
        <v>50</v>
      </c>
      <c r="F2873" s="1">
        <v>45489</v>
      </c>
      <c r="G2873">
        <v>3</v>
      </c>
      <c r="H2873">
        <v>1752.54</v>
      </c>
      <c r="I2873">
        <v>5</v>
      </c>
      <c r="J2873" t="s">
        <v>20</v>
      </c>
      <c r="K2873">
        <v>262.88</v>
      </c>
      <c r="L2873">
        <v>5257.62</v>
      </c>
      <c r="M2873">
        <v>4994.74</v>
      </c>
      <c r="N2873" t="s">
        <v>122</v>
      </c>
      <c r="O2873">
        <v>2024</v>
      </c>
    </row>
    <row r="2874" spans="1:15" x14ac:dyDescent="0.3">
      <c r="A2874" t="s">
        <v>2959</v>
      </c>
      <c r="B2874" t="s">
        <v>93</v>
      </c>
      <c r="C2874" t="s">
        <v>90</v>
      </c>
      <c r="D2874" t="s">
        <v>107</v>
      </c>
      <c r="E2874" t="s">
        <v>56</v>
      </c>
      <c r="F2874" s="1">
        <v>45299</v>
      </c>
      <c r="G2874">
        <v>9</v>
      </c>
      <c r="H2874">
        <v>10879.96</v>
      </c>
      <c r="I2874">
        <v>20</v>
      </c>
      <c r="J2874" t="s">
        <v>36</v>
      </c>
      <c r="K2874">
        <v>19583.93</v>
      </c>
      <c r="L2874">
        <v>97919.64</v>
      </c>
      <c r="M2874">
        <v>78335.710000000006</v>
      </c>
      <c r="N2874" t="s">
        <v>116</v>
      </c>
      <c r="O2874">
        <v>2024</v>
      </c>
    </row>
    <row r="2875" spans="1:15" x14ac:dyDescent="0.3">
      <c r="A2875" t="s">
        <v>2960</v>
      </c>
      <c r="B2875" t="s">
        <v>47</v>
      </c>
      <c r="C2875" t="s">
        <v>54</v>
      </c>
      <c r="D2875" t="s">
        <v>55</v>
      </c>
      <c r="E2875" t="s">
        <v>50</v>
      </c>
      <c r="F2875" s="1">
        <v>45568</v>
      </c>
      <c r="G2875">
        <v>2</v>
      </c>
      <c r="H2875">
        <v>1241.3599999999999</v>
      </c>
      <c r="I2875">
        <v>20</v>
      </c>
      <c r="J2875" t="s">
        <v>40</v>
      </c>
      <c r="K2875">
        <v>496.54</v>
      </c>
      <c r="L2875">
        <v>2482.7199999999998</v>
      </c>
      <c r="M2875">
        <v>1986.18</v>
      </c>
      <c r="N2875" t="s">
        <v>57</v>
      </c>
      <c r="O2875">
        <v>2024</v>
      </c>
    </row>
    <row r="2876" spans="1:15" x14ac:dyDescent="0.3">
      <c r="A2876" t="s">
        <v>2961</v>
      </c>
      <c r="B2876" t="s">
        <v>74</v>
      </c>
      <c r="C2876" t="s">
        <v>17</v>
      </c>
      <c r="D2876" t="s">
        <v>157</v>
      </c>
      <c r="E2876" t="s">
        <v>19</v>
      </c>
      <c r="F2876" s="1">
        <v>45612</v>
      </c>
      <c r="G2876">
        <v>10</v>
      </c>
      <c r="H2876">
        <v>8087.2</v>
      </c>
      <c r="I2876">
        <v>5</v>
      </c>
      <c r="J2876" t="s">
        <v>31</v>
      </c>
      <c r="K2876">
        <v>4043.6</v>
      </c>
      <c r="L2876">
        <v>80872</v>
      </c>
      <c r="M2876">
        <v>76828.399999999994</v>
      </c>
      <c r="N2876" t="s">
        <v>96</v>
      </c>
      <c r="O2876">
        <v>2024</v>
      </c>
    </row>
    <row r="2877" spans="1:15" x14ac:dyDescent="0.3">
      <c r="A2877" t="s">
        <v>2962</v>
      </c>
      <c r="B2877" t="s">
        <v>53</v>
      </c>
      <c r="C2877" t="s">
        <v>17</v>
      </c>
      <c r="D2877" t="s">
        <v>18</v>
      </c>
      <c r="E2877" t="s">
        <v>50</v>
      </c>
      <c r="F2877" s="1">
        <v>45703</v>
      </c>
      <c r="G2877">
        <v>4</v>
      </c>
      <c r="H2877">
        <v>59722.879999999997</v>
      </c>
      <c r="I2877">
        <v>15</v>
      </c>
      <c r="J2877" t="s">
        <v>71</v>
      </c>
      <c r="K2877">
        <v>35833.730000000003</v>
      </c>
      <c r="L2877">
        <v>238891.51999999999</v>
      </c>
      <c r="M2877">
        <v>203057.79</v>
      </c>
      <c r="N2877" t="s">
        <v>41</v>
      </c>
      <c r="O2877">
        <v>2025</v>
      </c>
    </row>
    <row r="2878" spans="1:15" x14ac:dyDescent="0.3">
      <c r="A2878" t="s">
        <v>2963</v>
      </c>
      <c r="B2878" t="s">
        <v>33</v>
      </c>
      <c r="C2878" t="s">
        <v>62</v>
      </c>
      <c r="D2878" t="s">
        <v>132</v>
      </c>
      <c r="E2878" t="s">
        <v>19</v>
      </c>
      <c r="F2878" s="1">
        <v>45359</v>
      </c>
      <c r="G2878">
        <v>1</v>
      </c>
      <c r="H2878">
        <v>2489.96</v>
      </c>
      <c r="I2878">
        <v>20</v>
      </c>
      <c r="J2878" t="s">
        <v>36</v>
      </c>
      <c r="K2878">
        <v>497.99</v>
      </c>
      <c r="L2878">
        <v>2489.96</v>
      </c>
      <c r="M2878">
        <v>1991.97</v>
      </c>
      <c r="N2878" t="s">
        <v>83</v>
      </c>
      <c r="O2878">
        <v>2024</v>
      </c>
    </row>
    <row r="2879" spans="1:15" x14ac:dyDescent="0.3">
      <c r="A2879" t="s">
        <v>2964</v>
      </c>
      <c r="B2879" t="s">
        <v>93</v>
      </c>
      <c r="C2879" t="s">
        <v>62</v>
      </c>
      <c r="D2879" t="s">
        <v>95</v>
      </c>
      <c r="E2879" t="s">
        <v>50</v>
      </c>
      <c r="F2879" s="1">
        <v>45642</v>
      </c>
      <c r="G2879">
        <v>10</v>
      </c>
      <c r="H2879">
        <v>1008.92</v>
      </c>
      <c r="I2879">
        <v>0</v>
      </c>
      <c r="J2879" t="s">
        <v>71</v>
      </c>
      <c r="K2879">
        <v>0</v>
      </c>
      <c r="L2879">
        <v>10089.200000000001</v>
      </c>
      <c r="M2879">
        <v>10089.200000000001</v>
      </c>
      <c r="N2879" t="s">
        <v>51</v>
      </c>
      <c r="O2879">
        <v>2024</v>
      </c>
    </row>
    <row r="2880" spans="1:15" x14ac:dyDescent="0.3">
      <c r="A2880" t="s">
        <v>2965</v>
      </c>
      <c r="B2880" t="s">
        <v>53</v>
      </c>
      <c r="C2880" t="s">
        <v>54</v>
      </c>
      <c r="D2880" t="s">
        <v>55</v>
      </c>
      <c r="E2880" t="s">
        <v>56</v>
      </c>
      <c r="F2880" s="1">
        <v>45369</v>
      </c>
      <c r="G2880">
        <v>4</v>
      </c>
      <c r="H2880">
        <v>1109.96</v>
      </c>
      <c r="I2880">
        <v>10</v>
      </c>
      <c r="J2880" t="s">
        <v>71</v>
      </c>
      <c r="K2880">
        <v>443.98</v>
      </c>
      <c r="L2880">
        <v>4439.84</v>
      </c>
      <c r="M2880">
        <v>3995.86</v>
      </c>
      <c r="N2880" t="s">
        <v>83</v>
      </c>
      <c r="O2880">
        <v>2024</v>
      </c>
    </row>
    <row r="2881" spans="1:15" x14ac:dyDescent="0.3">
      <c r="A2881" t="s">
        <v>2966</v>
      </c>
      <c r="B2881" t="s">
        <v>53</v>
      </c>
      <c r="C2881" t="s">
        <v>34</v>
      </c>
      <c r="D2881" t="s">
        <v>35</v>
      </c>
      <c r="E2881" t="s">
        <v>56</v>
      </c>
      <c r="F2881" s="1">
        <v>45776</v>
      </c>
      <c r="G2881">
        <v>6</v>
      </c>
      <c r="H2881">
        <v>23444.65</v>
      </c>
      <c r="I2881">
        <v>20</v>
      </c>
      <c r="J2881" t="s">
        <v>40</v>
      </c>
      <c r="K2881">
        <v>28133.58</v>
      </c>
      <c r="L2881">
        <v>140667.9</v>
      </c>
      <c r="M2881">
        <v>112534.32</v>
      </c>
      <c r="N2881" t="s">
        <v>27</v>
      </c>
      <c r="O2881">
        <v>2025</v>
      </c>
    </row>
    <row r="2882" spans="1:15" x14ac:dyDescent="0.3">
      <c r="A2882" t="s">
        <v>2967</v>
      </c>
      <c r="B2882" t="s">
        <v>23</v>
      </c>
      <c r="C2882" t="s">
        <v>90</v>
      </c>
      <c r="D2882" t="s">
        <v>115</v>
      </c>
      <c r="E2882" t="s">
        <v>25</v>
      </c>
      <c r="F2882" s="1">
        <v>46010</v>
      </c>
      <c r="G2882">
        <v>1</v>
      </c>
      <c r="H2882">
        <v>9878.7800000000007</v>
      </c>
      <c r="I2882">
        <v>15</v>
      </c>
      <c r="J2882" t="s">
        <v>36</v>
      </c>
      <c r="K2882">
        <v>1481.82</v>
      </c>
      <c r="L2882">
        <v>9878.7800000000007</v>
      </c>
      <c r="M2882">
        <v>8396.9599999999991</v>
      </c>
      <c r="N2882" t="s">
        <v>51</v>
      </c>
      <c r="O2882">
        <v>2025</v>
      </c>
    </row>
    <row r="2883" spans="1:15" x14ac:dyDescent="0.3">
      <c r="A2883" t="s">
        <v>2968</v>
      </c>
      <c r="B2883" t="s">
        <v>74</v>
      </c>
      <c r="C2883" t="s">
        <v>17</v>
      </c>
      <c r="D2883" t="s">
        <v>157</v>
      </c>
      <c r="E2883" t="s">
        <v>44</v>
      </c>
      <c r="F2883" s="1">
        <v>45319</v>
      </c>
      <c r="G2883">
        <v>1</v>
      </c>
      <c r="H2883">
        <v>7299.39</v>
      </c>
      <c r="I2883">
        <v>5</v>
      </c>
      <c r="J2883" t="s">
        <v>20</v>
      </c>
      <c r="K2883">
        <v>364.97</v>
      </c>
      <c r="L2883">
        <v>7299.39</v>
      </c>
      <c r="M2883">
        <v>6934.42</v>
      </c>
      <c r="N2883" t="s">
        <v>116</v>
      </c>
      <c r="O2883">
        <v>2024</v>
      </c>
    </row>
    <row r="2884" spans="1:15" x14ac:dyDescent="0.3">
      <c r="A2884" t="s">
        <v>2969</v>
      </c>
      <c r="B2884" t="s">
        <v>33</v>
      </c>
      <c r="C2884" t="s">
        <v>54</v>
      </c>
      <c r="D2884" t="s">
        <v>137</v>
      </c>
      <c r="E2884" t="s">
        <v>44</v>
      </c>
      <c r="F2884" s="1">
        <v>45568</v>
      </c>
      <c r="G2884">
        <v>1</v>
      </c>
      <c r="H2884">
        <v>938.29</v>
      </c>
      <c r="I2884">
        <v>0</v>
      </c>
      <c r="J2884" t="s">
        <v>36</v>
      </c>
      <c r="K2884">
        <v>0</v>
      </c>
      <c r="L2884">
        <v>938.29</v>
      </c>
      <c r="M2884">
        <v>938.29</v>
      </c>
      <c r="N2884" t="s">
        <v>57</v>
      </c>
      <c r="O2884">
        <v>2024</v>
      </c>
    </row>
    <row r="2885" spans="1:15" x14ac:dyDescent="0.3">
      <c r="A2885" t="s">
        <v>2970</v>
      </c>
      <c r="B2885" t="s">
        <v>16</v>
      </c>
      <c r="C2885" t="s">
        <v>17</v>
      </c>
      <c r="D2885" t="s">
        <v>39</v>
      </c>
      <c r="E2885" t="s">
        <v>50</v>
      </c>
      <c r="F2885" s="1">
        <v>45655</v>
      </c>
      <c r="G2885">
        <v>1</v>
      </c>
      <c r="H2885">
        <v>19393.09</v>
      </c>
      <c r="I2885">
        <v>10</v>
      </c>
      <c r="J2885" t="s">
        <v>45</v>
      </c>
      <c r="K2885">
        <v>1939.31</v>
      </c>
      <c r="L2885">
        <v>19393.09</v>
      </c>
      <c r="M2885">
        <v>17453.78</v>
      </c>
      <c r="N2885" t="s">
        <v>51</v>
      </c>
      <c r="O2885">
        <v>2024</v>
      </c>
    </row>
    <row r="2886" spans="1:15" x14ac:dyDescent="0.3">
      <c r="A2886" t="s">
        <v>2971</v>
      </c>
      <c r="B2886" t="s">
        <v>47</v>
      </c>
      <c r="C2886" t="s">
        <v>34</v>
      </c>
      <c r="D2886" t="s">
        <v>85</v>
      </c>
      <c r="E2886" t="s">
        <v>81</v>
      </c>
      <c r="F2886" s="1">
        <v>45598</v>
      </c>
      <c r="G2886">
        <v>4</v>
      </c>
      <c r="H2886">
        <v>14078.43</v>
      </c>
      <c r="I2886">
        <v>0</v>
      </c>
      <c r="J2886" t="s">
        <v>82</v>
      </c>
      <c r="K2886">
        <v>0</v>
      </c>
      <c r="L2886">
        <v>56313.72</v>
      </c>
      <c r="M2886">
        <v>56313.72</v>
      </c>
      <c r="N2886" t="s">
        <v>96</v>
      </c>
      <c r="O2886">
        <v>2024</v>
      </c>
    </row>
    <row r="2887" spans="1:15" x14ac:dyDescent="0.3">
      <c r="A2887" t="s">
        <v>2972</v>
      </c>
      <c r="B2887" t="s">
        <v>89</v>
      </c>
      <c r="C2887" t="s">
        <v>54</v>
      </c>
      <c r="D2887" t="s">
        <v>68</v>
      </c>
      <c r="E2887" t="s">
        <v>81</v>
      </c>
      <c r="F2887" s="1">
        <v>45945</v>
      </c>
      <c r="G2887">
        <v>3</v>
      </c>
      <c r="H2887">
        <v>4777.8999999999996</v>
      </c>
      <c r="I2887">
        <v>20</v>
      </c>
      <c r="J2887" t="s">
        <v>71</v>
      </c>
      <c r="K2887">
        <v>2866.74</v>
      </c>
      <c r="L2887">
        <v>14333.7</v>
      </c>
      <c r="M2887">
        <v>11466.96</v>
      </c>
      <c r="N2887" t="s">
        <v>57</v>
      </c>
      <c r="O2887">
        <v>2025</v>
      </c>
    </row>
    <row r="2888" spans="1:15" x14ac:dyDescent="0.3">
      <c r="A2888" t="s">
        <v>2973</v>
      </c>
      <c r="B2888" t="s">
        <v>16</v>
      </c>
      <c r="C2888" t="s">
        <v>34</v>
      </c>
      <c r="D2888" t="s">
        <v>48</v>
      </c>
      <c r="E2888" t="s">
        <v>30</v>
      </c>
      <c r="F2888" s="1">
        <v>45426</v>
      </c>
      <c r="G2888">
        <v>3</v>
      </c>
      <c r="H2888">
        <v>9141.5</v>
      </c>
      <c r="I2888">
        <v>20</v>
      </c>
      <c r="J2888" t="s">
        <v>40</v>
      </c>
      <c r="K2888">
        <v>5484.9</v>
      </c>
      <c r="L2888">
        <v>27424.5</v>
      </c>
      <c r="M2888">
        <v>21939.599999999999</v>
      </c>
      <c r="N2888" t="s">
        <v>101</v>
      </c>
      <c r="O2888">
        <v>2024</v>
      </c>
    </row>
    <row r="2889" spans="1:15" x14ac:dyDescent="0.3">
      <c r="A2889" t="s">
        <v>2974</v>
      </c>
      <c r="B2889" t="s">
        <v>16</v>
      </c>
      <c r="C2889" t="s">
        <v>54</v>
      </c>
      <c r="D2889" t="s">
        <v>55</v>
      </c>
      <c r="E2889" t="s">
        <v>44</v>
      </c>
      <c r="F2889" s="1">
        <v>45935</v>
      </c>
      <c r="G2889">
        <v>6</v>
      </c>
      <c r="H2889">
        <v>1419.14</v>
      </c>
      <c r="I2889">
        <v>20</v>
      </c>
      <c r="J2889" t="s">
        <v>40</v>
      </c>
      <c r="K2889">
        <v>1702.97</v>
      </c>
      <c r="L2889">
        <v>8514.84</v>
      </c>
      <c r="M2889">
        <v>6811.87</v>
      </c>
      <c r="N2889" t="s">
        <v>57</v>
      </c>
      <c r="O2889">
        <v>2025</v>
      </c>
    </row>
    <row r="2890" spans="1:15" x14ac:dyDescent="0.3">
      <c r="A2890" t="s">
        <v>2975</v>
      </c>
      <c r="B2890" t="s">
        <v>53</v>
      </c>
      <c r="C2890" t="s">
        <v>17</v>
      </c>
      <c r="D2890" t="s">
        <v>24</v>
      </c>
      <c r="E2890" t="s">
        <v>30</v>
      </c>
      <c r="F2890" s="1">
        <v>45601</v>
      </c>
      <c r="G2890">
        <v>9</v>
      </c>
      <c r="H2890">
        <v>3368.56</v>
      </c>
      <c r="I2890">
        <v>0</v>
      </c>
      <c r="J2890" t="s">
        <v>26</v>
      </c>
      <c r="K2890">
        <v>0</v>
      </c>
      <c r="L2890">
        <v>30317.040000000001</v>
      </c>
      <c r="M2890">
        <v>30317.040000000001</v>
      </c>
      <c r="N2890" t="s">
        <v>96</v>
      </c>
      <c r="O2890">
        <v>2024</v>
      </c>
    </row>
    <row r="2891" spans="1:15" x14ac:dyDescent="0.3">
      <c r="A2891" t="s">
        <v>2976</v>
      </c>
      <c r="B2891" t="s">
        <v>61</v>
      </c>
      <c r="C2891" t="s">
        <v>90</v>
      </c>
      <c r="D2891" t="s">
        <v>152</v>
      </c>
      <c r="E2891" t="s">
        <v>56</v>
      </c>
      <c r="F2891" s="1">
        <v>45505</v>
      </c>
      <c r="G2891">
        <v>4</v>
      </c>
      <c r="H2891">
        <v>10893.88</v>
      </c>
      <c r="I2891">
        <v>20</v>
      </c>
      <c r="J2891" t="s">
        <v>20</v>
      </c>
      <c r="K2891">
        <v>8715.1</v>
      </c>
      <c r="L2891">
        <v>43575.519999999997</v>
      </c>
      <c r="M2891">
        <v>34860.42</v>
      </c>
      <c r="N2891" t="s">
        <v>21</v>
      </c>
      <c r="O2891">
        <v>2024</v>
      </c>
    </row>
    <row r="2892" spans="1:15" x14ac:dyDescent="0.3">
      <c r="A2892" t="s">
        <v>2977</v>
      </c>
      <c r="B2892" t="s">
        <v>23</v>
      </c>
      <c r="C2892" t="s">
        <v>54</v>
      </c>
      <c r="D2892" t="s">
        <v>77</v>
      </c>
      <c r="E2892" t="s">
        <v>19</v>
      </c>
      <c r="F2892" s="1">
        <v>45658</v>
      </c>
      <c r="G2892">
        <v>10</v>
      </c>
      <c r="H2892">
        <v>5678.45</v>
      </c>
      <c r="I2892">
        <v>5</v>
      </c>
      <c r="J2892" t="s">
        <v>82</v>
      </c>
      <c r="K2892">
        <v>2839.23</v>
      </c>
      <c r="L2892">
        <v>56784.5</v>
      </c>
      <c r="M2892">
        <v>53945.27</v>
      </c>
      <c r="N2892" t="s">
        <v>116</v>
      </c>
      <c r="O2892">
        <v>2025</v>
      </c>
    </row>
    <row r="2893" spans="1:15" x14ac:dyDescent="0.3">
      <c r="A2893" t="s">
        <v>2978</v>
      </c>
      <c r="B2893" t="s">
        <v>16</v>
      </c>
      <c r="C2893" t="s">
        <v>62</v>
      </c>
      <c r="D2893" t="s">
        <v>99</v>
      </c>
      <c r="E2893" t="s">
        <v>81</v>
      </c>
      <c r="F2893" s="1">
        <v>45735</v>
      </c>
      <c r="G2893">
        <v>5</v>
      </c>
      <c r="H2893">
        <v>1371.5</v>
      </c>
      <c r="I2893">
        <v>20</v>
      </c>
      <c r="J2893" t="s">
        <v>40</v>
      </c>
      <c r="K2893">
        <v>1371.5</v>
      </c>
      <c r="L2893">
        <v>6857.5</v>
      </c>
      <c r="M2893">
        <v>5486</v>
      </c>
      <c r="N2893" t="s">
        <v>83</v>
      </c>
      <c r="O2893">
        <v>2025</v>
      </c>
    </row>
    <row r="2894" spans="1:15" x14ac:dyDescent="0.3">
      <c r="A2894" t="s">
        <v>2979</v>
      </c>
      <c r="B2894" t="s">
        <v>74</v>
      </c>
      <c r="C2894" t="s">
        <v>62</v>
      </c>
      <c r="D2894" t="s">
        <v>132</v>
      </c>
      <c r="E2894" t="s">
        <v>44</v>
      </c>
      <c r="F2894" s="1">
        <v>45831</v>
      </c>
      <c r="G2894">
        <v>9</v>
      </c>
      <c r="H2894">
        <v>2370.0700000000002</v>
      </c>
      <c r="I2894">
        <v>20</v>
      </c>
      <c r="J2894" t="s">
        <v>45</v>
      </c>
      <c r="K2894">
        <v>4266.13</v>
      </c>
      <c r="L2894">
        <v>21330.63</v>
      </c>
      <c r="M2894">
        <v>17064.5</v>
      </c>
      <c r="N2894" t="s">
        <v>72</v>
      </c>
      <c r="O2894">
        <v>2025</v>
      </c>
    </row>
    <row r="2895" spans="1:15" x14ac:dyDescent="0.3">
      <c r="A2895" t="s">
        <v>2980</v>
      </c>
      <c r="B2895" t="s">
        <v>16</v>
      </c>
      <c r="C2895" t="s">
        <v>34</v>
      </c>
      <c r="D2895" t="s">
        <v>48</v>
      </c>
      <c r="E2895" t="s">
        <v>56</v>
      </c>
      <c r="F2895" s="1">
        <v>45430</v>
      </c>
      <c r="G2895">
        <v>7</v>
      </c>
      <c r="H2895">
        <v>8777.07</v>
      </c>
      <c r="I2895">
        <v>0</v>
      </c>
      <c r="J2895" t="s">
        <v>71</v>
      </c>
      <c r="K2895">
        <v>0</v>
      </c>
      <c r="L2895">
        <v>61439.49</v>
      </c>
      <c r="M2895">
        <v>61439.49</v>
      </c>
      <c r="N2895" t="s">
        <v>101</v>
      </c>
      <c r="O2895">
        <v>2024</v>
      </c>
    </row>
    <row r="2896" spans="1:15" x14ac:dyDescent="0.3">
      <c r="A2896" t="s">
        <v>2981</v>
      </c>
      <c r="B2896" t="s">
        <v>23</v>
      </c>
      <c r="C2896" t="s">
        <v>54</v>
      </c>
      <c r="D2896" t="s">
        <v>137</v>
      </c>
      <c r="E2896" t="s">
        <v>56</v>
      </c>
      <c r="F2896" s="1">
        <v>45966</v>
      </c>
      <c r="G2896">
        <v>10</v>
      </c>
      <c r="H2896">
        <v>1083.78</v>
      </c>
      <c r="I2896">
        <v>10</v>
      </c>
      <c r="J2896" t="s">
        <v>36</v>
      </c>
      <c r="K2896">
        <v>1083.78</v>
      </c>
      <c r="L2896">
        <v>10837.8</v>
      </c>
      <c r="M2896">
        <v>9754.02</v>
      </c>
      <c r="N2896" t="s">
        <v>96</v>
      </c>
      <c r="O2896">
        <v>2025</v>
      </c>
    </row>
    <row r="2897" spans="1:15" x14ac:dyDescent="0.3">
      <c r="A2897" t="s">
        <v>2982</v>
      </c>
      <c r="B2897" t="s">
        <v>38</v>
      </c>
      <c r="C2897" t="s">
        <v>62</v>
      </c>
      <c r="D2897" t="s">
        <v>63</v>
      </c>
      <c r="E2897" t="s">
        <v>44</v>
      </c>
      <c r="F2897" s="1">
        <v>45674</v>
      </c>
      <c r="G2897">
        <v>2</v>
      </c>
      <c r="H2897">
        <v>1973.58</v>
      </c>
      <c r="I2897">
        <v>15</v>
      </c>
      <c r="J2897" t="s">
        <v>45</v>
      </c>
      <c r="K2897">
        <v>592.07000000000005</v>
      </c>
      <c r="L2897">
        <v>3947.16</v>
      </c>
      <c r="M2897">
        <v>3355.09</v>
      </c>
      <c r="N2897" t="s">
        <v>116</v>
      </c>
      <c r="O2897">
        <v>2025</v>
      </c>
    </row>
    <row r="2898" spans="1:15" x14ac:dyDescent="0.3">
      <c r="A2898" t="s">
        <v>2983</v>
      </c>
      <c r="B2898" t="s">
        <v>53</v>
      </c>
      <c r="C2898" t="s">
        <v>34</v>
      </c>
      <c r="D2898" t="s">
        <v>66</v>
      </c>
      <c r="E2898" t="s">
        <v>50</v>
      </c>
      <c r="F2898" s="1">
        <v>45650</v>
      </c>
      <c r="G2898">
        <v>1</v>
      </c>
      <c r="H2898">
        <v>47904.800000000003</v>
      </c>
      <c r="I2898">
        <v>20</v>
      </c>
      <c r="J2898" t="s">
        <v>36</v>
      </c>
      <c r="K2898">
        <v>9580.9599999999991</v>
      </c>
      <c r="L2898">
        <v>47904.800000000003</v>
      </c>
      <c r="M2898">
        <v>38323.839999999997</v>
      </c>
      <c r="N2898" t="s">
        <v>51</v>
      </c>
      <c r="O2898">
        <v>2024</v>
      </c>
    </row>
    <row r="2899" spans="1:15" x14ac:dyDescent="0.3">
      <c r="A2899" t="s">
        <v>2984</v>
      </c>
      <c r="B2899" t="s">
        <v>16</v>
      </c>
      <c r="C2899" t="s">
        <v>34</v>
      </c>
      <c r="D2899" t="s">
        <v>48</v>
      </c>
      <c r="E2899" t="s">
        <v>44</v>
      </c>
      <c r="F2899" s="1">
        <v>45464</v>
      </c>
      <c r="G2899">
        <v>5</v>
      </c>
      <c r="H2899">
        <v>8094.44</v>
      </c>
      <c r="I2899">
        <v>20</v>
      </c>
      <c r="J2899" t="s">
        <v>31</v>
      </c>
      <c r="K2899">
        <v>8094.44</v>
      </c>
      <c r="L2899">
        <v>40472.199999999997</v>
      </c>
      <c r="M2899">
        <v>32377.759999999998</v>
      </c>
      <c r="N2899" t="s">
        <v>72</v>
      </c>
      <c r="O2899">
        <v>2024</v>
      </c>
    </row>
    <row r="2900" spans="1:15" x14ac:dyDescent="0.3">
      <c r="A2900" t="s">
        <v>2985</v>
      </c>
      <c r="B2900" t="s">
        <v>93</v>
      </c>
      <c r="C2900" t="s">
        <v>90</v>
      </c>
      <c r="D2900" t="s">
        <v>107</v>
      </c>
      <c r="E2900" t="s">
        <v>44</v>
      </c>
      <c r="F2900" s="1">
        <v>45476</v>
      </c>
      <c r="G2900">
        <v>1</v>
      </c>
      <c r="H2900">
        <v>11071.92</v>
      </c>
      <c r="I2900">
        <v>5</v>
      </c>
      <c r="J2900" t="s">
        <v>40</v>
      </c>
      <c r="K2900">
        <v>553.6</v>
      </c>
      <c r="L2900">
        <v>11071.92</v>
      </c>
      <c r="M2900">
        <v>10518.32</v>
      </c>
      <c r="N2900" t="s">
        <v>122</v>
      </c>
      <c r="O2900">
        <v>2024</v>
      </c>
    </row>
    <row r="2901" spans="1:15" x14ac:dyDescent="0.3">
      <c r="A2901" t="s">
        <v>2986</v>
      </c>
      <c r="B2901" t="s">
        <v>114</v>
      </c>
      <c r="C2901" t="s">
        <v>34</v>
      </c>
      <c r="D2901" t="s">
        <v>85</v>
      </c>
      <c r="E2901" t="s">
        <v>19</v>
      </c>
      <c r="F2901" s="1">
        <v>45586</v>
      </c>
      <c r="G2901">
        <v>10</v>
      </c>
      <c r="H2901">
        <v>13772.21</v>
      </c>
      <c r="I2901">
        <v>20</v>
      </c>
      <c r="J2901" t="s">
        <v>82</v>
      </c>
      <c r="K2901">
        <v>27544.42</v>
      </c>
      <c r="L2901">
        <v>137722.1</v>
      </c>
      <c r="M2901">
        <v>110177.68</v>
      </c>
      <c r="N2901" t="s">
        <v>57</v>
      </c>
      <c r="O2901">
        <v>2024</v>
      </c>
    </row>
    <row r="2902" spans="1:15" x14ac:dyDescent="0.3">
      <c r="A2902" t="s">
        <v>2987</v>
      </c>
      <c r="B2902" t="s">
        <v>93</v>
      </c>
      <c r="C2902" t="s">
        <v>17</v>
      </c>
      <c r="D2902" t="s">
        <v>18</v>
      </c>
      <c r="E2902" t="s">
        <v>30</v>
      </c>
      <c r="F2902" s="1">
        <v>45695</v>
      </c>
      <c r="G2902">
        <v>3</v>
      </c>
      <c r="H2902">
        <v>72011.47</v>
      </c>
      <c r="I2902">
        <v>15</v>
      </c>
      <c r="J2902" t="s">
        <v>31</v>
      </c>
      <c r="K2902">
        <v>32405.16</v>
      </c>
      <c r="L2902">
        <v>216034.41</v>
      </c>
      <c r="M2902">
        <v>183629.25</v>
      </c>
      <c r="N2902" t="s">
        <v>41</v>
      </c>
      <c r="O2902">
        <v>2025</v>
      </c>
    </row>
    <row r="2903" spans="1:15" x14ac:dyDescent="0.3">
      <c r="A2903" t="s">
        <v>2988</v>
      </c>
      <c r="B2903" t="s">
        <v>23</v>
      </c>
      <c r="C2903" t="s">
        <v>17</v>
      </c>
      <c r="D2903" t="s">
        <v>59</v>
      </c>
      <c r="E2903" t="s">
        <v>56</v>
      </c>
      <c r="F2903" s="1">
        <v>45560</v>
      </c>
      <c r="G2903">
        <v>6</v>
      </c>
      <c r="H2903">
        <v>27675.200000000001</v>
      </c>
      <c r="I2903">
        <v>0</v>
      </c>
      <c r="J2903" t="s">
        <v>26</v>
      </c>
      <c r="K2903">
        <v>0</v>
      </c>
      <c r="L2903">
        <v>166051.20000000001</v>
      </c>
      <c r="M2903">
        <v>166051.20000000001</v>
      </c>
      <c r="N2903" t="s">
        <v>86</v>
      </c>
      <c r="O2903">
        <v>2024</v>
      </c>
    </row>
    <row r="2904" spans="1:15" x14ac:dyDescent="0.3">
      <c r="A2904" t="s">
        <v>2989</v>
      </c>
      <c r="B2904" t="s">
        <v>23</v>
      </c>
      <c r="C2904" t="s">
        <v>54</v>
      </c>
      <c r="D2904" t="s">
        <v>137</v>
      </c>
      <c r="E2904" t="s">
        <v>50</v>
      </c>
      <c r="F2904" s="1">
        <v>45360</v>
      </c>
      <c r="G2904">
        <v>8</v>
      </c>
      <c r="H2904">
        <v>998.09</v>
      </c>
      <c r="I2904">
        <v>0</v>
      </c>
      <c r="J2904" t="s">
        <v>36</v>
      </c>
      <c r="K2904">
        <v>0</v>
      </c>
      <c r="L2904">
        <v>7984.72</v>
      </c>
      <c r="M2904">
        <v>7984.72</v>
      </c>
      <c r="N2904" t="s">
        <v>83</v>
      </c>
      <c r="O2904">
        <v>2024</v>
      </c>
    </row>
    <row r="2905" spans="1:15" x14ac:dyDescent="0.3">
      <c r="A2905" t="s">
        <v>2990</v>
      </c>
      <c r="B2905" t="s">
        <v>93</v>
      </c>
      <c r="C2905" t="s">
        <v>17</v>
      </c>
      <c r="D2905" t="s">
        <v>59</v>
      </c>
      <c r="E2905" t="s">
        <v>25</v>
      </c>
      <c r="F2905" s="1">
        <v>45378</v>
      </c>
      <c r="G2905">
        <v>10</v>
      </c>
      <c r="H2905">
        <v>23872.54</v>
      </c>
      <c r="I2905">
        <v>10</v>
      </c>
      <c r="J2905" t="s">
        <v>26</v>
      </c>
      <c r="K2905">
        <v>23872.54</v>
      </c>
      <c r="L2905">
        <v>238725.4</v>
      </c>
      <c r="M2905">
        <v>214852.86</v>
      </c>
      <c r="N2905" t="s">
        <v>83</v>
      </c>
      <c r="O2905">
        <v>2024</v>
      </c>
    </row>
    <row r="2906" spans="1:15" x14ac:dyDescent="0.3">
      <c r="A2906" t="s">
        <v>2991</v>
      </c>
      <c r="B2906" t="s">
        <v>93</v>
      </c>
      <c r="C2906" t="s">
        <v>34</v>
      </c>
      <c r="D2906" t="s">
        <v>66</v>
      </c>
      <c r="E2906" t="s">
        <v>50</v>
      </c>
      <c r="F2906" s="1">
        <v>45456</v>
      </c>
      <c r="G2906">
        <v>5</v>
      </c>
      <c r="H2906">
        <v>44363.54</v>
      </c>
      <c r="I2906">
        <v>0</v>
      </c>
      <c r="J2906" t="s">
        <v>36</v>
      </c>
      <c r="K2906">
        <v>0</v>
      </c>
      <c r="L2906">
        <v>221817.7</v>
      </c>
      <c r="M2906">
        <v>221817.7</v>
      </c>
      <c r="N2906" t="s">
        <v>72</v>
      </c>
      <c r="O2906">
        <v>2024</v>
      </c>
    </row>
    <row r="2907" spans="1:15" x14ac:dyDescent="0.3">
      <c r="A2907" t="s">
        <v>2992</v>
      </c>
      <c r="B2907" t="s">
        <v>29</v>
      </c>
      <c r="C2907" t="s">
        <v>17</v>
      </c>
      <c r="D2907" t="s">
        <v>24</v>
      </c>
      <c r="E2907" t="s">
        <v>56</v>
      </c>
      <c r="F2907" s="1">
        <v>46003</v>
      </c>
      <c r="G2907">
        <v>1</v>
      </c>
      <c r="H2907">
        <v>3316.39</v>
      </c>
      <c r="I2907">
        <v>0</v>
      </c>
      <c r="J2907" t="s">
        <v>26</v>
      </c>
      <c r="K2907">
        <v>0</v>
      </c>
      <c r="L2907">
        <v>3316.39</v>
      </c>
      <c r="M2907">
        <v>3316.39</v>
      </c>
      <c r="N2907" t="s">
        <v>51</v>
      </c>
      <c r="O2907">
        <v>2025</v>
      </c>
    </row>
    <row r="2908" spans="1:15" x14ac:dyDescent="0.3">
      <c r="A2908" t="s">
        <v>2993</v>
      </c>
      <c r="B2908" t="s">
        <v>89</v>
      </c>
      <c r="C2908" t="s">
        <v>54</v>
      </c>
      <c r="D2908" t="s">
        <v>55</v>
      </c>
      <c r="E2908" t="s">
        <v>56</v>
      </c>
      <c r="F2908" s="1">
        <v>45620</v>
      </c>
      <c r="G2908">
        <v>7</v>
      </c>
      <c r="H2908">
        <v>1280.73</v>
      </c>
      <c r="I2908">
        <v>0</v>
      </c>
      <c r="J2908" t="s">
        <v>26</v>
      </c>
      <c r="K2908">
        <v>0</v>
      </c>
      <c r="L2908">
        <v>8965.11</v>
      </c>
      <c r="M2908">
        <v>8965.11</v>
      </c>
      <c r="N2908" t="s">
        <v>96</v>
      </c>
      <c r="O2908">
        <v>2024</v>
      </c>
    </row>
    <row r="2909" spans="1:15" x14ac:dyDescent="0.3">
      <c r="A2909" t="s">
        <v>2994</v>
      </c>
      <c r="B2909" t="s">
        <v>89</v>
      </c>
      <c r="C2909" t="s">
        <v>90</v>
      </c>
      <c r="D2909" t="s">
        <v>105</v>
      </c>
      <c r="E2909" t="s">
        <v>56</v>
      </c>
      <c r="F2909" s="1">
        <v>45692</v>
      </c>
      <c r="G2909">
        <v>5</v>
      </c>
      <c r="H2909">
        <v>3341.09</v>
      </c>
      <c r="I2909">
        <v>20</v>
      </c>
      <c r="J2909" t="s">
        <v>36</v>
      </c>
      <c r="K2909">
        <v>3341.09</v>
      </c>
      <c r="L2909">
        <v>16705.45</v>
      </c>
      <c r="M2909">
        <v>13364.36</v>
      </c>
      <c r="N2909" t="s">
        <v>41</v>
      </c>
      <c r="O2909">
        <v>2025</v>
      </c>
    </row>
    <row r="2910" spans="1:15" x14ac:dyDescent="0.3">
      <c r="A2910" t="s">
        <v>2995</v>
      </c>
      <c r="B2910" t="s">
        <v>109</v>
      </c>
      <c r="C2910" t="s">
        <v>62</v>
      </c>
      <c r="D2910" t="s">
        <v>95</v>
      </c>
      <c r="E2910" t="s">
        <v>81</v>
      </c>
      <c r="F2910" s="1">
        <v>45525</v>
      </c>
      <c r="G2910">
        <v>8</v>
      </c>
      <c r="H2910">
        <v>754.69</v>
      </c>
      <c r="I2910">
        <v>10</v>
      </c>
      <c r="J2910" t="s">
        <v>45</v>
      </c>
      <c r="K2910">
        <v>603.75</v>
      </c>
      <c r="L2910">
        <v>6037.52</v>
      </c>
      <c r="M2910">
        <v>5433.77</v>
      </c>
      <c r="N2910" t="s">
        <v>21</v>
      </c>
      <c r="O2910">
        <v>2024</v>
      </c>
    </row>
    <row r="2911" spans="1:15" x14ac:dyDescent="0.3">
      <c r="A2911" t="s">
        <v>2996</v>
      </c>
      <c r="B2911" t="s">
        <v>89</v>
      </c>
      <c r="C2911" t="s">
        <v>90</v>
      </c>
      <c r="D2911" t="s">
        <v>105</v>
      </c>
      <c r="E2911" t="s">
        <v>44</v>
      </c>
      <c r="F2911" s="1">
        <v>45966</v>
      </c>
      <c r="G2911">
        <v>3</v>
      </c>
      <c r="H2911">
        <v>4290.24</v>
      </c>
      <c r="I2911">
        <v>0</v>
      </c>
      <c r="J2911" t="s">
        <v>31</v>
      </c>
      <c r="K2911">
        <v>0</v>
      </c>
      <c r="L2911">
        <v>12870.72</v>
      </c>
      <c r="M2911">
        <v>12870.72</v>
      </c>
      <c r="N2911" t="s">
        <v>96</v>
      </c>
      <c r="O2911">
        <v>2025</v>
      </c>
    </row>
    <row r="2912" spans="1:15" x14ac:dyDescent="0.3">
      <c r="A2912" t="s">
        <v>2997</v>
      </c>
      <c r="B2912" t="s">
        <v>74</v>
      </c>
      <c r="C2912" t="s">
        <v>34</v>
      </c>
      <c r="D2912" t="s">
        <v>85</v>
      </c>
      <c r="E2912" t="s">
        <v>56</v>
      </c>
      <c r="F2912" s="1">
        <v>45304</v>
      </c>
      <c r="G2912">
        <v>10</v>
      </c>
      <c r="H2912">
        <v>11576.93</v>
      </c>
      <c r="I2912">
        <v>0</v>
      </c>
      <c r="J2912" t="s">
        <v>82</v>
      </c>
      <c r="K2912">
        <v>0</v>
      </c>
      <c r="L2912">
        <v>115769.3</v>
      </c>
      <c r="M2912">
        <v>115769.3</v>
      </c>
      <c r="N2912" t="s">
        <v>116</v>
      </c>
      <c r="O2912">
        <v>2024</v>
      </c>
    </row>
    <row r="2913" spans="1:15" x14ac:dyDescent="0.3">
      <c r="A2913" t="s">
        <v>2998</v>
      </c>
      <c r="B2913" t="s">
        <v>53</v>
      </c>
      <c r="C2913" t="s">
        <v>90</v>
      </c>
      <c r="D2913" t="s">
        <v>115</v>
      </c>
      <c r="E2913" t="s">
        <v>50</v>
      </c>
      <c r="F2913" s="1">
        <v>45690</v>
      </c>
      <c r="G2913">
        <v>6</v>
      </c>
      <c r="H2913">
        <v>7752.04</v>
      </c>
      <c r="I2913">
        <v>10</v>
      </c>
      <c r="J2913" t="s">
        <v>82</v>
      </c>
      <c r="K2913">
        <v>4651.22</v>
      </c>
      <c r="L2913">
        <v>46512.24</v>
      </c>
      <c r="M2913">
        <v>41861.019999999997</v>
      </c>
      <c r="N2913" t="s">
        <v>41</v>
      </c>
      <c r="O2913">
        <v>2025</v>
      </c>
    </row>
    <row r="2914" spans="1:15" x14ac:dyDescent="0.3">
      <c r="A2914" t="s">
        <v>2999</v>
      </c>
      <c r="B2914" t="s">
        <v>89</v>
      </c>
      <c r="C2914" t="s">
        <v>17</v>
      </c>
      <c r="D2914" t="s">
        <v>59</v>
      </c>
      <c r="E2914" t="s">
        <v>50</v>
      </c>
      <c r="F2914" s="1">
        <v>45773</v>
      </c>
      <c r="G2914">
        <v>7</v>
      </c>
      <c r="H2914">
        <v>25770.99</v>
      </c>
      <c r="I2914">
        <v>15</v>
      </c>
      <c r="J2914" t="s">
        <v>71</v>
      </c>
      <c r="K2914">
        <v>27059.54</v>
      </c>
      <c r="L2914">
        <v>180396.93</v>
      </c>
      <c r="M2914">
        <v>153337.39000000001</v>
      </c>
      <c r="N2914" t="s">
        <v>27</v>
      </c>
      <c r="O2914">
        <v>2025</v>
      </c>
    </row>
    <row r="2915" spans="1:15" x14ac:dyDescent="0.3">
      <c r="A2915" t="s">
        <v>3000</v>
      </c>
      <c r="B2915" t="s">
        <v>23</v>
      </c>
      <c r="C2915" t="s">
        <v>90</v>
      </c>
      <c r="D2915" t="s">
        <v>105</v>
      </c>
      <c r="E2915" t="s">
        <v>44</v>
      </c>
      <c r="F2915" s="1">
        <v>45549</v>
      </c>
      <c r="G2915">
        <v>10</v>
      </c>
      <c r="H2915">
        <v>3405.78</v>
      </c>
      <c r="I2915">
        <v>20</v>
      </c>
      <c r="J2915" t="s">
        <v>20</v>
      </c>
      <c r="K2915">
        <v>6811.56</v>
      </c>
      <c r="L2915">
        <v>34057.800000000003</v>
      </c>
      <c r="M2915">
        <v>27246.240000000002</v>
      </c>
      <c r="N2915" t="s">
        <v>86</v>
      </c>
      <c r="O2915">
        <v>2024</v>
      </c>
    </row>
    <row r="2916" spans="1:15" x14ac:dyDescent="0.3">
      <c r="A2916" t="s">
        <v>3001</v>
      </c>
      <c r="B2916" t="s">
        <v>114</v>
      </c>
      <c r="C2916" t="s">
        <v>17</v>
      </c>
      <c r="D2916" t="s">
        <v>39</v>
      </c>
      <c r="E2916" t="s">
        <v>56</v>
      </c>
      <c r="F2916" s="1">
        <v>45776</v>
      </c>
      <c r="G2916">
        <v>6</v>
      </c>
      <c r="H2916">
        <v>20062.57</v>
      </c>
      <c r="I2916">
        <v>0</v>
      </c>
      <c r="J2916" t="s">
        <v>82</v>
      </c>
      <c r="K2916">
        <v>0</v>
      </c>
      <c r="L2916">
        <v>120375.42</v>
      </c>
      <c r="M2916">
        <v>120375.42</v>
      </c>
      <c r="N2916" t="s">
        <v>27</v>
      </c>
      <c r="O2916">
        <v>2025</v>
      </c>
    </row>
    <row r="2917" spans="1:15" x14ac:dyDescent="0.3">
      <c r="A2917" t="s">
        <v>3002</v>
      </c>
      <c r="B2917" t="s">
        <v>89</v>
      </c>
      <c r="C2917" t="s">
        <v>54</v>
      </c>
      <c r="D2917" t="s">
        <v>77</v>
      </c>
      <c r="E2917" t="s">
        <v>25</v>
      </c>
      <c r="F2917" s="1">
        <v>45798</v>
      </c>
      <c r="G2917">
        <v>10</v>
      </c>
      <c r="H2917">
        <v>5269.37</v>
      </c>
      <c r="I2917">
        <v>5</v>
      </c>
      <c r="J2917" t="s">
        <v>82</v>
      </c>
      <c r="K2917">
        <v>2634.68</v>
      </c>
      <c r="L2917">
        <v>52693.7</v>
      </c>
      <c r="M2917">
        <v>50059.02</v>
      </c>
      <c r="N2917" t="s">
        <v>101</v>
      </c>
      <c r="O2917">
        <v>2025</v>
      </c>
    </row>
    <row r="2918" spans="1:15" x14ac:dyDescent="0.3">
      <c r="A2918" t="s">
        <v>3003</v>
      </c>
      <c r="B2918" t="s">
        <v>16</v>
      </c>
      <c r="C2918" t="s">
        <v>34</v>
      </c>
      <c r="D2918" t="s">
        <v>48</v>
      </c>
      <c r="E2918" t="s">
        <v>50</v>
      </c>
      <c r="F2918" s="1">
        <v>45464</v>
      </c>
      <c r="G2918">
        <v>5</v>
      </c>
      <c r="H2918">
        <v>8320.7199999999993</v>
      </c>
      <c r="I2918">
        <v>15</v>
      </c>
      <c r="J2918" t="s">
        <v>26</v>
      </c>
      <c r="K2918">
        <v>6240.54</v>
      </c>
      <c r="L2918">
        <v>41603.599999999999</v>
      </c>
      <c r="M2918">
        <v>35363.06</v>
      </c>
      <c r="N2918" t="s">
        <v>72</v>
      </c>
      <c r="O2918">
        <v>2024</v>
      </c>
    </row>
    <row r="2919" spans="1:15" x14ac:dyDescent="0.3">
      <c r="A2919" t="s">
        <v>3004</v>
      </c>
      <c r="B2919" t="s">
        <v>74</v>
      </c>
      <c r="C2919" t="s">
        <v>62</v>
      </c>
      <c r="D2919" t="s">
        <v>119</v>
      </c>
      <c r="E2919" t="s">
        <v>19</v>
      </c>
      <c r="F2919" s="1">
        <v>45800</v>
      </c>
      <c r="G2919">
        <v>3</v>
      </c>
      <c r="H2919">
        <v>3341.65</v>
      </c>
      <c r="I2919">
        <v>10</v>
      </c>
      <c r="J2919" t="s">
        <v>82</v>
      </c>
      <c r="K2919">
        <v>1002.5</v>
      </c>
      <c r="L2919">
        <v>10024.950000000001</v>
      </c>
      <c r="M2919">
        <v>9022.4500000000007</v>
      </c>
      <c r="N2919" t="s">
        <v>101</v>
      </c>
      <c r="O2919">
        <v>2025</v>
      </c>
    </row>
    <row r="2920" spans="1:15" x14ac:dyDescent="0.3">
      <c r="A2920" t="s">
        <v>3005</v>
      </c>
      <c r="B2920" t="s">
        <v>74</v>
      </c>
      <c r="C2920" t="s">
        <v>90</v>
      </c>
      <c r="D2920" t="s">
        <v>115</v>
      </c>
      <c r="E2920" t="s">
        <v>50</v>
      </c>
      <c r="F2920" s="1">
        <v>45878</v>
      </c>
      <c r="G2920">
        <v>5</v>
      </c>
      <c r="H2920">
        <v>8097.27</v>
      </c>
      <c r="I2920">
        <v>0</v>
      </c>
      <c r="J2920" t="s">
        <v>31</v>
      </c>
      <c r="K2920">
        <v>0</v>
      </c>
      <c r="L2920">
        <v>40486.35</v>
      </c>
      <c r="M2920">
        <v>40486.35</v>
      </c>
      <c r="N2920" t="s">
        <v>21</v>
      </c>
      <c r="O2920">
        <v>2025</v>
      </c>
    </row>
    <row r="2921" spans="1:15" x14ac:dyDescent="0.3">
      <c r="A2921" t="s">
        <v>3006</v>
      </c>
      <c r="B2921" t="s">
        <v>38</v>
      </c>
      <c r="C2921" t="s">
        <v>34</v>
      </c>
      <c r="D2921" t="s">
        <v>48</v>
      </c>
      <c r="E2921" t="s">
        <v>19</v>
      </c>
      <c r="F2921" s="1">
        <v>45522</v>
      </c>
      <c r="G2921">
        <v>7</v>
      </c>
      <c r="H2921">
        <v>8884.1299999999992</v>
      </c>
      <c r="I2921">
        <v>5</v>
      </c>
      <c r="J2921" t="s">
        <v>45</v>
      </c>
      <c r="K2921">
        <v>3109.45</v>
      </c>
      <c r="L2921">
        <v>62188.91</v>
      </c>
      <c r="M2921">
        <v>59079.46</v>
      </c>
      <c r="N2921" t="s">
        <v>21</v>
      </c>
      <c r="O2921">
        <v>2024</v>
      </c>
    </row>
    <row r="2922" spans="1:15" x14ac:dyDescent="0.3">
      <c r="A2922" t="s">
        <v>3007</v>
      </c>
      <c r="B2922" t="s">
        <v>93</v>
      </c>
      <c r="C2922" t="s">
        <v>90</v>
      </c>
      <c r="D2922" t="s">
        <v>91</v>
      </c>
      <c r="E2922" t="s">
        <v>25</v>
      </c>
      <c r="F2922" s="1">
        <v>45996</v>
      </c>
      <c r="G2922">
        <v>8</v>
      </c>
      <c r="H2922">
        <v>1556.34</v>
      </c>
      <c r="I2922">
        <v>20</v>
      </c>
      <c r="J2922" t="s">
        <v>40</v>
      </c>
      <c r="K2922">
        <v>2490.14</v>
      </c>
      <c r="L2922">
        <v>12450.72</v>
      </c>
      <c r="M2922">
        <v>9960.58</v>
      </c>
      <c r="N2922" t="s">
        <v>51</v>
      </c>
      <c r="O2922">
        <v>2025</v>
      </c>
    </row>
    <row r="2923" spans="1:15" x14ac:dyDescent="0.3">
      <c r="A2923" t="s">
        <v>3008</v>
      </c>
      <c r="B2923" t="s">
        <v>47</v>
      </c>
      <c r="C2923" t="s">
        <v>90</v>
      </c>
      <c r="D2923" t="s">
        <v>115</v>
      </c>
      <c r="E2923" t="s">
        <v>30</v>
      </c>
      <c r="F2923" s="1">
        <v>45295</v>
      </c>
      <c r="G2923">
        <v>10</v>
      </c>
      <c r="H2923">
        <v>7877.81</v>
      </c>
      <c r="I2923">
        <v>20</v>
      </c>
      <c r="J2923" t="s">
        <v>26</v>
      </c>
      <c r="K2923">
        <v>15755.62</v>
      </c>
      <c r="L2923">
        <v>78778.100000000006</v>
      </c>
      <c r="M2923">
        <v>63022.48</v>
      </c>
      <c r="N2923" t="s">
        <v>116</v>
      </c>
      <c r="O2923">
        <v>2024</v>
      </c>
    </row>
    <row r="2924" spans="1:15" x14ac:dyDescent="0.3">
      <c r="A2924" t="s">
        <v>3009</v>
      </c>
      <c r="B2924" t="s">
        <v>89</v>
      </c>
      <c r="C2924" t="s">
        <v>62</v>
      </c>
      <c r="D2924" t="s">
        <v>119</v>
      </c>
      <c r="E2924" t="s">
        <v>30</v>
      </c>
      <c r="F2924" s="1">
        <v>45470</v>
      </c>
      <c r="G2924">
        <v>2</v>
      </c>
      <c r="H2924">
        <v>3491.96</v>
      </c>
      <c r="I2924">
        <v>10</v>
      </c>
      <c r="J2924" t="s">
        <v>40</v>
      </c>
      <c r="K2924">
        <v>698.39</v>
      </c>
      <c r="L2924">
        <v>6983.92</v>
      </c>
      <c r="M2924">
        <v>6285.53</v>
      </c>
      <c r="N2924" t="s">
        <v>72</v>
      </c>
      <c r="O2924">
        <v>2024</v>
      </c>
    </row>
    <row r="2925" spans="1:15" x14ac:dyDescent="0.3">
      <c r="A2925" t="s">
        <v>3010</v>
      </c>
      <c r="B2925" t="s">
        <v>74</v>
      </c>
      <c r="C2925" t="s">
        <v>34</v>
      </c>
      <c r="D2925" t="s">
        <v>48</v>
      </c>
      <c r="E2925" t="s">
        <v>81</v>
      </c>
      <c r="F2925" s="1">
        <v>45325</v>
      </c>
      <c r="G2925">
        <v>10</v>
      </c>
      <c r="H2925">
        <v>8762.0300000000007</v>
      </c>
      <c r="I2925">
        <v>15</v>
      </c>
      <c r="J2925" t="s">
        <v>26</v>
      </c>
      <c r="K2925">
        <v>13143.05</v>
      </c>
      <c r="L2925">
        <v>87620.3</v>
      </c>
      <c r="M2925">
        <v>74477.25</v>
      </c>
      <c r="N2925" t="s">
        <v>41</v>
      </c>
      <c r="O2925">
        <v>2024</v>
      </c>
    </row>
    <row r="2926" spans="1:15" x14ac:dyDescent="0.3">
      <c r="A2926" t="s">
        <v>3011</v>
      </c>
      <c r="B2926" t="s">
        <v>43</v>
      </c>
      <c r="C2926" t="s">
        <v>54</v>
      </c>
      <c r="D2926" t="s">
        <v>70</v>
      </c>
      <c r="E2926" t="s">
        <v>30</v>
      </c>
      <c r="F2926" s="1">
        <v>45343</v>
      </c>
      <c r="G2926">
        <v>5</v>
      </c>
      <c r="H2926">
        <v>2555.46</v>
      </c>
      <c r="I2926">
        <v>15</v>
      </c>
      <c r="J2926" t="s">
        <v>31</v>
      </c>
      <c r="K2926">
        <v>1916.59</v>
      </c>
      <c r="L2926">
        <v>12777.3</v>
      </c>
      <c r="M2926">
        <v>10860.71</v>
      </c>
      <c r="N2926" t="s">
        <v>41</v>
      </c>
      <c r="O2926">
        <v>2024</v>
      </c>
    </row>
    <row r="2927" spans="1:15" x14ac:dyDescent="0.3">
      <c r="A2927" t="s">
        <v>3012</v>
      </c>
      <c r="B2927" t="s">
        <v>29</v>
      </c>
      <c r="C2927" t="s">
        <v>17</v>
      </c>
      <c r="D2927" t="s">
        <v>39</v>
      </c>
      <c r="E2927" t="s">
        <v>56</v>
      </c>
      <c r="F2927" s="1">
        <v>45574</v>
      </c>
      <c r="G2927">
        <v>4</v>
      </c>
      <c r="H2927">
        <v>20082.330000000002</v>
      </c>
      <c r="I2927">
        <v>15</v>
      </c>
      <c r="J2927" t="s">
        <v>40</v>
      </c>
      <c r="K2927">
        <v>12049.4</v>
      </c>
      <c r="L2927">
        <v>80329.320000000007</v>
      </c>
      <c r="M2927">
        <v>68279.92</v>
      </c>
      <c r="N2927" t="s">
        <v>57</v>
      </c>
      <c r="O2927">
        <v>2024</v>
      </c>
    </row>
    <row r="2928" spans="1:15" x14ac:dyDescent="0.3">
      <c r="A2928" t="s">
        <v>3013</v>
      </c>
      <c r="B2928" t="s">
        <v>65</v>
      </c>
      <c r="C2928" t="s">
        <v>90</v>
      </c>
      <c r="D2928" t="s">
        <v>105</v>
      </c>
      <c r="E2928" t="s">
        <v>44</v>
      </c>
      <c r="F2928" s="1">
        <v>45959</v>
      </c>
      <c r="G2928">
        <v>6</v>
      </c>
      <c r="H2928">
        <v>4310.53</v>
      </c>
      <c r="I2928">
        <v>10</v>
      </c>
      <c r="J2928" t="s">
        <v>71</v>
      </c>
      <c r="K2928">
        <v>2586.3200000000002</v>
      </c>
      <c r="L2928">
        <v>25863.18</v>
      </c>
      <c r="M2928">
        <v>23276.86</v>
      </c>
      <c r="N2928" t="s">
        <v>57</v>
      </c>
      <c r="O2928">
        <v>2025</v>
      </c>
    </row>
    <row r="2929" spans="1:15" x14ac:dyDescent="0.3">
      <c r="A2929" t="s">
        <v>3014</v>
      </c>
      <c r="B2929" t="s">
        <v>53</v>
      </c>
      <c r="C2929" t="s">
        <v>90</v>
      </c>
      <c r="D2929" t="s">
        <v>152</v>
      </c>
      <c r="E2929" t="s">
        <v>30</v>
      </c>
      <c r="F2929" s="1">
        <v>45531</v>
      </c>
      <c r="G2929">
        <v>7</v>
      </c>
      <c r="H2929">
        <v>10383.629999999999</v>
      </c>
      <c r="I2929">
        <v>0</v>
      </c>
      <c r="J2929" t="s">
        <v>31</v>
      </c>
      <c r="K2929">
        <v>0</v>
      </c>
      <c r="L2929">
        <v>72685.41</v>
      </c>
      <c r="M2929">
        <v>72685.41</v>
      </c>
      <c r="N2929" t="s">
        <v>21</v>
      </c>
      <c r="O2929">
        <v>2024</v>
      </c>
    </row>
    <row r="2930" spans="1:15" x14ac:dyDescent="0.3">
      <c r="A2930" t="s">
        <v>3015</v>
      </c>
      <c r="B2930" t="s">
        <v>114</v>
      </c>
      <c r="C2930" t="s">
        <v>62</v>
      </c>
      <c r="D2930" t="s">
        <v>119</v>
      </c>
      <c r="E2930" t="s">
        <v>30</v>
      </c>
      <c r="F2930" s="1">
        <v>45823</v>
      </c>
      <c r="G2930">
        <v>6</v>
      </c>
      <c r="H2930">
        <v>3864.42</v>
      </c>
      <c r="I2930">
        <v>20</v>
      </c>
      <c r="J2930" t="s">
        <v>82</v>
      </c>
      <c r="K2930">
        <v>4637.3</v>
      </c>
      <c r="L2930">
        <v>23186.52</v>
      </c>
      <c r="M2930">
        <v>18549.22</v>
      </c>
      <c r="N2930" t="s">
        <v>72</v>
      </c>
      <c r="O2930">
        <v>2025</v>
      </c>
    </row>
    <row r="2931" spans="1:15" x14ac:dyDescent="0.3">
      <c r="A2931" t="s">
        <v>3016</v>
      </c>
      <c r="B2931" t="s">
        <v>109</v>
      </c>
      <c r="C2931" t="s">
        <v>54</v>
      </c>
      <c r="D2931" t="s">
        <v>70</v>
      </c>
      <c r="E2931" t="s">
        <v>50</v>
      </c>
      <c r="F2931" s="1">
        <v>45778</v>
      </c>
      <c r="G2931">
        <v>3</v>
      </c>
      <c r="H2931">
        <v>2610.54</v>
      </c>
      <c r="I2931">
        <v>0</v>
      </c>
      <c r="J2931" t="s">
        <v>71</v>
      </c>
      <c r="K2931">
        <v>0</v>
      </c>
      <c r="L2931">
        <v>7831.62</v>
      </c>
      <c r="M2931">
        <v>7831.62</v>
      </c>
      <c r="N2931" t="s">
        <v>101</v>
      </c>
      <c r="O2931">
        <v>2025</v>
      </c>
    </row>
    <row r="2932" spans="1:15" x14ac:dyDescent="0.3">
      <c r="A2932" t="s">
        <v>3017</v>
      </c>
      <c r="B2932" t="s">
        <v>43</v>
      </c>
      <c r="C2932" t="s">
        <v>17</v>
      </c>
      <c r="D2932" t="s">
        <v>24</v>
      </c>
      <c r="E2932" t="s">
        <v>19</v>
      </c>
      <c r="F2932" s="1">
        <v>46006</v>
      </c>
      <c r="G2932">
        <v>8</v>
      </c>
      <c r="H2932">
        <v>3506.09</v>
      </c>
      <c r="I2932">
        <v>20</v>
      </c>
      <c r="J2932" t="s">
        <v>26</v>
      </c>
      <c r="K2932">
        <v>5609.74</v>
      </c>
      <c r="L2932">
        <v>28048.720000000001</v>
      </c>
      <c r="M2932">
        <v>22438.98</v>
      </c>
      <c r="N2932" t="s">
        <v>51</v>
      </c>
      <c r="O2932">
        <v>2025</v>
      </c>
    </row>
    <row r="2933" spans="1:15" x14ac:dyDescent="0.3">
      <c r="A2933" t="s">
        <v>3018</v>
      </c>
      <c r="B2933" t="s">
        <v>43</v>
      </c>
      <c r="C2933" t="s">
        <v>90</v>
      </c>
      <c r="D2933" t="s">
        <v>105</v>
      </c>
      <c r="E2933" t="s">
        <v>50</v>
      </c>
      <c r="F2933" s="1">
        <v>45713</v>
      </c>
      <c r="G2933">
        <v>7</v>
      </c>
      <c r="H2933">
        <v>3179.11</v>
      </c>
      <c r="I2933">
        <v>0</v>
      </c>
      <c r="J2933" t="s">
        <v>45</v>
      </c>
      <c r="K2933">
        <v>0</v>
      </c>
      <c r="L2933">
        <v>22253.77</v>
      </c>
      <c r="M2933">
        <v>22253.77</v>
      </c>
      <c r="N2933" t="s">
        <v>41</v>
      </c>
      <c r="O2933">
        <v>2025</v>
      </c>
    </row>
    <row r="2934" spans="1:15" x14ac:dyDescent="0.3">
      <c r="A2934" t="s">
        <v>3019</v>
      </c>
      <c r="B2934" t="s">
        <v>89</v>
      </c>
      <c r="C2934" t="s">
        <v>34</v>
      </c>
      <c r="D2934" t="s">
        <v>85</v>
      </c>
      <c r="E2934" t="s">
        <v>19</v>
      </c>
      <c r="F2934" s="1">
        <v>45898</v>
      </c>
      <c r="G2934">
        <v>9</v>
      </c>
      <c r="H2934">
        <v>11536.94</v>
      </c>
      <c r="I2934">
        <v>0</v>
      </c>
      <c r="J2934" t="s">
        <v>31</v>
      </c>
      <c r="K2934">
        <v>0</v>
      </c>
      <c r="L2934">
        <v>103832.46</v>
      </c>
      <c r="M2934">
        <v>103832.46</v>
      </c>
      <c r="N2934" t="s">
        <v>21</v>
      </c>
      <c r="O2934">
        <v>2025</v>
      </c>
    </row>
    <row r="2935" spans="1:15" x14ac:dyDescent="0.3">
      <c r="A2935" t="s">
        <v>3020</v>
      </c>
      <c r="B2935" t="s">
        <v>61</v>
      </c>
      <c r="C2935" t="s">
        <v>90</v>
      </c>
      <c r="D2935" t="s">
        <v>152</v>
      </c>
      <c r="E2935" t="s">
        <v>56</v>
      </c>
      <c r="F2935" s="1">
        <v>45314</v>
      </c>
      <c r="G2935">
        <v>7</v>
      </c>
      <c r="H2935">
        <v>10177.51</v>
      </c>
      <c r="I2935">
        <v>0</v>
      </c>
      <c r="J2935" t="s">
        <v>20</v>
      </c>
      <c r="K2935">
        <v>0</v>
      </c>
      <c r="L2935">
        <v>71242.570000000007</v>
      </c>
      <c r="M2935">
        <v>71242.570000000007</v>
      </c>
      <c r="N2935" t="s">
        <v>116</v>
      </c>
      <c r="O2935">
        <v>2024</v>
      </c>
    </row>
    <row r="2936" spans="1:15" x14ac:dyDescent="0.3">
      <c r="A2936" t="s">
        <v>3021</v>
      </c>
      <c r="B2936" t="s">
        <v>53</v>
      </c>
      <c r="C2936" t="s">
        <v>54</v>
      </c>
      <c r="D2936" t="s">
        <v>55</v>
      </c>
      <c r="E2936" t="s">
        <v>30</v>
      </c>
      <c r="F2936" s="1">
        <v>45722</v>
      </c>
      <c r="G2936">
        <v>7</v>
      </c>
      <c r="H2936">
        <v>1346.36</v>
      </c>
      <c r="I2936">
        <v>15</v>
      </c>
      <c r="J2936" t="s">
        <v>36</v>
      </c>
      <c r="K2936">
        <v>1413.68</v>
      </c>
      <c r="L2936">
        <v>9424.52</v>
      </c>
      <c r="M2936">
        <v>8010.84</v>
      </c>
      <c r="N2936" t="s">
        <v>83</v>
      </c>
      <c r="O2936">
        <v>2025</v>
      </c>
    </row>
    <row r="2937" spans="1:15" x14ac:dyDescent="0.3">
      <c r="A2937" t="s">
        <v>3022</v>
      </c>
      <c r="B2937" t="s">
        <v>74</v>
      </c>
      <c r="C2937" t="s">
        <v>54</v>
      </c>
      <c r="D2937" t="s">
        <v>137</v>
      </c>
      <c r="E2937" t="s">
        <v>25</v>
      </c>
      <c r="F2937" s="1">
        <v>45816</v>
      </c>
      <c r="G2937">
        <v>8</v>
      </c>
      <c r="H2937">
        <v>924.32</v>
      </c>
      <c r="I2937">
        <v>20</v>
      </c>
      <c r="J2937" t="s">
        <v>26</v>
      </c>
      <c r="K2937">
        <v>1478.91</v>
      </c>
      <c r="L2937">
        <v>7394.56</v>
      </c>
      <c r="M2937">
        <v>5915.65</v>
      </c>
      <c r="N2937" t="s">
        <v>72</v>
      </c>
      <c r="O2937">
        <v>2025</v>
      </c>
    </row>
    <row r="2938" spans="1:15" x14ac:dyDescent="0.3">
      <c r="A2938" t="s">
        <v>3023</v>
      </c>
      <c r="B2938" t="s">
        <v>29</v>
      </c>
      <c r="C2938" t="s">
        <v>90</v>
      </c>
      <c r="D2938" t="s">
        <v>115</v>
      </c>
      <c r="E2938" t="s">
        <v>81</v>
      </c>
      <c r="F2938" s="1">
        <v>45984</v>
      </c>
      <c r="G2938">
        <v>10</v>
      </c>
      <c r="H2938">
        <v>9698.34</v>
      </c>
      <c r="I2938">
        <v>0</v>
      </c>
      <c r="J2938" t="s">
        <v>45</v>
      </c>
      <c r="K2938">
        <v>0</v>
      </c>
      <c r="L2938">
        <v>96983.4</v>
      </c>
      <c r="M2938">
        <v>96983.4</v>
      </c>
      <c r="N2938" t="s">
        <v>96</v>
      </c>
      <c r="O2938">
        <v>2025</v>
      </c>
    </row>
    <row r="2939" spans="1:15" x14ac:dyDescent="0.3">
      <c r="A2939" t="s">
        <v>3024</v>
      </c>
      <c r="B2939" t="s">
        <v>74</v>
      </c>
      <c r="C2939" t="s">
        <v>90</v>
      </c>
      <c r="D2939" t="s">
        <v>152</v>
      </c>
      <c r="E2939" t="s">
        <v>50</v>
      </c>
      <c r="F2939" s="1">
        <v>45501</v>
      </c>
      <c r="G2939">
        <v>5</v>
      </c>
      <c r="H2939">
        <v>10699.34</v>
      </c>
      <c r="I2939">
        <v>5</v>
      </c>
      <c r="J2939" t="s">
        <v>31</v>
      </c>
      <c r="K2939">
        <v>2674.84</v>
      </c>
      <c r="L2939">
        <v>53496.7</v>
      </c>
      <c r="M2939">
        <v>50821.86</v>
      </c>
      <c r="N2939" t="s">
        <v>122</v>
      </c>
      <c r="O2939">
        <v>2024</v>
      </c>
    </row>
    <row r="2940" spans="1:15" x14ac:dyDescent="0.3">
      <c r="A2940" t="s">
        <v>3025</v>
      </c>
      <c r="B2940" t="s">
        <v>38</v>
      </c>
      <c r="C2940" t="s">
        <v>54</v>
      </c>
      <c r="D2940" t="s">
        <v>77</v>
      </c>
      <c r="E2940" t="s">
        <v>44</v>
      </c>
      <c r="F2940" s="1">
        <v>45701</v>
      </c>
      <c r="G2940">
        <v>1</v>
      </c>
      <c r="H2940">
        <v>5427.36</v>
      </c>
      <c r="I2940">
        <v>10</v>
      </c>
      <c r="J2940" t="s">
        <v>71</v>
      </c>
      <c r="K2940">
        <v>542.74</v>
      </c>
      <c r="L2940">
        <v>5427.36</v>
      </c>
      <c r="M2940">
        <v>4884.62</v>
      </c>
      <c r="N2940" t="s">
        <v>41</v>
      </c>
      <c r="O2940">
        <v>2025</v>
      </c>
    </row>
    <row r="2941" spans="1:15" x14ac:dyDescent="0.3">
      <c r="A2941" t="s">
        <v>3026</v>
      </c>
      <c r="B2941" t="s">
        <v>38</v>
      </c>
      <c r="C2941" t="s">
        <v>62</v>
      </c>
      <c r="D2941" t="s">
        <v>95</v>
      </c>
      <c r="E2941" t="s">
        <v>30</v>
      </c>
      <c r="F2941" s="1">
        <v>45876</v>
      </c>
      <c r="G2941">
        <v>3</v>
      </c>
      <c r="H2941">
        <v>747.8</v>
      </c>
      <c r="I2941">
        <v>0</v>
      </c>
      <c r="J2941" t="s">
        <v>40</v>
      </c>
      <c r="K2941">
        <v>0</v>
      </c>
      <c r="L2941">
        <v>2243.4</v>
      </c>
      <c r="M2941">
        <v>2243.4</v>
      </c>
      <c r="N2941" t="s">
        <v>21</v>
      </c>
      <c r="O2941">
        <v>2025</v>
      </c>
    </row>
    <row r="2942" spans="1:15" x14ac:dyDescent="0.3">
      <c r="A2942" t="s">
        <v>3027</v>
      </c>
      <c r="B2942" t="s">
        <v>43</v>
      </c>
      <c r="C2942" t="s">
        <v>90</v>
      </c>
      <c r="D2942" t="s">
        <v>105</v>
      </c>
      <c r="E2942" t="s">
        <v>30</v>
      </c>
      <c r="F2942" s="1">
        <v>46008</v>
      </c>
      <c r="G2942">
        <v>2</v>
      </c>
      <c r="H2942">
        <v>3989.63</v>
      </c>
      <c r="I2942">
        <v>15</v>
      </c>
      <c r="J2942" t="s">
        <v>31</v>
      </c>
      <c r="K2942">
        <v>1196.8900000000001</v>
      </c>
      <c r="L2942">
        <v>7979.26</v>
      </c>
      <c r="M2942">
        <v>6782.37</v>
      </c>
      <c r="N2942" t="s">
        <v>51</v>
      </c>
      <c r="O2942">
        <v>2025</v>
      </c>
    </row>
    <row r="2943" spans="1:15" x14ac:dyDescent="0.3">
      <c r="A2943" t="s">
        <v>3028</v>
      </c>
      <c r="B2943" t="s">
        <v>23</v>
      </c>
      <c r="C2943" t="s">
        <v>90</v>
      </c>
      <c r="D2943" t="s">
        <v>105</v>
      </c>
      <c r="E2943" t="s">
        <v>56</v>
      </c>
      <c r="F2943" s="1">
        <v>45483</v>
      </c>
      <c r="G2943">
        <v>1</v>
      </c>
      <c r="H2943">
        <v>3817.22</v>
      </c>
      <c r="I2943">
        <v>15</v>
      </c>
      <c r="J2943" t="s">
        <v>20</v>
      </c>
      <c r="K2943">
        <v>572.58000000000004</v>
      </c>
      <c r="L2943">
        <v>3817.22</v>
      </c>
      <c r="M2943">
        <v>3244.64</v>
      </c>
      <c r="N2943" t="s">
        <v>122</v>
      </c>
      <c r="O2943">
        <v>2024</v>
      </c>
    </row>
    <row r="2944" spans="1:15" x14ac:dyDescent="0.3">
      <c r="A2944" t="s">
        <v>3029</v>
      </c>
      <c r="B2944" t="s">
        <v>114</v>
      </c>
      <c r="C2944" t="s">
        <v>34</v>
      </c>
      <c r="D2944" t="s">
        <v>66</v>
      </c>
      <c r="E2944" t="s">
        <v>30</v>
      </c>
      <c r="F2944" s="1">
        <v>45777</v>
      </c>
      <c r="G2944">
        <v>4</v>
      </c>
      <c r="H2944">
        <v>45435.05</v>
      </c>
      <c r="I2944">
        <v>20</v>
      </c>
      <c r="J2944" t="s">
        <v>26</v>
      </c>
      <c r="K2944">
        <v>36348.04</v>
      </c>
      <c r="L2944">
        <v>181740.2</v>
      </c>
      <c r="M2944">
        <v>145392.16</v>
      </c>
      <c r="N2944" t="s">
        <v>27</v>
      </c>
      <c r="O2944">
        <v>2025</v>
      </c>
    </row>
    <row r="2945" spans="1:15" x14ac:dyDescent="0.3">
      <c r="A2945" t="s">
        <v>3030</v>
      </c>
      <c r="B2945" t="s">
        <v>74</v>
      </c>
      <c r="C2945" t="s">
        <v>54</v>
      </c>
      <c r="D2945" t="s">
        <v>55</v>
      </c>
      <c r="E2945" t="s">
        <v>44</v>
      </c>
      <c r="F2945" s="1">
        <v>45981</v>
      </c>
      <c r="G2945">
        <v>10</v>
      </c>
      <c r="H2945">
        <v>1457.41</v>
      </c>
      <c r="I2945">
        <v>5</v>
      </c>
      <c r="J2945" t="s">
        <v>82</v>
      </c>
      <c r="K2945">
        <v>728.71</v>
      </c>
      <c r="L2945">
        <v>14574.1</v>
      </c>
      <c r="M2945">
        <v>13845.39</v>
      </c>
      <c r="N2945" t="s">
        <v>96</v>
      </c>
      <c r="O2945">
        <v>2025</v>
      </c>
    </row>
    <row r="2946" spans="1:15" x14ac:dyDescent="0.3">
      <c r="A2946" t="s">
        <v>3031</v>
      </c>
      <c r="B2946" t="s">
        <v>65</v>
      </c>
      <c r="C2946" t="s">
        <v>90</v>
      </c>
      <c r="D2946" t="s">
        <v>105</v>
      </c>
      <c r="E2946" t="s">
        <v>50</v>
      </c>
      <c r="F2946" s="1">
        <v>46011</v>
      </c>
      <c r="G2946">
        <v>6</v>
      </c>
      <c r="H2946">
        <v>4394.5600000000004</v>
      </c>
      <c r="I2946">
        <v>5</v>
      </c>
      <c r="J2946" t="s">
        <v>31</v>
      </c>
      <c r="K2946">
        <v>1318.37</v>
      </c>
      <c r="L2946">
        <v>26367.360000000001</v>
      </c>
      <c r="M2946">
        <v>25048.99</v>
      </c>
      <c r="N2946" t="s">
        <v>51</v>
      </c>
      <c r="O2946">
        <v>2025</v>
      </c>
    </row>
    <row r="2947" spans="1:15" x14ac:dyDescent="0.3">
      <c r="A2947" t="s">
        <v>3032</v>
      </c>
      <c r="B2947" t="s">
        <v>47</v>
      </c>
      <c r="C2947" t="s">
        <v>34</v>
      </c>
      <c r="D2947" t="s">
        <v>35</v>
      </c>
      <c r="E2947" t="s">
        <v>56</v>
      </c>
      <c r="F2947" s="1">
        <v>45838</v>
      </c>
      <c r="G2947">
        <v>7</v>
      </c>
      <c r="H2947">
        <v>27639.74</v>
      </c>
      <c r="I2947">
        <v>10</v>
      </c>
      <c r="J2947" t="s">
        <v>26</v>
      </c>
      <c r="K2947">
        <v>19347.82</v>
      </c>
      <c r="L2947">
        <v>193478.18</v>
      </c>
      <c r="M2947">
        <v>174130.36</v>
      </c>
      <c r="N2947" t="s">
        <v>72</v>
      </c>
      <c r="O2947">
        <v>2025</v>
      </c>
    </row>
    <row r="2948" spans="1:15" x14ac:dyDescent="0.3">
      <c r="A2948" t="s">
        <v>3033</v>
      </c>
      <c r="B2948" t="s">
        <v>53</v>
      </c>
      <c r="C2948" t="s">
        <v>54</v>
      </c>
      <c r="D2948" t="s">
        <v>137</v>
      </c>
      <c r="E2948" t="s">
        <v>56</v>
      </c>
      <c r="F2948" s="1">
        <v>45453</v>
      </c>
      <c r="G2948">
        <v>1</v>
      </c>
      <c r="H2948">
        <v>856.41</v>
      </c>
      <c r="I2948">
        <v>20</v>
      </c>
      <c r="J2948" t="s">
        <v>40</v>
      </c>
      <c r="K2948">
        <v>171.28</v>
      </c>
      <c r="L2948">
        <v>856.41</v>
      </c>
      <c r="M2948">
        <v>685.13</v>
      </c>
      <c r="N2948" t="s">
        <v>72</v>
      </c>
      <c r="O2948">
        <v>2024</v>
      </c>
    </row>
    <row r="2949" spans="1:15" x14ac:dyDescent="0.3">
      <c r="A2949" t="s">
        <v>3034</v>
      </c>
      <c r="B2949" t="s">
        <v>114</v>
      </c>
      <c r="C2949" t="s">
        <v>54</v>
      </c>
      <c r="D2949" t="s">
        <v>55</v>
      </c>
      <c r="E2949" t="s">
        <v>25</v>
      </c>
      <c r="F2949" s="1">
        <v>45626</v>
      </c>
      <c r="G2949">
        <v>5</v>
      </c>
      <c r="H2949">
        <v>1414.74</v>
      </c>
      <c r="I2949">
        <v>20</v>
      </c>
      <c r="J2949" t="s">
        <v>20</v>
      </c>
      <c r="K2949">
        <v>1414.74</v>
      </c>
      <c r="L2949">
        <v>7073.7</v>
      </c>
      <c r="M2949">
        <v>5658.96</v>
      </c>
      <c r="N2949" t="s">
        <v>96</v>
      </c>
      <c r="O2949">
        <v>2024</v>
      </c>
    </row>
    <row r="2950" spans="1:15" x14ac:dyDescent="0.3">
      <c r="A2950" t="s">
        <v>3035</v>
      </c>
      <c r="B2950" t="s">
        <v>43</v>
      </c>
      <c r="C2950" t="s">
        <v>17</v>
      </c>
      <c r="D2950" t="s">
        <v>18</v>
      </c>
      <c r="E2950" t="s">
        <v>19</v>
      </c>
      <c r="F2950" s="1">
        <v>45752</v>
      </c>
      <c r="G2950">
        <v>1</v>
      </c>
      <c r="H2950">
        <v>74650.61</v>
      </c>
      <c r="I2950">
        <v>20</v>
      </c>
      <c r="J2950" t="s">
        <v>31</v>
      </c>
      <c r="K2950">
        <v>14930.12</v>
      </c>
      <c r="L2950">
        <v>74650.61</v>
      </c>
      <c r="M2950">
        <v>59720.49</v>
      </c>
      <c r="N2950" t="s">
        <v>27</v>
      </c>
      <c r="O2950">
        <v>2025</v>
      </c>
    </row>
    <row r="2951" spans="1:15" x14ac:dyDescent="0.3">
      <c r="A2951" t="s">
        <v>3036</v>
      </c>
      <c r="B2951" t="s">
        <v>93</v>
      </c>
      <c r="C2951" t="s">
        <v>34</v>
      </c>
      <c r="D2951" t="s">
        <v>80</v>
      </c>
      <c r="E2951" t="s">
        <v>19</v>
      </c>
      <c r="F2951" s="1">
        <v>45486</v>
      </c>
      <c r="G2951">
        <v>1</v>
      </c>
      <c r="H2951">
        <v>5951.8</v>
      </c>
      <c r="I2951">
        <v>20</v>
      </c>
      <c r="J2951" t="s">
        <v>71</v>
      </c>
      <c r="K2951">
        <v>1190.3599999999999</v>
      </c>
      <c r="L2951">
        <v>5951.8</v>
      </c>
      <c r="M2951">
        <v>4761.4399999999996</v>
      </c>
      <c r="N2951" t="s">
        <v>122</v>
      </c>
      <c r="O2951">
        <v>2024</v>
      </c>
    </row>
    <row r="2952" spans="1:15" x14ac:dyDescent="0.3">
      <c r="A2952" t="s">
        <v>3037</v>
      </c>
      <c r="B2952" t="s">
        <v>43</v>
      </c>
      <c r="C2952" t="s">
        <v>54</v>
      </c>
      <c r="D2952" t="s">
        <v>55</v>
      </c>
      <c r="E2952" t="s">
        <v>50</v>
      </c>
      <c r="F2952" s="1">
        <v>45966</v>
      </c>
      <c r="G2952">
        <v>4</v>
      </c>
      <c r="H2952">
        <v>1455.87</v>
      </c>
      <c r="I2952">
        <v>5</v>
      </c>
      <c r="J2952" t="s">
        <v>40</v>
      </c>
      <c r="K2952">
        <v>291.17</v>
      </c>
      <c r="L2952">
        <v>5823.48</v>
      </c>
      <c r="M2952">
        <v>5532.31</v>
      </c>
      <c r="N2952" t="s">
        <v>96</v>
      </c>
      <c r="O2952">
        <v>2025</v>
      </c>
    </row>
    <row r="2953" spans="1:15" x14ac:dyDescent="0.3">
      <c r="A2953" t="s">
        <v>3038</v>
      </c>
      <c r="B2953" t="s">
        <v>16</v>
      </c>
      <c r="C2953" t="s">
        <v>17</v>
      </c>
      <c r="D2953" t="s">
        <v>157</v>
      </c>
      <c r="E2953" t="s">
        <v>81</v>
      </c>
      <c r="F2953" s="1">
        <v>45716</v>
      </c>
      <c r="G2953">
        <v>8</v>
      </c>
      <c r="H2953">
        <v>7178.5</v>
      </c>
      <c r="I2953">
        <v>0</v>
      </c>
      <c r="J2953" t="s">
        <v>82</v>
      </c>
      <c r="K2953">
        <v>0</v>
      </c>
      <c r="L2953">
        <v>57428</v>
      </c>
      <c r="M2953">
        <v>57428</v>
      </c>
      <c r="N2953" t="s">
        <v>41</v>
      </c>
      <c r="O2953">
        <v>2025</v>
      </c>
    </row>
    <row r="2954" spans="1:15" x14ac:dyDescent="0.3">
      <c r="A2954" t="s">
        <v>3039</v>
      </c>
      <c r="B2954" t="s">
        <v>61</v>
      </c>
      <c r="C2954" t="s">
        <v>90</v>
      </c>
      <c r="D2954" t="s">
        <v>152</v>
      </c>
      <c r="E2954" t="s">
        <v>19</v>
      </c>
      <c r="F2954" s="1">
        <v>45986</v>
      </c>
      <c r="G2954">
        <v>2</v>
      </c>
      <c r="H2954">
        <v>10845.28</v>
      </c>
      <c r="I2954">
        <v>20</v>
      </c>
      <c r="J2954" t="s">
        <v>20</v>
      </c>
      <c r="K2954">
        <v>4338.1099999999997</v>
      </c>
      <c r="L2954">
        <v>21690.560000000001</v>
      </c>
      <c r="M2954">
        <v>17352.45</v>
      </c>
      <c r="N2954" t="s">
        <v>96</v>
      </c>
      <c r="O2954">
        <v>2025</v>
      </c>
    </row>
    <row r="2955" spans="1:15" x14ac:dyDescent="0.3">
      <c r="A2955" t="s">
        <v>3040</v>
      </c>
      <c r="B2955" t="s">
        <v>47</v>
      </c>
      <c r="C2955" t="s">
        <v>54</v>
      </c>
      <c r="D2955" t="s">
        <v>70</v>
      </c>
      <c r="E2955" t="s">
        <v>56</v>
      </c>
      <c r="F2955" s="1">
        <v>45886</v>
      </c>
      <c r="G2955">
        <v>3</v>
      </c>
      <c r="H2955">
        <v>2813.28</v>
      </c>
      <c r="I2955">
        <v>20</v>
      </c>
      <c r="J2955" t="s">
        <v>40</v>
      </c>
      <c r="K2955">
        <v>1687.97</v>
      </c>
      <c r="L2955">
        <v>8439.84</v>
      </c>
      <c r="M2955">
        <v>6751.87</v>
      </c>
      <c r="N2955" t="s">
        <v>21</v>
      </c>
      <c r="O2955">
        <v>2025</v>
      </c>
    </row>
    <row r="2956" spans="1:15" x14ac:dyDescent="0.3">
      <c r="A2956" t="s">
        <v>3041</v>
      </c>
      <c r="B2956" t="s">
        <v>109</v>
      </c>
      <c r="C2956" t="s">
        <v>17</v>
      </c>
      <c r="D2956" t="s">
        <v>39</v>
      </c>
      <c r="E2956" t="s">
        <v>50</v>
      </c>
      <c r="F2956" s="1">
        <v>45339</v>
      </c>
      <c r="G2956">
        <v>2</v>
      </c>
      <c r="H2956">
        <v>18341.79</v>
      </c>
      <c r="I2956">
        <v>20</v>
      </c>
      <c r="J2956" t="s">
        <v>71</v>
      </c>
      <c r="K2956">
        <v>7336.72</v>
      </c>
      <c r="L2956">
        <v>36683.58</v>
      </c>
      <c r="M2956">
        <v>29346.86</v>
      </c>
      <c r="N2956" t="s">
        <v>41</v>
      </c>
      <c r="O2956">
        <v>2024</v>
      </c>
    </row>
    <row r="2957" spans="1:15" x14ac:dyDescent="0.3">
      <c r="A2957" t="s">
        <v>3042</v>
      </c>
      <c r="B2957" t="s">
        <v>61</v>
      </c>
      <c r="C2957" t="s">
        <v>34</v>
      </c>
      <c r="D2957" t="s">
        <v>35</v>
      </c>
      <c r="E2957" t="s">
        <v>19</v>
      </c>
      <c r="F2957" s="1">
        <v>45748</v>
      </c>
      <c r="G2957">
        <v>1</v>
      </c>
      <c r="H2957">
        <v>23772.42</v>
      </c>
      <c r="I2957">
        <v>20</v>
      </c>
      <c r="J2957" t="s">
        <v>26</v>
      </c>
      <c r="K2957">
        <v>4754.4799999999996</v>
      </c>
      <c r="L2957">
        <v>23772.42</v>
      </c>
      <c r="M2957">
        <v>19017.939999999999</v>
      </c>
      <c r="N2957" t="s">
        <v>27</v>
      </c>
      <c r="O2957">
        <v>2025</v>
      </c>
    </row>
    <row r="2958" spans="1:15" x14ac:dyDescent="0.3">
      <c r="A2958" t="s">
        <v>3043</v>
      </c>
      <c r="B2958" t="s">
        <v>65</v>
      </c>
      <c r="C2958" t="s">
        <v>54</v>
      </c>
      <c r="D2958" t="s">
        <v>70</v>
      </c>
      <c r="E2958" t="s">
        <v>30</v>
      </c>
      <c r="F2958" s="1">
        <v>45757</v>
      </c>
      <c r="G2958">
        <v>3</v>
      </c>
      <c r="H2958">
        <v>2501.3200000000002</v>
      </c>
      <c r="I2958">
        <v>20</v>
      </c>
      <c r="J2958" t="s">
        <v>82</v>
      </c>
      <c r="K2958">
        <v>1500.79</v>
      </c>
      <c r="L2958">
        <v>7503.96</v>
      </c>
      <c r="M2958">
        <v>6003.17</v>
      </c>
      <c r="N2958" t="s">
        <v>27</v>
      </c>
      <c r="O2958">
        <v>2025</v>
      </c>
    </row>
    <row r="2959" spans="1:15" x14ac:dyDescent="0.3">
      <c r="A2959" t="s">
        <v>3044</v>
      </c>
      <c r="B2959" t="s">
        <v>23</v>
      </c>
      <c r="C2959" t="s">
        <v>34</v>
      </c>
      <c r="D2959" t="s">
        <v>66</v>
      </c>
      <c r="E2959" t="s">
        <v>81</v>
      </c>
      <c r="F2959" s="1">
        <v>45958</v>
      </c>
      <c r="G2959">
        <v>5</v>
      </c>
      <c r="H2959">
        <v>48762.16</v>
      </c>
      <c r="I2959">
        <v>20</v>
      </c>
      <c r="J2959" t="s">
        <v>36</v>
      </c>
      <c r="K2959">
        <v>48762.16</v>
      </c>
      <c r="L2959">
        <v>243810.8</v>
      </c>
      <c r="M2959">
        <v>195048.64</v>
      </c>
      <c r="N2959" t="s">
        <v>57</v>
      </c>
      <c r="O2959">
        <v>2025</v>
      </c>
    </row>
    <row r="2960" spans="1:15" x14ac:dyDescent="0.3">
      <c r="A2960" t="s">
        <v>3045</v>
      </c>
      <c r="B2960" t="s">
        <v>61</v>
      </c>
      <c r="C2960" t="s">
        <v>62</v>
      </c>
      <c r="D2960" t="s">
        <v>95</v>
      </c>
      <c r="E2960" t="s">
        <v>44</v>
      </c>
      <c r="F2960" s="1">
        <v>45760</v>
      </c>
      <c r="G2960">
        <v>3</v>
      </c>
      <c r="H2960">
        <v>823.27</v>
      </c>
      <c r="I2960">
        <v>20</v>
      </c>
      <c r="J2960" t="s">
        <v>26</v>
      </c>
      <c r="K2960">
        <v>493.96</v>
      </c>
      <c r="L2960">
        <v>2469.81</v>
      </c>
      <c r="M2960">
        <v>1975.85</v>
      </c>
      <c r="N2960" t="s">
        <v>27</v>
      </c>
      <c r="O2960">
        <v>2025</v>
      </c>
    </row>
    <row r="2961" spans="1:15" x14ac:dyDescent="0.3">
      <c r="A2961" t="s">
        <v>3046</v>
      </c>
      <c r="B2961" t="s">
        <v>53</v>
      </c>
      <c r="C2961" t="s">
        <v>62</v>
      </c>
      <c r="D2961" t="s">
        <v>132</v>
      </c>
      <c r="E2961" t="s">
        <v>30</v>
      </c>
      <c r="F2961" s="1">
        <v>45938</v>
      </c>
      <c r="G2961">
        <v>5</v>
      </c>
      <c r="H2961">
        <v>2536.06</v>
      </c>
      <c r="I2961">
        <v>15</v>
      </c>
      <c r="J2961" t="s">
        <v>71</v>
      </c>
      <c r="K2961">
        <v>1902.04</v>
      </c>
      <c r="L2961">
        <v>12680.3</v>
      </c>
      <c r="M2961">
        <v>10778.26</v>
      </c>
      <c r="N2961" t="s">
        <v>57</v>
      </c>
      <c r="O2961">
        <v>2025</v>
      </c>
    </row>
    <row r="2962" spans="1:15" x14ac:dyDescent="0.3">
      <c r="A2962" t="s">
        <v>3047</v>
      </c>
      <c r="B2962" t="s">
        <v>23</v>
      </c>
      <c r="C2962" t="s">
        <v>54</v>
      </c>
      <c r="D2962" t="s">
        <v>70</v>
      </c>
      <c r="E2962" t="s">
        <v>81</v>
      </c>
      <c r="F2962" s="1">
        <v>45906</v>
      </c>
      <c r="G2962">
        <v>7</v>
      </c>
      <c r="H2962">
        <v>2786.61</v>
      </c>
      <c r="I2962">
        <v>5</v>
      </c>
      <c r="J2962" t="s">
        <v>82</v>
      </c>
      <c r="K2962">
        <v>975.31</v>
      </c>
      <c r="L2962">
        <v>19506.27</v>
      </c>
      <c r="M2962">
        <v>18530.96</v>
      </c>
      <c r="N2962" t="s">
        <v>86</v>
      </c>
      <c r="O2962">
        <v>2025</v>
      </c>
    </row>
    <row r="2963" spans="1:15" x14ac:dyDescent="0.3">
      <c r="A2963" t="s">
        <v>3048</v>
      </c>
      <c r="B2963" t="s">
        <v>23</v>
      </c>
      <c r="C2963" t="s">
        <v>90</v>
      </c>
      <c r="D2963" t="s">
        <v>152</v>
      </c>
      <c r="E2963" t="s">
        <v>50</v>
      </c>
      <c r="F2963" s="1">
        <v>45862</v>
      </c>
      <c r="G2963">
        <v>1</v>
      </c>
      <c r="H2963">
        <v>10325.959999999999</v>
      </c>
      <c r="I2963">
        <v>0</v>
      </c>
      <c r="J2963" t="s">
        <v>26</v>
      </c>
      <c r="K2963">
        <v>0</v>
      </c>
      <c r="L2963">
        <v>10325.959999999999</v>
      </c>
      <c r="M2963">
        <v>10325.959999999999</v>
      </c>
      <c r="N2963" t="s">
        <v>122</v>
      </c>
      <c r="O2963">
        <v>2025</v>
      </c>
    </row>
    <row r="2964" spans="1:15" x14ac:dyDescent="0.3">
      <c r="A2964" t="s">
        <v>3049</v>
      </c>
      <c r="B2964" t="s">
        <v>47</v>
      </c>
      <c r="C2964" t="s">
        <v>34</v>
      </c>
      <c r="D2964" t="s">
        <v>66</v>
      </c>
      <c r="E2964" t="s">
        <v>56</v>
      </c>
      <c r="F2964" s="1">
        <v>45942</v>
      </c>
      <c r="G2964">
        <v>3</v>
      </c>
      <c r="H2964">
        <v>50536.92</v>
      </c>
      <c r="I2964">
        <v>15</v>
      </c>
      <c r="J2964" t="s">
        <v>26</v>
      </c>
      <c r="K2964">
        <v>22741.61</v>
      </c>
      <c r="L2964">
        <v>151610.76</v>
      </c>
      <c r="M2964">
        <v>128869.15</v>
      </c>
      <c r="N2964" t="s">
        <v>57</v>
      </c>
      <c r="O2964">
        <v>2025</v>
      </c>
    </row>
    <row r="2965" spans="1:15" x14ac:dyDescent="0.3">
      <c r="A2965" t="s">
        <v>3050</v>
      </c>
      <c r="B2965" t="s">
        <v>43</v>
      </c>
      <c r="C2965" t="s">
        <v>34</v>
      </c>
      <c r="D2965" t="s">
        <v>48</v>
      </c>
      <c r="E2965" t="s">
        <v>19</v>
      </c>
      <c r="F2965" s="1">
        <v>45625</v>
      </c>
      <c r="G2965">
        <v>10</v>
      </c>
      <c r="H2965">
        <v>8759.27</v>
      </c>
      <c r="I2965">
        <v>5</v>
      </c>
      <c r="J2965" t="s">
        <v>20</v>
      </c>
      <c r="K2965">
        <v>4379.6400000000003</v>
      </c>
      <c r="L2965">
        <v>87592.7</v>
      </c>
      <c r="M2965">
        <v>83213.06</v>
      </c>
      <c r="N2965" t="s">
        <v>96</v>
      </c>
      <c r="O2965">
        <v>2024</v>
      </c>
    </row>
    <row r="2966" spans="1:15" x14ac:dyDescent="0.3">
      <c r="A2966" t="s">
        <v>3051</v>
      </c>
      <c r="B2966" t="s">
        <v>65</v>
      </c>
      <c r="C2966" t="s">
        <v>62</v>
      </c>
      <c r="D2966" t="s">
        <v>119</v>
      </c>
      <c r="E2966" t="s">
        <v>30</v>
      </c>
      <c r="F2966" s="1">
        <v>45298</v>
      </c>
      <c r="G2966">
        <v>2</v>
      </c>
      <c r="H2966">
        <v>3306.31</v>
      </c>
      <c r="I2966">
        <v>10</v>
      </c>
      <c r="J2966" t="s">
        <v>71</v>
      </c>
      <c r="K2966">
        <v>661.26</v>
      </c>
      <c r="L2966">
        <v>6612.62</v>
      </c>
      <c r="M2966">
        <v>5951.36</v>
      </c>
      <c r="N2966" t="s">
        <v>116</v>
      </c>
      <c r="O2966">
        <v>2024</v>
      </c>
    </row>
    <row r="2967" spans="1:15" x14ac:dyDescent="0.3">
      <c r="A2967" t="s">
        <v>3052</v>
      </c>
      <c r="B2967" t="s">
        <v>53</v>
      </c>
      <c r="C2967" t="s">
        <v>34</v>
      </c>
      <c r="D2967" t="s">
        <v>48</v>
      </c>
      <c r="E2967" t="s">
        <v>30</v>
      </c>
      <c r="F2967" s="1">
        <v>45512</v>
      </c>
      <c r="G2967">
        <v>7</v>
      </c>
      <c r="H2967">
        <v>8393.34</v>
      </c>
      <c r="I2967">
        <v>20</v>
      </c>
      <c r="J2967" t="s">
        <v>45</v>
      </c>
      <c r="K2967">
        <v>11750.68</v>
      </c>
      <c r="L2967">
        <v>58753.38</v>
      </c>
      <c r="M2967">
        <v>47002.7</v>
      </c>
      <c r="N2967" t="s">
        <v>21</v>
      </c>
      <c r="O2967">
        <v>2024</v>
      </c>
    </row>
    <row r="2968" spans="1:15" x14ac:dyDescent="0.3">
      <c r="A2968" t="s">
        <v>3053</v>
      </c>
      <c r="B2968" t="s">
        <v>29</v>
      </c>
      <c r="C2968" t="s">
        <v>17</v>
      </c>
      <c r="D2968" t="s">
        <v>59</v>
      </c>
      <c r="E2968" t="s">
        <v>56</v>
      </c>
      <c r="F2968" s="1">
        <v>45546</v>
      </c>
      <c r="G2968">
        <v>1</v>
      </c>
      <c r="H2968">
        <v>23641.5</v>
      </c>
      <c r="I2968">
        <v>10</v>
      </c>
      <c r="J2968" t="s">
        <v>45</v>
      </c>
      <c r="K2968">
        <v>2364.15</v>
      </c>
      <c r="L2968">
        <v>23641.5</v>
      </c>
      <c r="M2968">
        <v>21277.35</v>
      </c>
      <c r="N2968" t="s">
        <v>86</v>
      </c>
      <c r="O2968">
        <v>2024</v>
      </c>
    </row>
    <row r="2969" spans="1:15" x14ac:dyDescent="0.3">
      <c r="A2969" t="s">
        <v>3054</v>
      </c>
      <c r="B2969" t="s">
        <v>23</v>
      </c>
      <c r="C2969" t="s">
        <v>54</v>
      </c>
      <c r="D2969" t="s">
        <v>68</v>
      </c>
      <c r="E2969" t="s">
        <v>44</v>
      </c>
      <c r="F2969" s="1">
        <v>45547</v>
      </c>
      <c r="G2969">
        <v>10</v>
      </c>
      <c r="H2969">
        <v>4473.8100000000004</v>
      </c>
      <c r="I2969">
        <v>15</v>
      </c>
      <c r="J2969" t="s">
        <v>26</v>
      </c>
      <c r="K2969">
        <v>6710.71</v>
      </c>
      <c r="L2969">
        <v>44738.1</v>
      </c>
      <c r="M2969">
        <v>38027.39</v>
      </c>
      <c r="N2969" t="s">
        <v>86</v>
      </c>
      <c r="O2969">
        <v>2024</v>
      </c>
    </row>
    <row r="2970" spans="1:15" x14ac:dyDescent="0.3">
      <c r="A2970" t="s">
        <v>3055</v>
      </c>
      <c r="B2970" t="s">
        <v>114</v>
      </c>
      <c r="C2970" t="s">
        <v>17</v>
      </c>
      <c r="D2970" t="s">
        <v>59</v>
      </c>
      <c r="E2970" t="s">
        <v>44</v>
      </c>
      <c r="F2970" s="1">
        <v>45540</v>
      </c>
      <c r="G2970">
        <v>7</v>
      </c>
      <c r="H2970">
        <v>24489.03</v>
      </c>
      <c r="I2970">
        <v>10</v>
      </c>
      <c r="J2970" t="s">
        <v>40</v>
      </c>
      <c r="K2970">
        <v>17142.32</v>
      </c>
      <c r="L2970">
        <v>171423.21</v>
      </c>
      <c r="M2970">
        <v>154280.89000000001</v>
      </c>
      <c r="N2970" t="s">
        <v>86</v>
      </c>
      <c r="O2970">
        <v>2024</v>
      </c>
    </row>
    <row r="2971" spans="1:15" x14ac:dyDescent="0.3">
      <c r="A2971" t="s">
        <v>3056</v>
      </c>
      <c r="B2971" t="s">
        <v>33</v>
      </c>
      <c r="C2971" t="s">
        <v>17</v>
      </c>
      <c r="D2971" t="s">
        <v>39</v>
      </c>
      <c r="E2971" t="s">
        <v>50</v>
      </c>
      <c r="F2971" s="1">
        <v>45553</v>
      </c>
      <c r="G2971">
        <v>9</v>
      </c>
      <c r="H2971">
        <v>19592.55</v>
      </c>
      <c r="I2971">
        <v>20</v>
      </c>
      <c r="J2971" t="s">
        <v>31</v>
      </c>
      <c r="K2971">
        <v>35266.589999999997</v>
      </c>
      <c r="L2971">
        <v>176332.95</v>
      </c>
      <c r="M2971">
        <v>141066.35999999999</v>
      </c>
      <c r="N2971" t="s">
        <v>86</v>
      </c>
      <c r="O2971">
        <v>2024</v>
      </c>
    </row>
    <row r="2972" spans="1:15" x14ac:dyDescent="0.3">
      <c r="A2972" t="s">
        <v>3057</v>
      </c>
      <c r="B2972" t="s">
        <v>74</v>
      </c>
      <c r="C2972" t="s">
        <v>90</v>
      </c>
      <c r="D2972" t="s">
        <v>115</v>
      </c>
      <c r="E2972" t="s">
        <v>19</v>
      </c>
      <c r="F2972" s="1">
        <v>45540</v>
      </c>
      <c r="G2972">
        <v>7</v>
      </c>
      <c r="H2972">
        <v>8854.14</v>
      </c>
      <c r="I2972">
        <v>10</v>
      </c>
      <c r="J2972" t="s">
        <v>26</v>
      </c>
      <c r="K2972">
        <v>6197.9</v>
      </c>
      <c r="L2972">
        <v>61978.98</v>
      </c>
      <c r="M2972">
        <v>55781.08</v>
      </c>
      <c r="N2972" t="s">
        <v>86</v>
      </c>
      <c r="O2972">
        <v>2024</v>
      </c>
    </row>
    <row r="2973" spans="1:15" x14ac:dyDescent="0.3">
      <c r="A2973" t="s">
        <v>3058</v>
      </c>
      <c r="B2973" t="s">
        <v>53</v>
      </c>
      <c r="C2973" t="s">
        <v>54</v>
      </c>
      <c r="D2973" t="s">
        <v>77</v>
      </c>
      <c r="E2973" t="s">
        <v>25</v>
      </c>
      <c r="F2973" s="1">
        <v>45875</v>
      </c>
      <c r="G2973">
        <v>8</v>
      </c>
      <c r="H2973">
        <v>5747.6</v>
      </c>
      <c r="I2973">
        <v>5</v>
      </c>
      <c r="J2973" t="s">
        <v>45</v>
      </c>
      <c r="K2973">
        <v>2299.04</v>
      </c>
      <c r="L2973">
        <v>45980.800000000003</v>
      </c>
      <c r="M2973">
        <v>43681.760000000002</v>
      </c>
      <c r="N2973" t="s">
        <v>21</v>
      </c>
      <c r="O2973">
        <v>2025</v>
      </c>
    </row>
    <row r="2974" spans="1:15" x14ac:dyDescent="0.3">
      <c r="A2974" t="s">
        <v>3059</v>
      </c>
      <c r="B2974" t="s">
        <v>43</v>
      </c>
      <c r="C2974" t="s">
        <v>54</v>
      </c>
      <c r="D2974" t="s">
        <v>137</v>
      </c>
      <c r="E2974" t="s">
        <v>30</v>
      </c>
      <c r="F2974" s="1">
        <v>45712</v>
      </c>
      <c r="G2974">
        <v>3</v>
      </c>
      <c r="H2974">
        <v>1034.79</v>
      </c>
      <c r="I2974">
        <v>5</v>
      </c>
      <c r="J2974" t="s">
        <v>31</v>
      </c>
      <c r="K2974">
        <v>155.22</v>
      </c>
      <c r="L2974">
        <v>3104.37</v>
      </c>
      <c r="M2974">
        <v>2949.15</v>
      </c>
      <c r="N2974" t="s">
        <v>41</v>
      </c>
      <c r="O2974">
        <v>2025</v>
      </c>
    </row>
    <row r="2975" spans="1:15" x14ac:dyDescent="0.3">
      <c r="A2975" t="s">
        <v>3060</v>
      </c>
      <c r="B2975" t="s">
        <v>109</v>
      </c>
      <c r="C2975" t="s">
        <v>34</v>
      </c>
      <c r="D2975" t="s">
        <v>35</v>
      </c>
      <c r="E2975" t="s">
        <v>56</v>
      </c>
      <c r="F2975" s="1">
        <v>45766</v>
      </c>
      <c r="G2975">
        <v>10</v>
      </c>
      <c r="H2975">
        <v>27346.639999999999</v>
      </c>
      <c r="I2975">
        <v>20</v>
      </c>
      <c r="J2975" t="s">
        <v>31</v>
      </c>
      <c r="K2975">
        <v>54693.279999999999</v>
      </c>
      <c r="L2975">
        <v>273466.40000000002</v>
      </c>
      <c r="M2975">
        <v>218773.12</v>
      </c>
      <c r="N2975" t="s">
        <v>27</v>
      </c>
      <c r="O2975">
        <v>2025</v>
      </c>
    </row>
    <row r="2976" spans="1:15" x14ac:dyDescent="0.3">
      <c r="A2976" t="s">
        <v>3061</v>
      </c>
      <c r="B2976" t="s">
        <v>93</v>
      </c>
      <c r="C2976" t="s">
        <v>90</v>
      </c>
      <c r="D2976" t="s">
        <v>115</v>
      </c>
      <c r="E2976" t="s">
        <v>25</v>
      </c>
      <c r="F2976" s="1">
        <v>45673</v>
      </c>
      <c r="G2976">
        <v>10</v>
      </c>
      <c r="H2976">
        <v>7820.82</v>
      </c>
      <c r="I2976">
        <v>15</v>
      </c>
      <c r="J2976" t="s">
        <v>36</v>
      </c>
      <c r="K2976">
        <v>11731.23</v>
      </c>
      <c r="L2976">
        <v>78208.2</v>
      </c>
      <c r="M2976">
        <v>66476.97</v>
      </c>
      <c r="N2976" t="s">
        <v>116</v>
      </c>
      <c r="O2976">
        <v>2025</v>
      </c>
    </row>
    <row r="2977" spans="1:15" x14ac:dyDescent="0.3">
      <c r="A2977" t="s">
        <v>3062</v>
      </c>
      <c r="B2977" t="s">
        <v>16</v>
      </c>
      <c r="C2977" t="s">
        <v>34</v>
      </c>
      <c r="D2977" t="s">
        <v>85</v>
      </c>
      <c r="E2977" t="s">
        <v>25</v>
      </c>
      <c r="F2977" s="1">
        <v>45482</v>
      </c>
      <c r="G2977">
        <v>10</v>
      </c>
      <c r="H2977">
        <v>12373.3</v>
      </c>
      <c r="I2977">
        <v>5</v>
      </c>
      <c r="J2977" t="s">
        <v>40</v>
      </c>
      <c r="K2977">
        <v>6186.65</v>
      </c>
      <c r="L2977">
        <v>123733</v>
      </c>
      <c r="M2977">
        <v>117546.35</v>
      </c>
      <c r="N2977" t="s">
        <v>122</v>
      </c>
      <c r="O2977">
        <v>2024</v>
      </c>
    </row>
    <row r="2978" spans="1:15" x14ac:dyDescent="0.3">
      <c r="A2978" t="s">
        <v>3063</v>
      </c>
      <c r="B2978" t="s">
        <v>93</v>
      </c>
      <c r="C2978" t="s">
        <v>34</v>
      </c>
      <c r="D2978" t="s">
        <v>35</v>
      </c>
      <c r="E2978" t="s">
        <v>81</v>
      </c>
      <c r="F2978" s="1">
        <v>45303</v>
      </c>
      <c r="G2978">
        <v>7</v>
      </c>
      <c r="H2978">
        <v>25105.96</v>
      </c>
      <c r="I2978">
        <v>0</v>
      </c>
      <c r="J2978" t="s">
        <v>36</v>
      </c>
      <c r="K2978">
        <v>0</v>
      </c>
      <c r="L2978">
        <v>175741.72</v>
      </c>
      <c r="M2978">
        <v>175741.72</v>
      </c>
      <c r="N2978" t="s">
        <v>116</v>
      </c>
      <c r="O2978">
        <v>2024</v>
      </c>
    </row>
    <row r="2979" spans="1:15" x14ac:dyDescent="0.3">
      <c r="A2979" t="s">
        <v>3064</v>
      </c>
      <c r="B2979" t="s">
        <v>93</v>
      </c>
      <c r="C2979" t="s">
        <v>90</v>
      </c>
      <c r="D2979" t="s">
        <v>91</v>
      </c>
      <c r="E2979" t="s">
        <v>56</v>
      </c>
      <c r="F2979" s="1">
        <v>45485</v>
      </c>
      <c r="G2979">
        <v>6</v>
      </c>
      <c r="H2979">
        <v>1491.36</v>
      </c>
      <c r="I2979">
        <v>20</v>
      </c>
      <c r="J2979" t="s">
        <v>36</v>
      </c>
      <c r="K2979">
        <v>1789.63</v>
      </c>
      <c r="L2979">
        <v>8948.16</v>
      </c>
      <c r="M2979">
        <v>7158.53</v>
      </c>
      <c r="N2979" t="s">
        <v>122</v>
      </c>
      <c r="O2979">
        <v>2024</v>
      </c>
    </row>
    <row r="2980" spans="1:15" x14ac:dyDescent="0.3">
      <c r="A2980" t="s">
        <v>3065</v>
      </c>
      <c r="B2980" t="s">
        <v>93</v>
      </c>
      <c r="C2980" t="s">
        <v>54</v>
      </c>
      <c r="D2980" t="s">
        <v>55</v>
      </c>
      <c r="E2980" t="s">
        <v>30</v>
      </c>
      <c r="F2980" s="1">
        <v>45512</v>
      </c>
      <c r="G2980">
        <v>6</v>
      </c>
      <c r="H2980">
        <v>1305.45</v>
      </c>
      <c r="I2980">
        <v>15</v>
      </c>
      <c r="J2980" t="s">
        <v>20</v>
      </c>
      <c r="K2980">
        <v>1174.9000000000001</v>
      </c>
      <c r="L2980">
        <v>7832.7</v>
      </c>
      <c r="M2980">
        <v>6657.8</v>
      </c>
      <c r="N2980" t="s">
        <v>21</v>
      </c>
      <c r="O2980">
        <v>2024</v>
      </c>
    </row>
    <row r="2981" spans="1:15" x14ac:dyDescent="0.3">
      <c r="A2981" t="s">
        <v>3066</v>
      </c>
      <c r="B2981" t="s">
        <v>65</v>
      </c>
      <c r="C2981" t="s">
        <v>90</v>
      </c>
      <c r="D2981" t="s">
        <v>91</v>
      </c>
      <c r="E2981" t="s">
        <v>56</v>
      </c>
      <c r="F2981" s="1">
        <v>45753</v>
      </c>
      <c r="G2981">
        <v>10</v>
      </c>
      <c r="H2981">
        <v>1420.23</v>
      </c>
      <c r="I2981">
        <v>15</v>
      </c>
      <c r="J2981" t="s">
        <v>71</v>
      </c>
      <c r="K2981">
        <v>2130.34</v>
      </c>
      <c r="L2981">
        <v>14202.3</v>
      </c>
      <c r="M2981">
        <v>12071.96</v>
      </c>
      <c r="N2981" t="s">
        <v>27</v>
      </c>
      <c r="O2981">
        <v>2025</v>
      </c>
    </row>
    <row r="2982" spans="1:15" x14ac:dyDescent="0.3">
      <c r="A2982" t="s">
        <v>3067</v>
      </c>
      <c r="B2982" t="s">
        <v>47</v>
      </c>
      <c r="C2982" t="s">
        <v>17</v>
      </c>
      <c r="D2982" t="s">
        <v>39</v>
      </c>
      <c r="E2982" t="s">
        <v>50</v>
      </c>
      <c r="F2982" s="1">
        <v>45829</v>
      </c>
      <c r="G2982">
        <v>3</v>
      </c>
      <c r="H2982">
        <v>16419.849999999999</v>
      </c>
      <c r="I2982">
        <v>10</v>
      </c>
      <c r="J2982" t="s">
        <v>40</v>
      </c>
      <c r="K2982">
        <v>4925.96</v>
      </c>
      <c r="L2982">
        <v>49259.55</v>
      </c>
      <c r="M2982">
        <v>44333.59</v>
      </c>
      <c r="N2982" t="s">
        <v>72</v>
      </c>
      <c r="O2982">
        <v>2025</v>
      </c>
    </row>
    <row r="2983" spans="1:15" x14ac:dyDescent="0.3">
      <c r="A2983" t="s">
        <v>3068</v>
      </c>
      <c r="B2983" t="s">
        <v>47</v>
      </c>
      <c r="C2983" t="s">
        <v>54</v>
      </c>
      <c r="D2983" t="s">
        <v>55</v>
      </c>
      <c r="E2983" t="s">
        <v>19</v>
      </c>
      <c r="F2983" s="1">
        <v>45909</v>
      </c>
      <c r="G2983">
        <v>9</v>
      </c>
      <c r="H2983">
        <v>1303.81</v>
      </c>
      <c r="I2983">
        <v>20</v>
      </c>
      <c r="J2983" t="s">
        <v>20</v>
      </c>
      <c r="K2983">
        <v>2346.86</v>
      </c>
      <c r="L2983">
        <v>11734.29</v>
      </c>
      <c r="M2983">
        <v>9387.43</v>
      </c>
      <c r="N2983" t="s">
        <v>86</v>
      </c>
      <c r="O2983">
        <v>2025</v>
      </c>
    </row>
    <row r="2984" spans="1:15" x14ac:dyDescent="0.3">
      <c r="A2984" t="s">
        <v>3069</v>
      </c>
      <c r="B2984" t="s">
        <v>53</v>
      </c>
      <c r="C2984" t="s">
        <v>17</v>
      </c>
      <c r="D2984" t="s">
        <v>59</v>
      </c>
      <c r="E2984" t="s">
        <v>56</v>
      </c>
      <c r="F2984" s="1">
        <v>45322</v>
      </c>
      <c r="G2984">
        <v>1</v>
      </c>
      <c r="H2984">
        <v>28105.03</v>
      </c>
      <c r="I2984">
        <v>10</v>
      </c>
      <c r="J2984" t="s">
        <v>26</v>
      </c>
      <c r="K2984">
        <v>2810.5</v>
      </c>
      <c r="L2984">
        <v>28105.03</v>
      </c>
      <c r="M2984">
        <v>25294.53</v>
      </c>
      <c r="N2984" t="s">
        <v>116</v>
      </c>
      <c r="O2984">
        <v>2024</v>
      </c>
    </row>
    <row r="2985" spans="1:15" x14ac:dyDescent="0.3">
      <c r="A2985" t="s">
        <v>3070</v>
      </c>
      <c r="B2985" t="s">
        <v>61</v>
      </c>
      <c r="C2985" t="s">
        <v>62</v>
      </c>
      <c r="D2985" t="s">
        <v>95</v>
      </c>
      <c r="E2985" t="s">
        <v>30</v>
      </c>
      <c r="F2985" s="1">
        <v>45700</v>
      </c>
      <c r="G2985">
        <v>3</v>
      </c>
      <c r="H2985">
        <v>888.02</v>
      </c>
      <c r="I2985">
        <v>0</v>
      </c>
      <c r="J2985" t="s">
        <v>71</v>
      </c>
      <c r="K2985">
        <v>0</v>
      </c>
      <c r="L2985">
        <v>2664.06</v>
      </c>
      <c r="M2985">
        <v>2664.06</v>
      </c>
      <c r="N2985" t="s">
        <v>41</v>
      </c>
      <c r="O2985">
        <v>2025</v>
      </c>
    </row>
    <row r="2986" spans="1:15" x14ac:dyDescent="0.3">
      <c r="A2986" t="s">
        <v>3071</v>
      </c>
      <c r="B2986" t="s">
        <v>38</v>
      </c>
      <c r="C2986" t="s">
        <v>62</v>
      </c>
      <c r="D2986" t="s">
        <v>63</v>
      </c>
      <c r="E2986" t="s">
        <v>25</v>
      </c>
      <c r="F2986" s="1">
        <v>45869</v>
      </c>
      <c r="G2986">
        <v>2</v>
      </c>
      <c r="H2986">
        <v>1717.98</v>
      </c>
      <c r="I2986">
        <v>0</v>
      </c>
      <c r="J2986" t="s">
        <v>40</v>
      </c>
      <c r="K2986">
        <v>0</v>
      </c>
      <c r="L2986">
        <v>3435.96</v>
      </c>
      <c r="M2986">
        <v>3435.96</v>
      </c>
      <c r="N2986" t="s">
        <v>122</v>
      </c>
      <c r="O2986">
        <v>2025</v>
      </c>
    </row>
    <row r="2987" spans="1:15" x14ac:dyDescent="0.3">
      <c r="A2987" t="s">
        <v>3072</v>
      </c>
      <c r="B2987" t="s">
        <v>65</v>
      </c>
      <c r="C2987" t="s">
        <v>17</v>
      </c>
      <c r="D2987" t="s">
        <v>59</v>
      </c>
      <c r="E2987" t="s">
        <v>44</v>
      </c>
      <c r="F2987" s="1">
        <v>45621</v>
      </c>
      <c r="G2987">
        <v>3</v>
      </c>
      <c r="H2987">
        <v>30945.29</v>
      </c>
      <c r="I2987">
        <v>20</v>
      </c>
      <c r="J2987" t="s">
        <v>71</v>
      </c>
      <c r="K2987">
        <v>18567.169999999998</v>
      </c>
      <c r="L2987">
        <v>92835.87</v>
      </c>
      <c r="M2987">
        <v>74268.7</v>
      </c>
      <c r="N2987" t="s">
        <v>96</v>
      </c>
      <c r="O2987">
        <v>2024</v>
      </c>
    </row>
    <row r="2988" spans="1:15" x14ac:dyDescent="0.3">
      <c r="A2988" t="s">
        <v>3073</v>
      </c>
      <c r="B2988" t="s">
        <v>109</v>
      </c>
      <c r="C2988" t="s">
        <v>90</v>
      </c>
      <c r="D2988" t="s">
        <v>107</v>
      </c>
      <c r="E2988" t="s">
        <v>81</v>
      </c>
      <c r="F2988" s="1">
        <v>45951</v>
      </c>
      <c r="G2988">
        <v>6</v>
      </c>
      <c r="H2988">
        <v>14628.32</v>
      </c>
      <c r="I2988">
        <v>15</v>
      </c>
      <c r="J2988" t="s">
        <v>31</v>
      </c>
      <c r="K2988">
        <v>13165.49</v>
      </c>
      <c r="L2988">
        <v>87769.919999999998</v>
      </c>
      <c r="M2988">
        <v>74604.429999999993</v>
      </c>
      <c r="N2988" t="s">
        <v>57</v>
      </c>
      <c r="O2988">
        <v>2025</v>
      </c>
    </row>
    <row r="2989" spans="1:15" x14ac:dyDescent="0.3">
      <c r="A2989" t="s">
        <v>3074</v>
      </c>
      <c r="B2989" t="s">
        <v>16</v>
      </c>
      <c r="C2989" t="s">
        <v>62</v>
      </c>
      <c r="D2989" t="s">
        <v>63</v>
      </c>
      <c r="E2989" t="s">
        <v>44</v>
      </c>
      <c r="F2989" s="1">
        <v>45595</v>
      </c>
      <c r="G2989">
        <v>1</v>
      </c>
      <c r="H2989">
        <v>1945.11</v>
      </c>
      <c r="I2989">
        <v>5</v>
      </c>
      <c r="J2989" t="s">
        <v>36</v>
      </c>
      <c r="K2989">
        <v>97.26</v>
      </c>
      <c r="L2989">
        <v>1945.11</v>
      </c>
      <c r="M2989">
        <v>1847.85</v>
      </c>
      <c r="N2989" t="s">
        <v>57</v>
      </c>
      <c r="O2989">
        <v>2024</v>
      </c>
    </row>
    <row r="2990" spans="1:15" x14ac:dyDescent="0.3">
      <c r="A2990" t="s">
        <v>3075</v>
      </c>
      <c r="B2990" t="s">
        <v>53</v>
      </c>
      <c r="C2990" t="s">
        <v>17</v>
      </c>
      <c r="D2990" t="s">
        <v>24</v>
      </c>
      <c r="E2990" t="s">
        <v>50</v>
      </c>
      <c r="F2990" s="1">
        <v>45529</v>
      </c>
      <c r="G2990">
        <v>1</v>
      </c>
      <c r="H2990">
        <v>3127.67</v>
      </c>
      <c r="I2990">
        <v>15</v>
      </c>
      <c r="J2990" t="s">
        <v>45</v>
      </c>
      <c r="K2990">
        <v>469.15</v>
      </c>
      <c r="L2990">
        <v>3127.67</v>
      </c>
      <c r="M2990">
        <v>2658.52</v>
      </c>
      <c r="N2990" t="s">
        <v>21</v>
      </c>
      <c r="O2990">
        <v>2024</v>
      </c>
    </row>
    <row r="2991" spans="1:15" x14ac:dyDescent="0.3">
      <c r="A2991" t="s">
        <v>3076</v>
      </c>
      <c r="B2991" t="s">
        <v>93</v>
      </c>
      <c r="C2991" t="s">
        <v>90</v>
      </c>
      <c r="D2991" t="s">
        <v>152</v>
      </c>
      <c r="E2991" t="s">
        <v>44</v>
      </c>
      <c r="F2991" s="1">
        <v>45929</v>
      </c>
      <c r="G2991">
        <v>5</v>
      </c>
      <c r="H2991">
        <v>10396.75</v>
      </c>
      <c r="I2991">
        <v>20</v>
      </c>
      <c r="J2991" t="s">
        <v>82</v>
      </c>
      <c r="K2991">
        <v>10396.75</v>
      </c>
      <c r="L2991">
        <v>51983.75</v>
      </c>
      <c r="M2991">
        <v>41587</v>
      </c>
      <c r="N2991" t="s">
        <v>86</v>
      </c>
      <c r="O2991">
        <v>2025</v>
      </c>
    </row>
    <row r="2992" spans="1:15" x14ac:dyDescent="0.3">
      <c r="A2992" t="s">
        <v>3077</v>
      </c>
      <c r="B2992" t="s">
        <v>114</v>
      </c>
      <c r="C2992" t="s">
        <v>90</v>
      </c>
      <c r="D2992" t="s">
        <v>107</v>
      </c>
      <c r="E2992" t="s">
        <v>81</v>
      </c>
      <c r="F2992" s="1">
        <v>45956</v>
      </c>
      <c r="G2992">
        <v>6</v>
      </c>
      <c r="H2992">
        <v>13207.58</v>
      </c>
      <c r="I2992">
        <v>5</v>
      </c>
      <c r="J2992" t="s">
        <v>26</v>
      </c>
      <c r="K2992">
        <v>3962.27</v>
      </c>
      <c r="L2992">
        <v>79245.48</v>
      </c>
      <c r="M2992">
        <v>75283.210000000006</v>
      </c>
      <c r="N2992" t="s">
        <v>57</v>
      </c>
      <c r="O2992">
        <v>2025</v>
      </c>
    </row>
    <row r="2993" spans="1:15" x14ac:dyDescent="0.3">
      <c r="A2993" t="s">
        <v>3078</v>
      </c>
      <c r="B2993" t="s">
        <v>89</v>
      </c>
      <c r="C2993" t="s">
        <v>17</v>
      </c>
      <c r="D2993" t="s">
        <v>18</v>
      </c>
      <c r="E2993" t="s">
        <v>30</v>
      </c>
      <c r="F2993" s="1">
        <v>45543</v>
      </c>
      <c r="G2993">
        <v>1</v>
      </c>
      <c r="H2993">
        <v>65789.259999999995</v>
      </c>
      <c r="I2993">
        <v>15</v>
      </c>
      <c r="J2993" t="s">
        <v>45</v>
      </c>
      <c r="K2993">
        <v>9868.39</v>
      </c>
      <c r="L2993">
        <v>65789.259999999995</v>
      </c>
      <c r="M2993">
        <v>55920.87</v>
      </c>
      <c r="N2993" t="s">
        <v>86</v>
      </c>
      <c r="O2993">
        <v>2024</v>
      </c>
    </row>
    <row r="2994" spans="1:15" x14ac:dyDescent="0.3">
      <c r="A2994" t="s">
        <v>3079</v>
      </c>
      <c r="B2994" t="s">
        <v>114</v>
      </c>
      <c r="C2994" t="s">
        <v>90</v>
      </c>
      <c r="D2994" t="s">
        <v>105</v>
      </c>
      <c r="E2994" t="s">
        <v>81</v>
      </c>
      <c r="F2994" s="1">
        <v>45877</v>
      </c>
      <c r="G2994">
        <v>6</v>
      </c>
      <c r="H2994">
        <v>4005.9</v>
      </c>
      <c r="I2994">
        <v>5</v>
      </c>
      <c r="J2994" t="s">
        <v>31</v>
      </c>
      <c r="K2994">
        <v>1201.77</v>
      </c>
      <c r="L2994">
        <v>24035.4</v>
      </c>
      <c r="M2994">
        <v>22833.63</v>
      </c>
      <c r="N2994" t="s">
        <v>21</v>
      </c>
      <c r="O2994">
        <v>2025</v>
      </c>
    </row>
    <row r="2995" spans="1:15" x14ac:dyDescent="0.3">
      <c r="A2995" t="s">
        <v>3080</v>
      </c>
      <c r="B2995" t="s">
        <v>43</v>
      </c>
      <c r="C2995" t="s">
        <v>62</v>
      </c>
      <c r="D2995" t="s">
        <v>95</v>
      </c>
      <c r="E2995" t="s">
        <v>50</v>
      </c>
      <c r="F2995" s="1">
        <v>45794</v>
      </c>
      <c r="G2995">
        <v>5</v>
      </c>
      <c r="H2995">
        <v>744.1</v>
      </c>
      <c r="I2995">
        <v>5</v>
      </c>
      <c r="J2995" t="s">
        <v>40</v>
      </c>
      <c r="K2995">
        <v>186.03</v>
      </c>
      <c r="L2995">
        <v>3720.5</v>
      </c>
      <c r="M2995">
        <v>3534.47</v>
      </c>
      <c r="N2995" t="s">
        <v>101</v>
      </c>
      <c r="O2995">
        <v>2025</v>
      </c>
    </row>
    <row r="2996" spans="1:15" x14ac:dyDescent="0.3">
      <c r="A2996" t="s">
        <v>3081</v>
      </c>
      <c r="B2996" t="s">
        <v>47</v>
      </c>
      <c r="C2996" t="s">
        <v>62</v>
      </c>
      <c r="D2996" t="s">
        <v>63</v>
      </c>
      <c r="E2996" t="s">
        <v>30</v>
      </c>
      <c r="F2996" s="1">
        <v>45785</v>
      </c>
      <c r="G2996">
        <v>10</v>
      </c>
      <c r="H2996">
        <v>1762.09</v>
      </c>
      <c r="I2996">
        <v>15</v>
      </c>
      <c r="J2996" t="s">
        <v>20</v>
      </c>
      <c r="K2996">
        <v>2643.14</v>
      </c>
      <c r="L2996">
        <v>17620.900000000001</v>
      </c>
      <c r="M2996">
        <v>14977.76</v>
      </c>
      <c r="N2996" t="s">
        <v>101</v>
      </c>
      <c r="O2996">
        <v>2025</v>
      </c>
    </row>
    <row r="2997" spans="1:15" x14ac:dyDescent="0.3">
      <c r="A2997" t="s">
        <v>3082</v>
      </c>
      <c r="B2997" t="s">
        <v>109</v>
      </c>
      <c r="C2997" t="s">
        <v>17</v>
      </c>
      <c r="D2997" t="s">
        <v>18</v>
      </c>
      <c r="E2997" t="s">
        <v>56</v>
      </c>
      <c r="F2997" s="1">
        <v>45799</v>
      </c>
      <c r="G2997">
        <v>4</v>
      </c>
      <c r="H2997">
        <v>68938.41</v>
      </c>
      <c r="I2997">
        <v>0</v>
      </c>
      <c r="J2997" t="s">
        <v>71</v>
      </c>
      <c r="K2997">
        <v>0</v>
      </c>
      <c r="L2997">
        <v>275753.64</v>
      </c>
      <c r="M2997">
        <v>275753.64</v>
      </c>
      <c r="N2997" t="s">
        <v>101</v>
      </c>
      <c r="O2997">
        <v>2025</v>
      </c>
    </row>
    <row r="2998" spans="1:15" x14ac:dyDescent="0.3">
      <c r="A2998" t="s">
        <v>3083</v>
      </c>
      <c r="B2998" t="s">
        <v>109</v>
      </c>
      <c r="C2998" t="s">
        <v>90</v>
      </c>
      <c r="D2998" t="s">
        <v>115</v>
      </c>
      <c r="E2998" t="s">
        <v>50</v>
      </c>
      <c r="F2998" s="1">
        <v>45380</v>
      </c>
      <c r="G2998">
        <v>10</v>
      </c>
      <c r="H2998">
        <v>8723.59</v>
      </c>
      <c r="I2998">
        <v>5</v>
      </c>
      <c r="J2998" t="s">
        <v>31</v>
      </c>
      <c r="K2998">
        <v>4361.8</v>
      </c>
      <c r="L2998">
        <v>87235.9</v>
      </c>
      <c r="M2998">
        <v>82874.100000000006</v>
      </c>
      <c r="N2998" t="s">
        <v>83</v>
      </c>
      <c r="O2998">
        <v>2024</v>
      </c>
    </row>
    <row r="2999" spans="1:15" x14ac:dyDescent="0.3">
      <c r="A2999" t="s">
        <v>3084</v>
      </c>
      <c r="B2999" t="s">
        <v>16</v>
      </c>
      <c r="C2999" t="s">
        <v>17</v>
      </c>
      <c r="D2999" t="s">
        <v>59</v>
      </c>
      <c r="E2999" t="s">
        <v>19</v>
      </c>
      <c r="F2999" s="1">
        <v>45896</v>
      </c>
      <c r="G2999">
        <v>4</v>
      </c>
      <c r="H2999">
        <v>25722.73</v>
      </c>
      <c r="I2999">
        <v>5</v>
      </c>
      <c r="J2999" t="s">
        <v>82</v>
      </c>
      <c r="K2999">
        <v>5144.55</v>
      </c>
      <c r="L2999">
        <v>102890.92</v>
      </c>
      <c r="M2999">
        <v>97746.37</v>
      </c>
      <c r="N2999" t="s">
        <v>21</v>
      </c>
      <c r="O2999">
        <v>2025</v>
      </c>
    </row>
    <row r="3000" spans="1:15" x14ac:dyDescent="0.3">
      <c r="A3000" t="s">
        <v>3085</v>
      </c>
      <c r="B3000" t="s">
        <v>109</v>
      </c>
      <c r="C3000" t="s">
        <v>34</v>
      </c>
      <c r="D3000" t="s">
        <v>35</v>
      </c>
      <c r="E3000" t="s">
        <v>50</v>
      </c>
      <c r="F3000" s="1">
        <v>45480</v>
      </c>
      <c r="G3000">
        <v>5</v>
      </c>
      <c r="H3000">
        <v>27823.65</v>
      </c>
      <c r="I3000">
        <v>10</v>
      </c>
      <c r="J3000" t="s">
        <v>40</v>
      </c>
      <c r="K3000">
        <v>13911.83</v>
      </c>
      <c r="L3000">
        <v>139118.25</v>
      </c>
      <c r="M3000">
        <v>125206.42</v>
      </c>
      <c r="N3000" t="s">
        <v>122</v>
      </c>
      <c r="O3000">
        <v>2024</v>
      </c>
    </row>
    <row r="3001" spans="1:15" x14ac:dyDescent="0.3">
      <c r="A3001" t="s">
        <v>3086</v>
      </c>
      <c r="B3001" t="s">
        <v>43</v>
      </c>
      <c r="C3001" t="s">
        <v>62</v>
      </c>
      <c r="D3001" t="s">
        <v>99</v>
      </c>
      <c r="E3001" t="s">
        <v>81</v>
      </c>
      <c r="F3001" s="1">
        <v>45569</v>
      </c>
      <c r="G3001">
        <v>8</v>
      </c>
      <c r="H3001">
        <v>1662.89</v>
      </c>
      <c r="I3001">
        <v>15</v>
      </c>
      <c r="J3001" t="s">
        <v>26</v>
      </c>
      <c r="K3001">
        <v>1995.47</v>
      </c>
      <c r="L3001">
        <v>13303.12</v>
      </c>
      <c r="M3001">
        <v>11307.65</v>
      </c>
      <c r="N3001" t="s">
        <v>57</v>
      </c>
      <c r="O3001">
        <v>2024</v>
      </c>
    </row>
    <row r="3002" spans="1:15" x14ac:dyDescent="0.3">
      <c r="A3002" t="s">
        <v>3087</v>
      </c>
      <c r="B3002" t="s">
        <v>38</v>
      </c>
      <c r="C3002" t="s">
        <v>54</v>
      </c>
      <c r="D3002" t="s">
        <v>68</v>
      </c>
      <c r="E3002" t="s">
        <v>50</v>
      </c>
      <c r="F3002" s="1">
        <v>45614</v>
      </c>
      <c r="G3002">
        <v>2</v>
      </c>
      <c r="H3002">
        <v>5597.22</v>
      </c>
      <c r="I3002">
        <v>0</v>
      </c>
      <c r="J3002" t="s">
        <v>20</v>
      </c>
      <c r="K3002">
        <v>0</v>
      </c>
      <c r="L3002">
        <v>11194.44</v>
      </c>
      <c r="M3002">
        <v>11194.44</v>
      </c>
      <c r="N3002" t="s">
        <v>96</v>
      </c>
      <c r="O3002">
        <v>2024</v>
      </c>
    </row>
    <row r="3003" spans="1:15" x14ac:dyDescent="0.3">
      <c r="A3003" t="s">
        <v>3088</v>
      </c>
      <c r="B3003" t="s">
        <v>33</v>
      </c>
      <c r="C3003" t="s">
        <v>90</v>
      </c>
      <c r="D3003" t="s">
        <v>152</v>
      </c>
      <c r="E3003" t="s">
        <v>25</v>
      </c>
      <c r="F3003" s="1">
        <v>45774</v>
      </c>
      <c r="G3003">
        <v>1</v>
      </c>
      <c r="H3003">
        <v>11443.64</v>
      </c>
      <c r="I3003">
        <v>20</v>
      </c>
      <c r="J3003" t="s">
        <v>82</v>
      </c>
      <c r="K3003">
        <v>2288.73</v>
      </c>
      <c r="L3003">
        <v>11443.64</v>
      </c>
      <c r="M3003">
        <v>9154.91</v>
      </c>
      <c r="N3003" t="s">
        <v>27</v>
      </c>
      <c r="O3003">
        <v>2025</v>
      </c>
    </row>
    <row r="3004" spans="1:15" x14ac:dyDescent="0.3">
      <c r="A3004" t="s">
        <v>3089</v>
      </c>
      <c r="B3004" t="s">
        <v>89</v>
      </c>
      <c r="C3004" t="s">
        <v>62</v>
      </c>
      <c r="D3004" t="s">
        <v>95</v>
      </c>
      <c r="E3004" t="s">
        <v>30</v>
      </c>
      <c r="F3004" s="1">
        <v>45965</v>
      </c>
      <c r="G3004">
        <v>3</v>
      </c>
      <c r="H3004">
        <v>982.05</v>
      </c>
      <c r="I3004">
        <v>20</v>
      </c>
      <c r="J3004" t="s">
        <v>20</v>
      </c>
      <c r="K3004">
        <v>589.23</v>
      </c>
      <c r="L3004">
        <v>2946.15</v>
      </c>
      <c r="M3004">
        <v>2356.92</v>
      </c>
      <c r="N3004" t="s">
        <v>96</v>
      </c>
      <c r="O3004">
        <v>2025</v>
      </c>
    </row>
    <row r="3005" spans="1:15" x14ac:dyDescent="0.3">
      <c r="A3005" t="s">
        <v>3090</v>
      </c>
      <c r="B3005" t="s">
        <v>43</v>
      </c>
      <c r="C3005" t="s">
        <v>62</v>
      </c>
      <c r="D3005" t="s">
        <v>95</v>
      </c>
      <c r="E3005" t="s">
        <v>19</v>
      </c>
      <c r="F3005" s="1">
        <v>45489</v>
      </c>
      <c r="G3005">
        <v>5</v>
      </c>
      <c r="H3005">
        <v>727.41</v>
      </c>
      <c r="I3005">
        <v>0</v>
      </c>
      <c r="J3005" t="s">
        <v>31</v>
      </c>
      <c r="K3005">
        <v>0</v>
      </c>
      <c r="L3005">
        <v>3637.05</v>
      </c>
      <c r="M3005">
        <v>3637.05</v>
      </c>
      <c r="N3005" t="s">
        <v>122</v>
      </c>
      <c r="O3005">
        <v>2024</v>
      </c>
    </row>
    <row r="3006" spans="1:15" x14ac:dyDescent="0.3">
      <c r="A3006" t="s">
        <v>3091</v>
      </c>
      <c r="B3006" t="s">
        <v>65</v>
      </c>
      <c r="C3006" t="s">
        <v>54</v>
      </c>
      <c r="D3006" t="s">
        <v>137</v>
      </c>
      <c r="E3006" t="s">
        <v>25</v>
      </c>
      <c r="F3006" s="1">
        <v>45646</v>
      </c>
      <c r="G3006">
        <v>9</v>
      </c>
      <c r="H3006">
        <v>1074.6400000000001</v>
      </c>
      <c r="I3006">
        <v>0</v>
      </c>
      <c r="J3006" t="s">
        <v>45</v>
      </c>
      <c r="K3006">
        <v>0</v>
      </c>
      <c r="L3006">
        <v>9671.76</v>
      </c>
      <c r="M3006">
        <v>9671.76</v>
      </c>
      <c r="N3006" t="s">
        <v>51</v>
      </c>
      <c r="O3006">
        <v>2024</v>
      </c>
    </row>
    <row r="3007" spans="1:15" x14ac:dyDescent="0.3">
      <c r="A3007" t="s">
        <v>3092</v>
      </c>
      <c r="B3007" t="s">
        <v>43</v>
      </c>
      <c r="C3007" t="s">
        <v>62</v>
      </c>
      <c r="D3007" t="s">
        <v>99</v>
      </c>
      <c r="E3007" t="s">
        <v>19</v>
      </c>
      <c r="F3007" s="1">
        <v>45977</v>
      </c>
      <c r="G3007">
        <v>6</v>
      </c>
      <c r="H3007">
        <v>1587.66</v>
      </c>
      <c r="I3007">
        <v>0</v>
      </c>
      <c r="J3007" t="s">
        <v>31</v>
      </c>
      <c r="K3007">
        <v>0</v>
      </c>
      <c r="L3007">
        <v>9525.9599999999991</v>
      </c>
      <c r="M3007">
        <v>9525.9599999999991</v>
      </c>
      <c r="N3007" t="s">
        <v>96</v>
      </c>
      <c r="O3007">
        <v>2025</v>
      </c>
    </row>
    <row r="3008" spans="1:15" x14ac:dyDescent="0.3">
      <c r="A3008" t="s">
        <v>3093</v>
      </c>
      <c r="B3008" t="s">
        <v>61</v>
      </c>
      <c r="C3008" t="s">
        <v>90</v>
      </c>
      <c r="D3008" t="s">
        <v>105</v>
      </c>
      <c r="E3008" t="s">
        <v>56</v>
      </c>
      <c r="F3008" s="1">
        <v>45294</v>
      </c>
      <c r="G3008">
        <v>1</v>
      </c>
      <c r="H3008">
        <v>3399.42</v>
      </c>
      <c r="I3008">
        <v>20</v>
      </c>
      <c r="J3008" t="s">
        <v>71</v>
      </c>
      <c r="K3008">
        <v>679.88</v>
      </c>
      <c r="L3008">
        <v>3399.42</v>
      </c>
      <c r="M3008">
        <v>2719.54</v>
      </c>
      <c r="N3008" t="s">
        <v>116</v>
      </c>
      <c r="O3008">
        <v>2024</v>
      </c>
    </row>
    <row r="3009" spans="1:15" x14ac:dyDescent="0.3">
      <c r="A3009" t="s">
        <v>3094</v>
      </c>
      <c r="B3009" t="s">
        <v>16</v>
      </c>
      <c r="C3009" t="s">
        <v>34</v>
      </c>
      <c r="D3009" t="s">
        <v>80</v>
      </c>
      <c r="E3009" t="s">
        <v>19</v>
      </c>
      <c r="F3009" s="1">
        <v>45611</v>
      </c>
      <c r="G3009">
        <v>2</v>
      </c>
      <c r="H3009">
        <v>6830.3</v>
      </c>
      <c r="I3009">
        <v>0</v>
      </c>
      <c r="J3009" t="s">
        <v>45</v>
      </c>
      <c r="K3009">
        <v>0</v>
      </c>
      <c r="L3009">
        <v>13660.6</v>
      </c>
      <c r="M3009">
        <v>13660.6</v>
      </c>
      <c r="N3009" t="s">
        <v>96</v>
      </c>
      <c r="O3009">
        <v>2024</v>
      </c>
    </row>
    <row r="3010" spans="1:15" x14ac:dyDescent="0.3">
      <c r="A3010" t="s">
        <v>3095</v>
      </c>
      <c r="B3010" t="s">
        <v>114</v>
      </c>
      <c r="C3010" t="s">
        <v>34</v>
      </c>
      <c r="D3010" t="s">
        <v>66</v>
      </c>
      <c r="E3010" t="s">
        <v>44</v>
      </c>
      <c r="F3010" s="1">
        <v>45474</v>
      </c>
      <c r="G3010">
        <v>2</v>
      </c>
      <c r="H3010">
        <v>44042.720000000001</v>
      </c>
      <c r="I3010">
        <v>0</v>
      </c>
      <c r="J3010" t="s">
        <v>36</v>
      </c>
      <c r="K3010">
        <v>0</v>
      </c>
      <c r="L3010">
        <v>88085.440000000002</v>
      </c>
      <c r="M3010">
        <v>88085.440000000002</v>
      </c>
      <c r="N3010" t="s">
        <v>122</v>
      </c>
      <c r="O3010">
        <v>2024</v>
      </c>
    </row>
    <row r="3011" spans="1:15" x14ac:dyDescent="0.3">
      <c r="A3011" t="s">
        <v>3096</v>
      </c>
      <c r="B3011" t="s">
        <v>23</v>
      </c>
      <c r="C3011" t="s">
        <v>34</v>
      </c>
      <c r="D3011" t="s">
        <v>66</v>
      </c>
      <c r="E3011" t="s">
        <v>56</v>
      </c>
      <c r="F3011" s="1">
        <v>45332</v>
      </c>
      <c r="G3011">
        <v>4</v>
      </c>
      <c r="H3011">
        <v>41137.42</v>
      </c>
      <c r="I3011">
        <v>20</v>
      </c>
      <c r="J3011" t="s">
        <v>36</v>
      </c>
      <c r="K3011">
        <v>32909.94</v>
      </c>
      <c r="L3011">
        <v>164549.68</v>
      </c>
      <c r="M3011">
        <v>131639.74</v>
      </c>
      <c r="N3011" t="s">
        <v>41</v>
      </c>
      <c r="O3011">
        <v>2024</v>
      </c>
    </row>
    <row r="3012" spans="1:15" x14ac:dyDescent="0.3">
      <c r="A3012" t="s">
        <v>3097</v>
      </c>
      <c r="B3012" t="s">
        <v>61</v>
      </c>
      <c r="C3012" t="s">
        <v>54</v>
      </c>
      <c r="D3012" t="s">
        <v>68</v>
      </c>
      <c r="E3012" t="s">
        <v>19</v>
      </c>
      <c r="F3012" s="1">
        <v>45967</v>
      </c>
      <c r="G3012">
        <v>8</v>
      </c>
      <c r="H3012">
        <v>5116.05</v>
      </c>
      <c r="I3012">
        <v>0</v>
      </c>
      <c r="J3012" t="s">
        <v>26</v>
      </c>
      <c r="K3012">
        <v>0</v>
      </c>
      <c r="L3012">
        <v>40928.400000000001</v>
      </c>
      <c r="M3012">
        <v>40928.400000000001</v>
      </c>
      <c r="N3012" t="s">
        <v>96</v>
      </c>
      <c r="O3012">
        <v>2025</v>
      </c>
    </row>
    <row r="3013" spans="1:15" x14ac:dyDescent="0.3">
      <c r="A3013" t="s">
        <v>3098</v>
      </c>
      <c r="B3013" t="s">
        <v>33</v>
      </c>
      <c r="C3013" t="s">
        <v>34</v>
      </c>
      <c r="D3013" t="s">
        <v>35</v>
      </c>
      <c r="E3013" t="s">
        <v>50</v>
      </c>
      <c r="F3013" s="1">
        <v>45384</v>
      </c>
      <c r="G3013">
        <v>7</v>
      </c>
      <c r="H3013">
        <v>24265.53</v>
      </c>
      <c r="I3013">
        <v>15</v>
      </c>
      <c r="J3013" t="s">
        <v>45</v>
      </c>
      <c r="K3013">
        <v>25478.81</v>
      </c>
      <c r="L3013">
        <v>169858.71</v>
      </c>
      <c r="M3013">
        <v>144379.9</v>
      </c>
      <c r="N3013" t="s">
        <v>27</v>
      </c>
      <c r="O3013">
        <v>2024</v>
      </c>
    </row>
    <row r="3014" spans="1:15" x14ac:dyDescent="0.3">
      <c r="A3014" t="s">
        <v>3099</v>
      </c>
      <c r="B3014" t="s">
        <v>38</v>
      </c>
      <c r="C3014" t="s">
        <v>54</v>
      </c>
      <c r="D3014" t="s">
        <v>55</v>
      </c>
      <c r="E3014" t="s">
        <v>50</v>
      </c>
      <c r="F3014" s="1">
        <v>45642</v>
      </c>
      <c r="G3014">
        <v>7</v>
      </c>
      <c r="H3014">
        <v>1231.6099999999999</v>
      </c>
      <c r="I3014">
        <v>0</v>
      </c>
      <c r="J3014" t="s">
        <v>20</v>
      </c>
      <c r="K3014">
        <v>0</v>
      </c>
      <c r="L3014">
        <v>8621.27</v>
      </c>
      <c r="M3014">
        <v>8621.27</v>
      </c>
      <c r="N3014" t="s">
        <v>51</v>
      </c>
      <c r="O3014">
        <v>2024</v>
      </c>
    </row>
    <row r="3015" spans="1:15" x14ac:dyDescent="0.3">
      <c r="A3015" t="s">
        <v>3100</v>
      </c>
      <c r="B3015" t="s">
        <v>89</v>
      </c>
      <c r="C3015" t="s">
        <v>34</v>
      </c>
      <c r="D3015" t="s">
        <v>66</v>
      </c>
      <c r="E3015" t="s">
        <v>19</v>
      </c>
      <c r="F3015" s="1">
        <v>45313</v>
      </c>
      <c r="G3015">
        <v>9</v>
      </c>
      <c r="H3015">
        <v>45078.83</v>
      </c>
      <c r="I3015">
        <v>0</v>
      </c>
      <c r="J3015" t="s">
        <v>40</v>
      </c>
      <c r="K3015">
        <v>0</v>
      </c>
      <c r="L3015">
        <v>405709.47</v>
      </c>
      <c r="M3015">
        <v>405709.47</v>
      </c>
      <c r="N3015" t="s">
        <v>116</v>
      </c>
      <c r="O3015">
        <v>2024</v>
      </c>
    </row>
    <row r="3016" spans="1:15" x14ac:dyDescent="0.3">
      <c r="A3016" t="s">
        <v>3101</v>
      </c>
      <c r="B3016" t="s">
        <v>109</v>
      </c>
      <c r="C3016" t="s">
        <v>90</v>
      </c>
      <c r="D3016" t="s">
        <v>152</v>
      </c>
      <c r="E3016" t="s">
        <v>81</v>
      </c>
      <c r="F3016" s="1">
        <v>45335</v>
      </c>
      <c r="G3016">
        <v>10</v>
      </c>
      <c r="H3016">
        <v>9420.4699999999993</v>
      </c>
      <c r="I3016">
        <v>0</v>
      </c>
      <c r="J3016" t="s">
        <v>71</v>
      </c>
      <c r="K3016">
        <v>0</v>
      </c>
      <c r="L3016">
        <v>94204.7</v>
      </c>
      <c r="M3016">
        <v>94204.7</v>
      </c>
      <c r="N3016" t="s">
        <v>41</v>
      </c>
      <c r="O3016">
        <v>2024</v>
      </c>
    </row>
    <row r="3017" spans="1:15" x14ac:dyDescent="0.3">
      <c r="A3017" t="s">
        <v>3102</v>
      </c>
      <c r="B3017" t="s">
        <v>47</v>
      </c>
      <c r="C3017" t="s">
        <v>54</v>
      </c>
      <c r="D3017" t="s">
        <v>77</v>
      </c>
      <c r="E3017" t="s">
        <v>81</v>
      </c>
      <c r="F3017" s="1">
        <v>45519</v>
      </c>
      <c r="G3017">
        <v>2</v>
      </c>
      <c r="H3017">
        <v>4614.84</v>
      </c>
      <c r="I3017">
        <v>5</v>
      </c>
      <c r="J3017" t="s">
        <v>40</v>
      </c>
      <c r="K3017">
        <v>461.48</v>
      </c>
      <c r="L3017">
        <v>9229.68</v>
      </c>
      <c r="M3017">
        <v>8768.2000000000007</v>
      </c>
      <c r="N3017" t="s">
        <v>21</v>
      </c>
      <c r="O3017">
        <v>2024</v>
      </c>
    </row>
    <row r="3018" spans="1:15" x14ac:dyDescent="0.3">
      <c r="A3018" t="s">
        <v>3103</v>
      </c>
      <c r="B3018" t="s">
        <v>47</v>
      </c>
      <c r="C3018" t="s">
        <v>90</v>
      </c>
      <c r="D3018" t="s">
        <v>152</v>
      </c>
      <c r="E3018" t="s">
        <v>25</v>
      </c>
      <c r="F3018" s="1">
        <v>45842</v>
      </c>
      <c r="G3018">
        <v>5</v>
      </c>
      <c r="H3018">
        <v>10383.86</v>
      </c>
      <c r="I3018">
        <v>20</v>
      </c>
      <c r="J3018" t="s">
        <v>45</v>
      </c>
      <c r="K3018">
        <v>10383.86</v>
      </c>
      <c r="L3018">
        <v>51919.3</v>
      </c>
      <c r="M3018">
        <v>41535.440000000002</v>
      </c>
      <c r="N3018" t="s">
        <v>122</v>
      </c>
      <c r="O3018">
        <v>2025</v>
      </c>
    </row>
    <row r="3019" spans="1:15" x14ac:dyDescent="0.3">
      <c r="A3019" t="s">
        <v>3104</v>
      </c>
      <c r="B3019" t="s">
        <v>53</v>
      </c>
      <c r="C3019" t="s">
        <v>17</v>
      </c>
      <c r="D3019" t="s">
        <v>39</v>
      </c>
      <c r="E3019" t="s">
        <v>44</v>
      </c>
      <c r="F3019" s="1">
        <v>45538</v>
      </c>
      <c r="G3019">
        <v>3</v>
      </c>
      <c r="H3019">
        <v>19161.63</v>
      </c>
      <c r="I3019">
        <v>0</v>
      </c>
      <c r="J3019" t="s">
        <v>31</v>
      </c>
      <c r="K3019">
        <v>0</v>
      </c>
      <c r="L3019">
        <v>57484.89</v>
      </c>
      <c r="M3019">
        <v>57484.89</v>
      </c>
      <c r="N3019" t="s">
        <v>86</v>
      </c>
      <c r="O3019">
        <v>2024</v>
      </c>
    </row>
    <row r="3020" spans="1:15" x14ac:dyDescent="0.3">
      <c r="A3020" t="s">
        <v>3105</v>
      </c>
      <c r="B3020" t="s">
        <v>109</v>
      </c>
      <c r="C3020" t="s">
        <v>54</v>
      </c>
      <c r="D3020" t="s">
        <v>68</v>
      </c>
      <c r="E3020" t="s">
        <v>19</v>
      </c>
      <c r="F3020" s="1">
        <v>45992</v>
      </c>
      <c r="G3020">
        <v>3</v>
      </c>
      <c r="H3020">
        <v>4636.59</v>
      </c>
      <c r="I3020">
        <v>10</v>
      </c>
      <c r="J3020" t="s">
        <v>71</v>
      </c>
      <c r="K3020">
        <v>1390.98</v>
      </c>
      <c r="L3020">
        <v>13909.77</v>
      </c>
      <c r="M3020">
        <v>12518.79</v>
      </c>
      <c r="N3020" t="s">
        <v>51</v>
      </c>
      <c r="O3020">
        <v>2025</v>
      </c>
    </row>
    <row r="3021" spans="1:15" x14ac:dyDescent="0.3">
      <c r="A3021" t="s">
        <v>3106</v>
      </c>
      <c r="B3021" t="s">
        <v>114</v>
      </c>
      <c r="C3021" t="s">
        <v>34</v>
      </c>
      <c r="D3021" t="s">
        <v>66</v>
      </c>
      <c r="E3021" t="s">
        <v>56</v>
      </c>
      <c r="F3021" s="1">
        <v>45779</v>
      </c>
      <c r="G3021">
        <v>8</v>
      </c>
      <c r="H3021">
        <v>45519.73</v>
      </c>
      <c r="I3021">
        <v>10</v>
      </c>
      <c r="J3021" t="s">
        <v>26</v>
      </c>
      <c r="K3021">
        <v>36415.78</v>
      </c>
      <c r="L3021">
        <v>364157.84</v>
      </c>
      <c r="M3021">
        <v>327742.06</v>
      </c>
      <c r="N3021" t="s">
        <v>101</v>
      </c>
      <c r="O3021">
        <v>2025</v>
      </c>
    </row>
    <row r="3022" spans="1:15" x14ac:dyDescent="0.3">
      <c r="A3022" t="s">
        <v>3107</v>
      </c>
      <c r="B3022" t="s">
        <v>89</v>
      </c>
      <c r="C3022" t="s">
        <v>62</v>
      </c>
      <c r="D3022" t="s">
        <v>119</v>
      </c>
      <c r="E3022" t="s">
        <v>30</v>
      </c>
      <c r="F3022" s="1">
        <v>45836</v>
      </c>
      <c r="G3022">
        <v>3</v>
      </c>
      <c r="H3022">
        <v>3953.72</v>
      </c>
      <c r="I3022">
        <v>5</v>
      </c>
      <c r="J3022" t="s">
        <v>26</v>
      </c>
      <c r="K3022">
        <v>593.05999999999995</v>
      </c>
      <c r="L3022">
        <v>11861.16</v>
      </c>
      <c r="M3022">
        <v>11268.1</v>
      </c>
      <c r="N3022" t="s">
        <v>72</v>
      </c>
      <c r="O3022">
        <v>2025</v>
      </c>
    </row>
    <row r="3023" spans="1:15" x14ac:dyDescent="0.3">
      <c r="A3023" t="s">
        <v>3108</v>
      </c>
      <c r="B3023" t="s">
        <v>74</v>
      </c>
      <c r="C3023" t="s">
        <v>17</v>
      </c>
      <c r="D3023" t="s">
        <v>157</v>
      </c>
      <c r="E3023" t="s">
        <v>25</v>
      </c>
      <c r="F3023" s="1">
        <v>45691</v>
      </c>
      <c r="G3023">
        <v>2</v>
      </c>
      <c r="H3023">
        <v>7740.03</v>
      </c>
      <c r="I3023">
        <v>20</v>
      </c>
      <c r="J3023" t="s">
        <v>40</v>
      </c>
      <c r="K3023">
        <v>3096.01</v>
      </c>
      <c r="L3023">
        <v>15480.06</v>
      </c>
      <c r="M3023">
        <v>12384.05</v>
      </c>
      <c r="N3023" t="s">
        <v>41</v>
      </c>
      <c r="O3023">
        <v>2025</v>
      </c>
    </row>
    <row r="3024" spans="1:15" x14ac:dyDescent="0.3">
      <c r="A3024" t="s">
        <v>3109</v>
      </c>
      <c r="B3024" t="s">
        <v>93</v>
      </c>
      <c r="C3024" t="s">
        <v>62</v>
      </c>
      <c r="D3024" t="s">
        <v>63</v>
      </c>
      <c r="E3024" t="s">
        <v>19</v>
      </c>
      <c r="F3024" s="1">
        <v>45789</v>
      </c>
      <c r="G3024">
        <v>7</v>
      </c>
      <c r="H3024">
        <v>2069.0100000000002</v>
      </c>
      <c r="I3024">
        <v>5</v>
      </c>
      <c r="J3024" t="s">
        <v>31</v>
      </c>
      <c r="K3024">
        <v>724.15</v>
      </c>
      <c r="L3024">
        <v>14483.07</v>
      </c>
      <c r="M3024">
        <v>13758.92</v>
      </c>
      <c r="N3024" t="s">
        <v>101</v>
      </c>
      <c r="O3024">
        <v>2025</v>
      </c>
    </row>
    <row r="3025" spans="1:15" x14ac:dyDescent="0.3">
      <c r="A3025" t="s">
        <v>3110</v>
      </c>
      <c r="B3025" t="s">
        <v>29</v>
      </c>
      <c r="C3025" t="s">
        <v>90</v>
      </c>
      <c r="D3025" t="s">
        <v>107</v>
      </c>
      <c r="E3025" t="s">
        <v>19</v>
      </c>
      <c r="F3025" s="1">
        <v>45294</v>
      </c>
      <c r="G3025">
        <v>6</v>
      </c>
      <c r="H3025">
        <v>11496.27</v>
      </c>
      <c r="I3025">
        <v>0</v>
      </c>
      <c r="J3025" t="s">
        <v>31</v>
      </c>
      <c r="K3025">
        <v>0</v>
      </c>
      <c r="L3025">
        <v>68977.62</v>
      </c>
      <c r="M3025">
        <v>68977.62</v>
      </c>
      <c r="N3025" t="s">
        <v>116</v>
      </c>
      <c r="O3025">
        <v>2024</v>
      </c>
    </row>
    <row r="3026" spans="1:15" x14ac:dyDescent="0.3">
      <c r="A3026" t="s">
        <v>3111</v>
      </c>
      <c r="B3026" t="s">
        <v>47</v>
      </c>
      <c r="C3026" t="s">
        <v>34</v>
      </c>
      <c r="D3026" t="s">
        <v>35</v>
      </c>
      <c r="E3026" t="s">
        <v>30</v>
      </c>
      <c r="F3026" s="1">
        <v>45308</v>
      </c>
      <c r="G3026">
        <v>3</v>
      </c>
      <c r="H3026">
        <v>24837.31</v>
      </c>
      <c r="I3026">
        <v>20</v>
      </c>
      <c r="J3026" t="s">
        <v>40</v>
      </c>
      <c r="K3026">
        <v>14902.39</v>
      </c>
      <c r="L3026">
        <v>74511.929999999993</v>
      </c>
      <c r="M3026">
        <v>59609.54</v>
      </c>
      <c r="N3026" t="s">
        <v>116</v>
      </c>
      <c r="O3026">
        <v>2024</v>
      </c>
    </row>
    <row r="3027" spans="1:15" x14ac:dyDescent="0.3">
      <c r="A3027" t="s">
        <v>3112</v>
      </c>
      <c r="B3027" t="s">
        <v>29</v>
      </c>
      <c r="C3027" t="s">
        <v>90</v>
      </c>
      <c r="D3027" t="s">
        <v>105</v>
      </c>
      <c r="E3027" t="s">
        <v>56</v>
      </c>
      <c r="F3027" s="1">
        <v>45341</v>
      </c>
      <c r="G3027">
        <v>6</v>
      </c>
      <c r="H3027">
        <v>3962.11</v>
      </c>
      <c r="I3027">
        <v>0</v>
      </c>
      <c r="J3027" t="s">
        <v>31</v>
      </c>
      <c r="K3027">
        <v>0</v>
      </c>
      <c r="L3027">
        <v>23772.66</v>
      </c>
      <c r="M3027">
        <v>23772.66</v>
      </c>
      <c r="N3027" t="s">
        <v>41</v>
      </c>
      <c r="O3027">
        <v>2024</v>
      </c>
    </row>
    <row r="3028" spans="1:15" x14ac:dyDescent="0.3">
      <c r="A3028" t="s">
        <v>3113</v>
      </c>
      <c r="B3028" t="s">
        <v>109</v>
      </c>
      <c r="C3028" t="s">
        <v>90</v>
      </c>
      <c r="D3028" t="s">
        <v>107</v>
      </c>
      <c r="E3028" t="s">
        <v>56</v>
      </c>
      <c r="F3028" s="1">
        <v>45536</v>
      </c>
      <c r="G3028">
        <v>7</v>
      </c>
      <c r="H3028">
        <v>13287.71</v>
      </c>
      <c r="I3028">
        <v>10</v>
      </c>
      <c r="J3028" t="s">
        <v>31</v>
      </c>
      <c r="K3028">
        <v>9301.4</v>
      </c>
      <c r="L3028">
        <v>93013.97</v>
      </c>
      <c r="M3028">
        <v>83712.570000000007</v>
      </c>
      <c r="N3028" t="s">
        <v>86</v>
      </c>
      <c r="O3028">
        <v>2024</v>
      </c>
    </row>
    <row r="3029" spans="1:15" x14ac:dyDescent="0.3">
      <c r="A3029" t="s">
        <v>3114</v>
      </c>
      <c r="B3029" t="s">
        <v>16</v>
      </c>
      <c r="C3029" t="s">
        <v>17</v>
      </c>
      <c r="D3029" t="s">
        <v>59</v>
      </c>
      <c r="E3029" t="s">
        <v>81</v>
      </c>
      <c r="F3029" s="1">
        <v>45954</v>
      </c>
      <c r="G3029">
        <v>7</v>
      </c>
      <c r="H3029">
        <v>26578.63</v>
      </c>
      <c r="I3029">
        <v>0</v>
      </c>
      <c r="J3029" t="s">
        <v>82</v>
      </c>
      <c r="K3029">
        <v>0</v>
      </c>
      <c r="L3029">
        <v>186050.41</v>
      </c>
      <c r="M3029">
        <v>186050.41</v>
      </c>
      <c r="N3029" t="s">
        <v>57</v>
      </c>
      <c r="O3029">
        <v>2025</v>
      </c>
    </row>
    <row r="3030" spans="1:15" x14ac:dyDescent="0.3">
      <c r="A3030" t="s">
        <v>3115</v>
      </c>
      <c r="B3030" t="s">
        <v>93</v>
      </c>
      <c r="C3030" t="s">
        <v>54</v>
      </c>
      <c r="D3030" t="s">
        <v>77</v>
      </c>
      <c r="E3030" t="s">
        <v>25</v>
      </c>
      <c r="F3030" s="1">
        <v>45513</v>
      </c>
      <c r="G3030">
        <v>10</v>
      </c>
      <c r="H3030">
        <v>4554.75</v>
      </c>
      <c r="I3030">
        <v>0</v>
      </c>
      <c r="J3030" t="s">
        <v>26</v>
      </c>
      <c r="K3030">
        <v>0</v>
      </c>
      <c r="L3030">
        <v>45547.5</v>
      </c>
      <c r="M3030">
        <v>45547.5</v>
      </c>
      <c r="N3030" t="s">
        <v>21</v>
      </c>
      <c r="O3030">
        <v>2024</v>
      </c>
    </row>
    <row r="3031" spans="1:15" x14ac:dyDescent="0.3">
      <c r="A3031" t="s">
        <v>3116</v>
      </c>
      <c r="B3031" t="s">
        <v>74</v>
      </c>
      <c r="C3031" t="s">
        <v>34</v>
      </c>
      <c r="D3031" t="s">
        <v>80</v>
      </c>
      <c r="E3031" t="s">
        <v>30</v>
      </c>
      <c r="F3031" s="1">
        <v>45946</v>
      </c>
      <c r="G3031">
        <v>1</v>
      </c>
      <c r="H3031">
        <v>6176.22</v>
      </c>
      <c r="I3031">
        <v>5</v>
      </c>
      <c r="J3031" t="s">
        <v>20</v>
      </c>
      <c r="K3031">
        <v>308.81</v>
      </c>
      <c r="L3031">
        <v>6176.22</v>
      </c>
      <c r="M3031">
        <v>5867.41</v>
      </c>
      <c r="N3031" t="s">
        <v>57</v>
      </c>
      <c r="O3031">
        <v>2025</v>
      </c>
    </row>
    <row r="3032" spans="1:15" x14ac:dyDescent="0.3">
      <c r="A3032" t="s">
        <v>3117</v>
      </c>
      <c r="B3032" t="s">
        <v>43</v>
      </c>
      <c r="C3032" t="s">
        <v>17</v>
      </c>
      <c r="D3032" t="s">
        <v>24</v>
      </c>
      <c r="E3032" t="s">
        <v>19</v>
      </c>
      <c r="F3032" s="1">
        <v>45997</v>
      </c>
      <c r="G3032">
        <v>4</v>
      </c>
      <c r="H3032">
        <v>3603.1</v>
      </c>
      <c r="I3032">
        <v>15</v>
      </c>
      <c r="J3032" t="s">
        <v>36</v>
      </c>
      <c r="K3032">
        <v>2161.86</v>
      </c>
      <c r="L3032">
        <v>14412.4</v>
      </c>
      <c r="M3032">
        <v>12250.54</v>
      </c>
      <c r="N3032" t="s">
        <v>51</v>
      </c>
      <c r="O3032">
        <v>2025</v>
      </c>
    </row>
    <row r="3033" spans="1:15" x14ac:dyDescent="0.3">
      <c r="A3033" t="s">
        <v>3118</v>
      </c>
      <c r="B3033" t="s">
        <v>89</v>
      </c>
      <c r="C3033" t="s">
        <v>62</v>
      </c>
      <c r="D3033" t="s">
        <v>132</v>
      </c>
      <c r="E3033" t="s">
        <v>30</v>
      </c>
      <c r="F3033" s="1">
        <v>45528</v>
      </c>
      <c r="G3033">
        <v>2</v>
      </c>
      <c r="H3033">
        <v>2609.0500000000002</v>
      </c>
      <c r="I3033">
        <v>5</v>
      </c>
      <c r="J3033" t="s">
        <v>45</v>
      </c>
      <c r="K3033">
        <v>260.91000000000003</v>
      </c>
      <c r="L3033">
        <v>5218.1000000000004</v>
      </c>
      <c r="M3033">
        <v>4957.1899999999996</v>
      </c>
      <c r="N3033" t="s">
        <v>21</v>
      </c>
      <c r="O3033">
        <v>2024</v>
      </c>
    </row>
    <row r="3034" spans="1:15" x14ac:dyDescent="0.3">
      <c r="A3034" t="s">
        <v>3119</v>
      </c>
      <c r="B3034" t="s">
        <v>109</v>
      </c>
      <c r="C3034" t="s">
        <v>90</v>
      </c>
      <c r="D3034" t="s">
        <v>105</v>
      </c>
      <c r="E3034" t="s">
        <v>81</v>
      </c>
      <c r="F3034" s="1">
        <v>45336</v>
      </c>
      <c r="G3034">
        <v>3</v>
      </c>
      <c r="H3034">
        <v>3905.16</v>
      </c>
      <c r="I3034">
        <v>15</v>
      </c>
      <c r="J3034" t="s">
        <v>31</v>
      </c>
      <c r="K3034">
        <v>1757.32</v>
      </c>
      <c r="L3034">
        <v>11715.48</v>
      </c>
      <c r="M3034">
        <v>9958.16</v>
      </c>
      <c r="N3034" t="s">
        <v>41</v>
      </c>
      <c r="O3034">
        <v>2024</v>
      </c>
    </row>
    <row r="3035" spans="1:15" x14ac:dyDescent="0.3">
      <c r="A3035" t="s">
        <v>3120</v>
      </c>
      <c r="B3035" t="s">
        <v>114</v>
      </c>
      <c r="C3035" t="s">
        <v>62</v>
      </c>
      <c r="D3035" t="s">
        <v>99</v>
      </c>
      <c r="E3035" t="s">
        <v>19</v>
      </c>
      <c r="F3035" s="1">
        <v>45555</v>
      </c>
      <c r="G3035">
        <v>5</v>
      </c>
      <c r="H3035">
        <v>1718.06</v>
      </c>
      <c r="I3035">
        <v>20</v>
      </c>
      <c r="J3035" t="s">
        <v>45</v>
      </c>
      <c r="K3035">
        <v>1718.06</v>
      </c>
      <c r="L3035">
        <v>8590.2999999999993</v>
      </c>
      <c r="M3035">
        <v>6872.24</v>
      </c>
      <c r="N3035" t="s">
        <v>86</v>
      </c>
      <c r="O3035">
        <v>2024</v>
      </c>
    </row>
    <row r="3036" spans="1:15" x14ac:dyDescent="0.3">
      <c r="A3036" t="s">
        <v>3121</v>
      </c>
      <c r="B3036" t="s">
        <v>33</v>
      </c>
      <c r="C3036" t="s">
        <v>34</v>
      </c>
      <c r="D3036" t="s">
        <v>80</v>
      </c>
      <c r="E3036" t="s">
        <v>19</v>
      </c>
      <c r="F3036" s="1">
        <v>46002</v>
      </c>
      <c r="G3036">
        <v>5</v>
      </c>
      <c r="H3036">
        <v>7467.45</v>
      </c>
      <c r="I3036">
        <v>5</v>
      </c>
      <c r="J3036" t="s">
        <v>40</v>
      </c>
      <c r="K3036">
        <v>1866.86</v>
      </c>
      <c r="L3036">
        <v>37337.25</v>
      </c>
      <c r="M3036">
        <v>35470.39</v>
      </c>
      <c r="N3036" t="s">
        <v>51</v>
      </c>
      <c r="O3036">
        <v>2025</v>
      </c>
    </row>
    <row r="3037" spans="1:15" x14ac:dyDescent="0.3">
      <c r="A3037" t="s">
        <v>3122</v>
      </c>
      <c r="B3037" t="s">
        <v>47</v>
      </c>
      <c r="C3037" t="s">
        <v>54</v>
      </c>
      <c r="D3037" t="s">
        <v>70</v>
      </c>
      <c r="E3037" t="s">
        <v>81</v>
      </c>
      <c r="F3037" s="1">
        <v>45937</v>
      </c>
      <c r="G3037">
        <v>9</v>
      </c>
      <c r="H3037">
        <v>2558.0300000000002</v>
      </c>
      <c r="I3037">
        <v>20</v>
      </c>
      <c r="J3037" t="s">
        <v>26</v>
      </c>
      <c r="K3037">
        <v>4604.45</v>
      </c>
      <c r="L3037">
        <v>23022.27</v>
      </c>
      <c r="M3037">
        <v>18417.82</v>
      </c>
      <c r="N3037" t="s">
        <v>57</v>
      </c>
      <c r="O3037">
        <v>2025</v>
      </c>
    </row>
    <row r="3038" spans="1:15" x14ac:dyDescent="0.3">
      <c r="A3038" t="s">
        <v>3123</v>
      </c>
      <c r="B3038" t="s">
        <v>33</v>
      </c>
      <c r="C3038" t="s">
        <v>54</v>
      </c>
      <c r="D3038" t="s">
        <v>68</v>
      </c>
      <c r="E3038" t="s">
        <v>30</v>
      </c>
      <c r="F3038" s="1">
        <v>45834</v>
      </c>
      <c r="G3038">
        <v>4</v>
      </c>
      <c r="H3038">
        <v>4368.82</v>
      </c>
      <c r="I3038">
        <v>10</v>
      </c>
      <c r="J3038" t="s">
        <v>45</v>
      </c>
      <c r="K3038">
        <v>1747.53</v>
      </c>
      <c r="L3038">
        <v>17475.28</v>
      </c>
      <c r="M3038">
        <v>15727.75</v>
      </c>
      <c r="N3038" t="s">
        <v>72</v>
      </c>
      <c r="O3038">
        <v>2025</v>
      </c>
    </row>
    <row r="3039" spans="1:15" x14ac:dyDescent="0.3">
      <c r="A3039" t="s">
        <v>3124</v>
      </c>
      <c r="B3039" t="s">
        <v>23</v>
      </c>
      <c r="C3039" t="s">
        <v>62</v>
      </c>
      <c r="D3039" t="s">
        <v>99</v>
      </c>
      <c r="E3039" t="s">
        <v>50</v>
      </c>
      <c r="F3039" s="1">
        <v>45903</v>
      </c>
      <c r="G3039">
        <v>6</v>
      </c>
      <c r="H3039">
        <v>1406.03</v>
      </c>
      <c r="I3039">
        <v>15</v>
      </c>
      <c r="J3039" t="s">
        <v>36</v>
      </c>
      <c r="K3039">
        <v>1265.43</v>
      </c>
      <c r="L3039">
        <v>8436.18</v>
      </c>
      <c r="M3039">
        <v>7170.75</v>
      </c>
      <c r="N3039" t="s">
        <v>86</v>
      </c>
      <c r="O3039">
        <v>2025</v>
      </c>
    </row>
    <row r="3040" spans="1:15" x14ac:dyDescent="0.3">
      <c r="A3040" t="s">
        <v>3125</v>
      </c>
      <c r="B3040" t="s">
        <v>109</v>
      </c>
      <c r="C3040" t="s">
        <v>54</v>
      </c>
      <c r="D3040" t="s">
        <v>68</v>
      </c>
      <c r="E3040" t="s">
        <v>19</v>
      </c>
      <c r="F3040" s="1">
        <v>45681</v>
      </c>
      <c r="G3040">
        <v>1</v>
      </c>
      <c r="H3040">
        <v>4314.08</v>
      </c>
      <c r="I3040">
        <v>15</v>
      </c>
      <c r="J3040" t="s">
        <v>31</v>
      </c>
      <c r="K3040">
        <v>647.11</v>
      </c>
      <c r="L3040">
        <v>4314.08</v>
      </c>
      <c r="M3040">
        <v>3666.97</v>
      </c>
      <c r="N3040" t="s">
        <v>116</v>
      </c>
      <c r="O3040">
        <v>2025</v>
      </c>
    </row>
    <row r="3041" spans="1:15" x14ac:dyDescent="0.3">
      <c r="A3041" t="s">
        <v>3126</v>
      </c>
      <c r="B3041" t="s">
        <v>38</v>
      </c>
      <c r="C3041" t="s">
        <v>17</v>
      </c>
      <c r="D3041" t="s">
        <v>157</v>
      </c>
      <c r="E3041" t="s">
        <v>50</v>
      </c>
      <c r="F3041" s="1">
        <v>45846</v>
      </c>
      <c r="G3041">
        <v>7</v>
      </c>
      <c r="H3041">
        <v>6353.35</v>
      </c>
      <c r="I3041">
        <v>0</v>
      </c>
      <c r="J3041" t="s">
        <v>40</v>
      </c>
      <c r="K3041">
        <v>0</v>
      </c>
      <c r="L3041">
        <v>44473.45</v>
      </c>
      <c r="M3041">
        <v>44473.45</v>
      </c>
      <c r="N3041" t="s">
        <v>122</v>
      </c>
      <c r="O3041">
        <v>2025</v>
      </c>
    </row>
    <row r="3042" spans="1:15" x14ac:dyDescent="0.3">
      <c r="A3042" t="s">
        <v>3127</v>
      </c>
      <c r="B3042" t="s">
        <v>38</v>
      </c>
      <c r="C3042" t="s">
        <v>62</v>
      </c>
      <c r="D3042" t="s">
        <v>99</v>
      </c>
      <c r="E3042" t="s">
        <v>30</v>
      </c>
      <c r="F3042" s="1">
        <v>45723</v>
      </c>
      <c r="G3042">
        <v>7</v>
      </c>
      <c r="H3042">
        <v>1356.01</v>
      </c>
      <c r="I3042">
        <v>5</v>
      </c>
      <c r="J3042" t="s">
        <v>36</v>
      </c>
      <c r="K3042">
        <v>474.6</v>
      </c>
      <c r="L3042">
        <v>9492.07</v>
      </c>
      <c r="M3042">
        <v>9017.4699999999993</v>
      </c>
      <c r="N3042" t="s">
        <v>83</v>
      </c>
      <c r="O3042">
        <v>2025</v>
      </c>
    </row>
    <row r="3043" spans="1:15" x14ac:dyDescent="0.3">
      <c r="A3043" t="s">
        <v>3128</v>
      </c>
      <c r="B3043" t="s">
        <v>33</v>
      </c>
      <c r="C3043" t="s">
        <v>62</v>
      </c>
      <c r="D3043" t="s">
        <v>95</v>
      </c>
      <c r="E3043" t="s">
        <v>81</v>
      </c>
      <c r="F3043" s="1">
        <v>45319</v>
      </c>
      <c r="G3043">
        <v>2</v>
      </c>
      <c r="H3043">
        <v>794.89</v>
      </c>
      <c r="I3043">
        <v>5</v>
      </c>
      <c r="J3043" t="s">
        <v>45</v>
      </c>
      <c r="K3043">
        <v>79.489999999999995</v>
      </c>
      <c r="L3043">
        <v>1589.78</v>
      </c>
      <c r="M3043">
        <v>1510.29</v>
      </c>
      <c r="N3043" t="s">
        <v>116</v>
      </c>
      <c r="O3043">
        <v>2024</v>
      </c>
    </row>
    <row r="3044" spans="1:15" x14ac:dyDescent="0.3">
      <c r="A3044" t="s">
        <v>3129</v>
      </c>
      <c r="B3044" t="s">
        <v>89</v>
      </c>
      <c r="C3044" t="s">
        <v>17</v>
      </c>
      <c r="D3044" t="s">
        <v>18</v>
      </c>
      <c r="E3044" t="s">
        <v>50</v>
      </c>
      <c r="F3044" s="1">
        <v>45725</v>
      </c>
      <c r="G3044">
        <v>8</v>
      </c>
      <c r="H3044">
        <v>71645.649999999994</v>
      </c>
      <c r="I3044">
        <v>10</v>
      </c>
      <c r="J3044" t="s">
        <v>82</v>
      </c>
      <c r="K3044">
        <v>57316.52</v>
      </c>
      <c r="L3044">
        <v>573165.19999999995</v>
      </c>
      <c r="M3044">
        <v>515848.68</v>
      </c>
      <c r="N3044" t="s">
        <v>83</v>
      </c>
      <c r="O3044">
        <v>2025</v>
      </c>
    </row>
    <row r="3045" spans="1:15" x14ac:dyDescent="0.3">
      <c r="A3045" t="s">
        <v>3130</v>
      </c>
      <c r="B3045" t="s">
        <v>33</v>
      </c>
      <c r="C3045" t="s">
        <v>90</v>
      </c>
      <c r="D3045" t="s">
        <v>105</v>
      </c>
      <c r="E3045" t="s">
        <v>81</v>
      </c>
      <c r="F3045" s="1">
        <v>45877</v>
      </c>
      <c r="G3045">
        <v>1</v>
      </c>
      <c r="H3045">
        <v>3476.74</v>
      </c>
      <c r="I3045">
        <v>5</v>
      </c>
      <c r="J3045" t="s">
        <v>71</v>
      </c>
      <c r="K3045">
        <v>173.84</v>
      </c>
      <c r="L3045">
        <v>3476.74</v>
      </c>
      <c r="M3045">
        <v>3302.9</v>
      </c>
      <c r="N3045" t="s">
        <v>21</v>
      </c>
      <c r="O3045">
        <v>2025</v>
      </c>
    </row>
    <row r="3046" spans="1:15" x14ac:dyDescent="0.3">
      <c r="A3046" t="s">
        <v>3131</v>
      </c>
      <c r="B3046" t="s">
        <v>47</v>
      </c>
      <c r="C3046" t="s">
        <v>62</v>
      </c>
      <c r="D3046" t="s">
        <v>119</v>
      </c>
      <c r="E3046" t="s">
        <v>50</v>
      </c>
      <c r="F3046" s="1">
        <v>45896</v>
      </c>
      <c r="G3046">
        <v>6</v>
      </c>
      <c r="H3046">
        <v>3419.14</v>
      </c>
      <c r="I3046">
        <v>20</v>
      </c>
      <c r="J3046" t="s">
        <v>20</v>
      </c>
      <c r="K3046">
        <v>4102.97</v>
      </c>
      <c r="L3046">
        <v>20514.84</v>
      </c>
      <c r="M3046">
        <v>16411.87</v>
      </c>
      <c r="N3046" t="s">
        <v>21</v>
      </c>
      <c r="O3046">
        <v>2025</v>
      </c>
    </row>
    <row r="3047" spans="1:15" x14ac:dyDescent="0.3">
      <c r="A3047" t="s">
        <v>3132</v>
      </c>
      <c r="B3047" t="s">
        <v>16</v>
      </c>
      <c r="C3047" t="s">
        <v>62</v>
      </c>
      <c r="D3047" t="s">
        <v>95</v>
      </c>
      <c r="E3047" t="s">
        <v>56</v>
      </c>
      <c r="F3047" s="1">
        <v>45666</v>
      </c>
      <c r="G3047">
        <v>4</v>
      </c>
      <c r="H3047">
        <v>739.41</v>
      </c>
      <c r="I3047">
        <v>10</v>
      </c>
      <c r="J3047" t="s">
        <v>40</v>
      </c>
      <c r="K3047">
        <v>295.76</v>
      </c>
      <c r="L3047">
        <v>2957.64</v>
      </c>
      <c r="M3047">
        <v>2661.88</v>
      </c>
      <c r="N3047" t="s">
        <v>116</v>
      </c>
      <c r="O3047">
        <v>2025</v>
      </c>
    </row>
    <row r="3048" spans="1:15" x14ac:dyDescent="0.3">
      <c r="A3048" t="s">
        <v>3133</v>
      </c>
      <c r="B3048" t="s">
        <v>109</v>
      </c>
      <c r="C3048" t="s">
        <v>90</v>
      </c>
      <c r="D3048" t="s">
        <v>91</v>
      </c>
      <c r="E3048" t="s">
        <v>19</v>
      </c>
      <c r="F3048" s="1">
        <v>45418</v>
      </c>
      <c r="G3048">
        <v>10</v>
      </c>
      <c r="H3048">
        <v>1700.09</v>
      </c>
      <c r="I3048">
        <v>0</v>
      </c>
      <c r="J3048" t="s">
        <v>71</v>
      </c>
      <c r="K3048">
        <v>0</v>
      </c>
      <c r="L3048">
        <v>17000.900000000001</v>
      </c>
      <c r="M3048">
        <v>17000.900000000001</v>
      </c>
      <c r="N3048" t="s">
        <v>101</v>
      </c>
      <c r="O3048">
        <v>2024</v>
      </c>
    </row>
    <row r="3049" spans="1:15" x14ac:dyDescent="0.3">
      <c r="A3049" t="s">
        <v>3134</v>
      </c>
      <c r="B3049" t="s">
        <v>65</v>
      </c>
      <c r="C3049" t="s">
        <v>54</v>
      </c>
      <c r="D3049" t="s">
        <v>77</v>
      </c>
      <c r="E3049" t="s">
        <v>56</v>
      </c>
      <c r="F3049" s="1">
        <v>45599</v>
      </c>
      <c r="G3049">
        <v>7</v>
      </c>
      <c r="H3049">
        <v>5748.51</v>
      </c>
      <c r="I3049">
        <v>15</v>
      </c>
      <c r="J3049" t="s">
        <v>31</v>
      </c>
      <c r="K3049">
        <v>6035.94</v>
      </c>
      <c r="L3049">
        <v>40239.57</v>
      </c>
      <c r="M3049">
        <v>34203.629999999997</v>
      </c>
      <c r="N3049" t="s">
        <v>96</v>
      </c>
      <c r="O3049">
        <v>2024</v>
      </c>
    </row>
    <row r="3050" spans="1:15" x14ac:dyDescent="0.3">
      <c r="A3050" t="s">
        <v>3135</v>
      </c>
      <c r="B3050" t="s">
        <v>114</v>
      </c>
      <c r="C3050" t="s">
        <v>62</v>
      </c>
      <c r="D3050" t="s">
        <v>99</v>
      </c>
      <c r="E3050" t="s">
        <v>25</v>
      </c>
      <c r="F3050" s="1">
        <v>45491</v>
      </c>
      <c r="G3050">
        <v>6</v>
      </c>
      <c r="H3050">
        <v>1617.56</v>
      </c>
      <c r="I3050">
        <v>15</v>
      </c>
      <c r="J3050" t="s">
        <v>20</v>
      </c>
      <c r="K3050">
        <v>1455.8</v>
      </c>
      <c r="L3050">
        <v>9705.36</v>
      </c>
      <c r="M3050">
        <v>8249.56</v>
      </c>
      <c r="N3050" t="s">
        <v>122</v>
      </c>
      <c r="O3050">
        <v>2024</v>
      </c>
    </row>
    <row r="3051" spans="1:15" x14ac:dyDescent="0.3">
      <c r="A3051" t="s">
        <v>3136</v>
      </c>
      <c r="B3051" t="s">
        <v>89</v>
      </c>
      <c r="C3051" t="s">
        <v>62</v>
      </c>
      <c r="D3051" t="s">
        <v>132</v>
      </c>
      <c r="E3051" t="s">
        <v>56</v>
      </c>
      <c r="F3051" s="1">
        <v>45675</v>
      </c>
      <c r="G3051">
        <v>8</v>
      </c>
      <c r="H3051">
        <v>2280.7399999999998</v>
      </c>
      <c r="I3051">
        <v>5</v>
      </c>
      <c r="J3051" t="s">
        <v>26</v>
      </c>
      <c r="K3051">
        <v>912.3</v>
      </c>
      <c r="L3051">
        <v>18245.919999999998</v>
      </c>
      <c r="M3051">
        <v>17333.62</v>
      </c>
      <c r="N3051" t="s">
        <v>116</v>
      </c>
      <c r="O3051">
        <v>2025</v>
      </c>
    </row>
    <row r="3052" spans="1:15" x14ac:dyDescent="0.3">
      <c r="A3052" t="s">
        <v>3137</v>
      </c>
      <c r="B3052" t="s">
        <v>38</v>
      </c>
      <c r="C3052" t="s">
        <v>34</v>
      </c>
      <c r="D3052" t="s">
        <v>35</v>
      </c>
      <c r="E3052" t="s">
        <v>56</v>
      </c>
      <c r="F3052" s="1">
        <v>45847</v>
      </c>
      <c r="G3052">
        <v>5</v>
      </c>
      <c r="H3052">
        <v>24027.25</v>
      </c>
      <c r="I3052">
        <v>0</v>
      </c>
      <c r="J3052" t="s">
        <v>82</v>
      </c>
      <c r="K3052">
        <v>0</v>
      </c>
      <c r="L3052">
        <v>120136.25</v>
      </c>
      <c r="M3052">
        <v>120136.25</v>
      </c>
      <c r="N3052" t="s">
        <v>122</v>
      </c>
      <c r="O3052">
        <v>2025</v>
      </c>
    </row>
    <row r="3053" spans="1:15" x14ac:dyDescent="0.3">
      <c r="A3053" t="s">
        <v>3138</v>
      </c>
      <c r="B3053" t="s">
        <v>53</v>
      </c>
      <c r="C3053" t="s">
        <v>17</v>
      </c>
      <c r="D3053" t="s">
        <v>24</v>
      </c>
      <c r="E3053" t="s">
        <v>50</v>
      </c>
      <c r="F3053" s="1">
        <v>45909</v>
      </c>
      <c r="G3053">
        <v>6</v>
      </c>
      <c r="H3053">
        <v>3024.36</v>
      </c>
      <c r="I3053">
        <v>5</v>
      </c>
      <c r="J3053" t="s">
        <v>26</v>
      </c>
      <c r="K3053">
        <v>907.31</v>
      </c>
      <c r="L3053">
        <v>18146.16</v>
      </c>
      <c r="M3053">
        <v>17238.849999999999</v>
      </c>
      <c r="N3053" t="s">
        <v>86</v>
      </c>
      <c r="O3053">
        <v>2025</v>
      </c>
    </row>
    <row r="3054" spans="1:15" x14ac:dyDescent="0.3">
      <c r="A3054" t="s">
        <v>3139</v>
      </c>
      <c r="B3054" t="s">
        <v>38</v>
      </c>
      <c r="C3054" t="s">
        <v>34</v>
      </c>
      <c r="D3054" t="s">
        <v>85</v>
      </c>
      <c r="E3054" t="s">
        <v>44</v>
      </c>
      <c r="F3054" s="1">
        <v>45998</v>
      </c>
      <c r="G3054">
        <v>10</v>
      </c>
      <c r="H3054">
        <v>14185.39</v>
      </c>
      <c r="I3054">
        <v>5</v>
      </c>
      <c r="J3054" t="s">
        <v>36</v>
      </c>
      <c r="K3054">
        <v>7092.69</v>
      </c>
      <c r="L3054">
        <v>141853.9</v>
      </c>
      <c r="M3054">
        <v>134761.21</v>
      </c>
      <c r="N3054" t="s">
        <v>51</v>
      </c>
      <c r="O3054">
        <v>2025</v>
      </c>
    </row>
    <row r="3055" spans="1:15" x14ac:dyDescent="0.3">
      <c r="A3055" t="s">
        <v>3140</v>
      </c>
      <c r="B3055" t="s">
        <v>93</v>
      </c>
      <c r="C3055" t="s">
        <v>34</v>
      </c>
      <c r="D3055" t="s">
        <v>85</v>
      </c>
      <c r="E3055" t="s">
        <v>44</v>
      </c>
      <c r="F3055" s="1">
        <v>45588</v>
      </c>
      <c r="G3055">
        <v>5</v>
      </c>
      <c r="H3055">
        <v>12011.73</v>
      </c>
      <c r="I3055">
        <v>20</v>
      </c>
      <c r="J3055" t="s">
        <v>31</v>
      </c>
      <c r="K3055">
        <v>12011.73</v>
      </c>
      <c r="L3055">
        <v>60058.65</v>
      </c>
      <c r="M3055">
        <v>48046.92</v>
      </c>
      <c r="N3055" t="s">
        <v>57</v>
      </c>
      <c r="O3055">
        <v>2024</v>
      </c>
    </row>
    <row r="3056" spans="1:15" x14ac:dyDescent="0.3">
      <c r="A3056" t="s">
        <v>3141</v>
      </c>
      <c r="B3056" t="s">
        <v>29</v>
      </c>
      <c r="C3056" t="s">
        <v>34</v>
      </c>
      <c r="D3056" t="s">
        <v>48</v>
      </c>
      <c r="E3056" t="s">
        <v>44</v>
      </c>
      <c r="F3056" s="1">
        <v>45696</v>
      </c>
      <c r="G3056">
        <v>8</v>
      </c>
      <c r="H3056">
        <v>7952.12</v>
      </c>
      <c r="I3056">
        <v>20</v>
      </c>
      <c r="J3056" t="s">
        <v>36</v>
      </c>
      <c r="K3056">
        <v>12723.39</v>
      </c>
      <c r="L3056">
        <v>63616.959999999999</v>
      </c>
      <c r="M3056">
        <v>50893.57</v>
      </c>
      <c r="N3056" t="s">
        <v>41</v>
      </c>
      <c r="O3056">
        <v>2025</v>
      </c>
    </row>
    <row r="3057" spans="1:15" x14ac:dyDescent="0.3">
      <c r="A3057" t="s">
        <v>3142</v>
      </c>
      <c r="B3057" t="s">
        <v>53</v>
      </c>
      <c r="C3057" t="s">
        <v>34</v>
      </c>
      <c r="D3057" t="s">
        <v>48</v>
      </c>
      <c r="E3057" t="s">
        <v>56</v>
      </c>
      <c r="F3057" s="1">
        <v>45534</v>
      </c>
      <c r="G3057">
        <v>10</v>
      </c>
      <c r="H3057">
        <v>9066.1</v>
      </c>
      <c r="I3057">
        <v>5</v>
      </c>
      <c r="J3057" t="s">
        <v>71</v>
      </c>
      <c r="K3057">
        <v>4533.05</v>
      </c>
      <c r="L3057">
        <v>90661</v>
      </c>
      <c r="M3057">
        <v>86127.95</v>
      </c>
      <c r="N3057" t="s">
        <v>21</v>
      </c>
      <c r="O3057">
        <v>2024</v>
      </c>
    </row>
    <row r="3058" spans="1:15" x14ac:dyDescent="0.3">
      <c r="A3058" t="s">
        <v>3143</v>
      </c>
      <c r="B3058" t="s">
        <v>38</v>
      </c>
      <c r="C3058" t="s">
        <v>34</v>
      </c>
      <c r="D3058" t="s">
        <v>66</v>
      </c>
      <c r="E3058" t="s">
        <v>19</v>
      </c>
      <c r="F3058" s="1">
        <v>45339</v>
      </c>
      <c r="G3058">
        <v>3</v>
      </c>
      <c r="H3058">
        <v>38382.980000000003</v>
      </c>
      <c r="I3058">
        <v>5</v>
      </c>
      <c r="J3058" t="s">
        <v>36</v>
      </c>
      <c r="K3058">
        <v>5757.45</v>
      </c>
      <c r="L3058">
        <v>115148.94</v>
      </c>
      <c r="M3058">
        <v>109391.49</v>
      </c>
      <c r="N3058" t="s">
        <v>41</v>
      </c>
      <c r="O3058">
        <v>2024</v>
      </c>
    </row>
    <row r="3059" spans="1:15" x14ac:dyDescent="0.3">
      <c r="A3059" t="s">
        <v>3144</v>
      </c>
      <c r="B3059" t="s">
        <v>47</v>
      </c>
      <c r="C3059" t="s">
        <v>17</v>
      </c>
      <c r="D3059" t="s">
        <v>24</v>
      </c>
      <c r="E3059" t="s">
        <v>19</v>
      </c>
      <c r="F3059" s="1">
        <v>45358</v>
      </c>
      <c r="G3059">
        <v>7</v>
      </c>
      <c r="H3059">
        <v>3162.64</v>
      </c>
      <c r="I3059">
        <v>5</v>
      </c>
      <c r="J3059" t="s">
        <v>26</v>
      </c>
      <c r="K3059">
        <v>1106.92</v>
      </c>
      <c r="L3059">
        <v>22138.48</v>
      </c>
      <c r="M3059">
        <v>21031.56</v>
      </c>
      <c r="N3059" t="s">
        <v>83</v>
      </c>
      <c r="O3059">
        <v>2024</v>
      </c>
    </row>
    <row r="3060" spans="1:15" x14ac:dyDescent="0.3">
      <c r="A3060" t="s">
        <v>3145</v>
      </c>
      <c r="B3060" t="s">
        <v>43</v>
      </c>
      <c r="C3060" t="s">
        <v>34</v>
      </c>
      <c r="D3060" t="s">
        <v>66</v>
      </c>
      <c r="E3060" t="s">
        <v>19</v>
      </c>
      <c r="F3060" s="1">
        <v>45509</v>
      </c>
      <c r="G3060">
        <v>5</v>
      </c>
      <c r="H3060">
        <v>40946.44</v>
      </c>
      <c r="I3060">
        <v>0</v>
      </c>
      <c r="J3060" t="s">
        <v>36</v>
      </c>
      <c r="K3060">
        <v>0</v>
      </c>
      <c r="L3060">
        <v>204732.2</v>
      </c>
      <c r="M3060">
        <v>204732.2</v>
      </c>
      <c r="N3060" t="s">
        <v>21</v>
      </c>
      <c r="O3060">
        <v>2024</v>
      </c>
    </row>
    <row r="3061" spans="1:15" x14ac:dyDescent="0.3">
      <c r="A3061" t="s">
        <v>3146</v>
      </c>
      <c r="B3061" t="s">
        <v>65</v>
      </c>
      <c r="C3061" t="s">
        <v>54</v>
      </c>
      <c r="D3061" t="s">
        <v>77</v>
      </c>
      <c r="E3061" t="s">
        <v>50</v>
      </c>
      <c r="F3061" s="1">
        <v>45980</v>
      </c>
      <c r="G3061">
        <v>8</v>
      </c>
      <c r="H3061">
        <v>5405.67</v>
      </c>
      <c r="I3061">
        <v>10</v>
      </c>
      <c r="J3061" t="s">
        <v>26</v>
      </c>
      <c r="K3061">
        <v>4324.54</v>
      </c>
      <c r="L3061">
        <v>43245.36</v>
      </c>
      <c r="M3061">
        <v>38920.82</v>
      </c>
      <c r="N3061" t="s">
        <v>96</v>
      </c>
      <c r="O3061">
        <v>2025</v>
      </c>
    </row>
    <row r="3062" spans="1:15" x14ac:dyDescent="0.3">
      <c r="A3062" t="s">
        <v>3147</v>
      </c>
      <c r="B3062" t="s">
        <v>38</v>
      </c>
      <c r="C3062" t="s">
        <v>17</v>
      </c>
      <c r="D3062" t="s">
        <v>39</v>
      </c>
      <c r="E3062" t="s">
        <v>19</v>
      </c>
      <c r="F3062" s="1">
        <v>45421</v>
      </c>
      <c r="G3062">
        <v>7</v>
      </c>
      <c r="H3062">
        <v>16459.11</v>
      </c>
      <c r="I3062">
        <v>15</v>
      </c>
      <c r="J3062" t="s">
        <v>45</v>
      </c>
      <c r="K3062">
        <v>17282.07</v>
      </c>
      <c r="L3062">
        <v>115213.77</v>
      </c>
      <c r="M3062">
        <v>97931.7</v>
      </c>
      <c r="N3062" t="s">
        <v>101</v>
      </c>
      <c r="O3062">
        <v>2024</v>
      </c>
    </row>
    <row r="3063" spans="1:15" x14ac:dyDescent="0.3">
      <c r="A3063" t="s">
        <v>3148</v>
      </c>
      <c r="B3063" t="s">
        <v>93</v>
      </c>
      <c r="C3063" t="s">
        <v>62</v>
      </c>
      <c r="D3063" t="s">
        <v>99</v>
      </c>
      <c r="E3063" t="s">
        <v>30</v>
      </c>
      <c r="F3063" s="1">
        <v>45498</v>
      </c>
      <c r="G3063">
        <v>9</v>
      </c>
      <c r="H3063">
        <v>1709.77</v>
      </c>
      <c r="I3063">
        <v>0</v>
      </c>
      <c r="J3063" t="s">
        <v>82</v>
      </c>
      <c r="K3063">
        <v>0</v>
      </c>
      <c r="L3063">
        <v>15387.93</v>
      </c>
      <c r="M3063">
        <v>15387.93</v>
      </c>
      <c r="N3063" t="s">
        <v>122</v>
      </c>
      <c r="O3063">
        <v>2024</v>
      </c>
    </row>
    <row r="3064" spans="1:15" x14ac:dyDescent="0.3">
      <c r="A3064" t="s">
        <v>3149</v>
      </c>
      <c r="B3064" t="s">
        <v>16</v>
      </c>
      <c r="C3064" t="s">
        <v>17</v>
      </c>
      <c r="D3064" t="s">
        <v>18</v>
      </c>
      <c r="E3064" t="s">
        <v>44</v>
      </c>
      <c r="F3064" s="1">
        <v>45583</v>
      </c>
      <c r="G3064">
        <v>4</v>
      </c>
      <c r="H3064">
        <v>68165.31</v>
      </c>
      <c r="I3064">
        <v>5</v>
      </c>
      <c r="J3064" t="s">
        <v>31</v>
      </c>
      <c r="K3064">
        <v>13633.06</v>
      </c>
      <c r="L3064">
        <v>272661.24</v>
      </c>
      <c r="M3064">
        <v>259028.18</v>
      </c>
      <c r="N3064" t="s">
        <v>57</v>
      </c>
      <c r="O3064">
        <v>2024</v>
      </c>
    </row>
    <row r="3065" spans="1:15" x14ac:dyDescent="0.3">
      <c r="A3065" t="s">
        <v>3150</v>
      </c>
      <c r="B3065" t="s">
        <v>61</v>
      </c>
      <c r="C3065" t="s">
        <v>34</v>
      </c>
      <c r="D3065" t="s">
        <v>35</v>
      </c>
      <c r="E3065" t="s">
        <v>30</v>
      </c>
      <c r="F3065" s="1">
        <v>45423</v>
      </c>
      <c r="G3065">
        <v>8</v>
      </c>
      <c r="H3065">
        <v>25308.75</v>
      </c>
      <c r="I3065">
        <v>15</v>
      </c>
      <c r="J3065" t="s">
        <v>36</v>
      </c>
      <c r="K3065">
        <v>30370.5</v>
      </c>
      <c r="L3065">
        <v>202470</v>
      </c>
      <c r="M3065">
        <v>172099.5</v>
      </c>
      <c r="N3065" t="s">
        <v>101</v>
      </c>
      <c r="O3065">
        <v>2024</v>
      </c>
    </row>
    <row r="3066" spans="1:15" x14ac:dyDescent="0.3">
      <c r="A3066" t="s">
        <v>3151</v>
      </c>
      <c r="B3066" t="s">
        <v>47</v>
      </c>
      <c r="C3066" t="s">
        <v>34</v>
      </c>
      <c r="D3066" t="s">
        <v>85</v>
      </c>
      <c r="E3066" t="s">
        <v>56</v>
      </c>
      <c r="F3066" s="1">
        <v>45699</v>
      </c>
      <c r="G3066">
        <v>7</v>
      </c>
      <c r="H3066">
        <v>13585.74</v>
      </c>
      <c r="I3066">
        <v>15</v>
      </c>
      <c r="J3066" t="s">
        <v>26</v>
      </c>
      <c r="K3066">
        <v>14265.03</v>
      </c>
      <c r="L3066">
        <v>95100.18</v>
      </c>
      <c r="M3066">
        <v>80835.149999999994</v>
      </c>
      <c r="N3066" t="s">
        <v>41</v>
      </c>
      <c r="O3066">
        <v>2025</v>
      </c>
    </row>
    <row r="3067" spans="1:15" x14ac:dyDescent="0.3">
      <c r="A3067" t="s">
        <v>3152</v>
      </c>
      <c r="B3067" t="s">
        <v>109</v>
      </c>
      <c r="C3067" t="s">
        <v>17</v>
      </c>
      <c r="D3067" t="s">
        <v>157</v>
      </c>
      <c r="E3067" t="s">
        <v>50</v>
      </c>
      <c r="F3067" s="1">
        <v>45345</v>
      </c>
      <c r="G3067">
        <v>4</v>
      </c>
      <c r="H3067">
        <v>6962.29</v>
      </c>
      <c r="I3067">
        <v>0</v>
      </c>
      <c r="J3067" t="s">
        <v>45</v>
      </c>
      <c r="K3067">
        <v>0</v>
      </c>
      <c r="L3067">
        <v>27849.16</v>
      </c>
      <c r="M3067">
        <v>27849.16</v>
      </c>
      <c r="N3067" t="s">
        <v>41</v>
      </c>
      <c r="O3067">
        <v>2024</v>
      </c>
    </row>
    <row r="3068" spans="1:15" x14ac:dyDescent="0.3">
      <c r="A3068" t="s">
        <v>3153</v>
      </c>
      <c r="B3068" t="s">
        <v>33</v>
      </c>
      <c r="C3068" t="s">
        <v>62</v>
      </c>
      <c r="D3068" t="s">
        <v>132</v>
      </c>
      <c r="E3068" t="s">
        <v>50</v>
      </c>
      <c r="F3068" s="1">
        <v>45430</v>
      </c>
      <c r="G3068">
        <v>5</v>
      </c>
      <c r="H3068">
        <v>2303.0100000000002</v>
      </c>
      <c r="I3068">
        <v>0</v>
      </c>
      <c r="J3068" t="s">
        <v>40</v>
      </c>
      <c r="K3068">
        <v>0</v>
      </c>
      <c r="L3068">
        <v>11515.05</v>
      </c>
      <c r="M3068">
        <v>11515.05</v>
      </c>
      <c r="N3068" t="s">
        <v>101</v>
      </c>
      <c r="O3068">
        <v>2024</v>
      </c>
    </row>
    <row r="3069" spans="1:15" x14ac:dyDescent="0.3">
      <c r="A3069" t="s">
        <v>3154</v>
      </c>
      <c r="B3069" t="s">
        <v>16</v>
      </c>
      <c r="C3069" t="s">
        <v>90</v>
      </c>
      <c r="D3069" t="s">
        <v>115</v>
      </c>
      <c r="E3069" t="s">
        <v>25</v>
      </c>
      <c r="F3069" s="1">
        <v>45799</v>
      </c>
      <c r="G3069">
        <v>5</v>
      </c>
      <c r="H3069">
        <v>7237.01</v>
      </c>
      <c r="I3069">
        <v>15</v>
      </c>
      <c r="J3069" t="s">
        <v>36</v>
      </c>
      <c r="K3069">
        <v>5427.76</v>
      </c>
      <c r="L3069">
        <v>36185.050000000003</v>
      </c>
      <c r="M3069">
        <v>30757.29</v>
      </c>
      <c r="N3069" t="s">
        <v>101</v>
      </c>
      <c r="O3069">
        <v>2025</v>
      </c>
    </row>
    <row r="3070" spans="1:15" x14ac:dyDescent="0.3">
      <c r="A3070" t="s">
        <v>3155</v>
      </c>
      <c r="B3070" t="s">
        <v>65</v>
      </c>
      <c r="C3070" t="s">
        <v>90</v>
      </c>
      <c r="D3070" t="s">
        <v>115</v>
      </c>
      <c r="E3070" t="s">
        <v>50</v>
      </c>
      <c r="F3070" s="1">
        <v>45756</v>
      </c>
      <c r="G3070">
        <v>7</v>
      </c>
      <c r="H3070">
        <v>7475.44</v>
      </c>
      <c r="I3070">
        <v>20</v>
      </c>
      <c r="J3070" t="s">
        <v>31</v>
      </c>
      <c r="K3070">
        <v>10465.620000000001</v>
      </c>
      <c r="L3070">
        <v>52328.08</v>
      </c>
      <c r="M3070">
        <v>41862.46</v>
      </c>
      <c r="N3070" t="s">
        <v>27</v>
      </c>
      <c r="O3070">
        <v>2025</v>
      </c>
    </row>
    <row r="3071" spans="1:15" x14ac:dyDescent="0.3">
      <c r="A3071" t="s">
        <v>3156</v>
      </c>
      <c r="B3071" t="s">
        <v>38</v>
      </c>
      <c r="C3071" t="s">
        <v>17</v>
      </c>
      <c r="D3071" t="s">
        <v>157</v>
      </c>
      <c r="E3071" t="s">
        <v>50</v>
      </c>
      <c r="F3071" s="1">
        <v>45332</v>
      </c>
      <c r="G3071">
        <v>4</v>
      </c>
      <c r="H3071">
        <v>7536.53</v>
      </c>
      <c r="I3071">
        <v>5</v>
      </c>
      <c r="J3071" t="s">
        <v>26</v>
      </c>
      <c r="K3071">
        <v>1507.31</v>
      </c>
      <c r="L3071">
        <v>30146.12</v>
      </c>
      <c r="M3071">
        <v>28638.81</v>
      </c>
      <c r="N3071" t="s">
        <v>41</v>
      </c>
      <c r="O3071">
        <v>2024</v>
      </c>
    </row>
    <row r="3072" spans="1:15" x14ac:dyDescent="0.3">
      <c r="A3072" t="s">
        <v>3157</v>
      </c>
      <c r="B3072" t="s">
        <v>61</v>
      </c>
      <c r="C3072" t="s">
        <v>54</v>
      </c>
      <c r="D3072" t="s">
        <v>137</v>
      </c>
      <c r="E3072" t="s">
        <v>44</v>
      </c>
      <c r="F3072" s="1">
        <v>45560</v>
      </c>
      <c r="G3072">
        <v>7</v>
      </c>
      <c r="H3072">
        <v>974.01</v>
      </c>
      <c r="I3072">
        <v>10</v>
      </c>
      <c r="J3072" t="s">
        <v>31</v>
      </c>
      <c r="K3072">
        <v>681.81</v>
      </c>
      <c r="L3072">
        <v>6818.07</v>
      </c>
      <c r="M3072">
        <v>6136.26</v>
      </c>
      <c r="N3072" t="s">
        <v>86</v>
      </c>
      <c r="O3072">
        <v>2024</v>
      </c>
    </row>
    <row r="3073" spans="1:15" x14ac:dyDescent="0.3">
      <c r="A3073" t="s">
        <v>3158</v>
      </c>
      <c r="B3073" t="s">
        <v>43</v>
      </c>
      <c r="C3073" t="s">
        <v>54</v>
      </c>
      <c r="D3073" t="s">
        <v>68</v>
      </c>
      <c r="E3073" t="s">
        <v>19</v>
      </c>
      <c r="F3073" s="1">
        <v>45953</v>
      </c>
      <c r="G3073">
        <v>10</v>
      </c>
      <c r="H3073">
        <v>4713.47</v>
      </c>
      <c r="I3073">
        <v>20</v>
      </c>
      <c r="J3073" t="s">
        <v>71</v>
      </c>
      <c r="K3073">
        <v>9426.94</v>
      </c>
      <c r="L3073">
        <v>47134.7</v>
      </c>
      <c r="M3073">
        <v>37707.760000000002</v>
      </c>
      <c r="N3073" t="s">
        <v>57</v>
      </c>
      <c r="O3073">
        <v>2025</v>
      </c>
    </row>
    <row r="3074" spans="1:15" x14ac:dyDescent="0.3">
      <c r="A3074" t="s">
        <v>3159</v>
      </c>
      <c r="B3074" t="s">
        <v>16</v>
      </c>
      <c r="C3074" t="s">
        <v>34</v>
      </c>
      <c r="D3074" t="s">
        <v>66</v>
      </c>
      <c r="E3074" t="s">
        <v>44</v>
      </c>
      <c r="F3074" s="1">
        <v>45880</v>
      </c>
      <c r="G3074">
        <v>9</v>
      </c>
      <c r="H3074">
        <v>43080.67</v>
      </c>
      <c r="I3074">
        <v>20</v>
      </c>
      <c r="J3074" t="s">
        <v>71</v>
      </c>
      <c r="K3074">
        <v>77545.210000000006</v>
      </c>
      <c r="L3074">
        <v>387726.03</v>
      </c>
      <c r="M3074">
        <v>310180.82</v>
      </c>
      <c r="N3074" t="s">
        <v>21</v>
      </c>
      <c r="O3074">
        <v>2025</v>
      </c>
    </row>
    <row r="3075" spans="1:15" x14ac:dyDescent="0.3">
      <c r="A3075" t="s">
        <v>3160</v>
      </c>
      <c r="B3075" t="s">
        <v>93</v>
      </c>
      <c r="C3075" t="s">
        <v>17</v>
      </c>
      <c r="D3075" t="s">
        <v>39</v>
      </c>
      <c r="E3075" t="s">
        <v>30</v>
      </c>
      <c r="F3075" s="1">
        <v>45327</v>
      </c>
      <c r="G3075">
        <v>10</v>
      </c>
      <c r="H3075">
        <v>19530.419999999998</v>
      </c>
      <c r="I3075">
        <v>10</v>
      </c>
      <c r="J3075" t="s">
        <v>31</v>
      </c>
      <c r="K3075">
        <v>19530.419999999998</v>
      </c>
      <c r="L3075">
        <v>195304.2</v>
      </c>
      <c r="M3075">
        <v>175773.78</v>
      </c>
      <c r="N3075" t="s">
        <v>41</v>
      </c>
      <c r="O3075">
        <v>2024</v>
      </c>
    </row>
    <row r="3076" spans="1:15" x14ac:dyDescent="0.3">
      <c r="A3076" t="s">
        <v>3161</v>
      </c>
      <c r="B3076" t="s">
        <v>38</v>
      </c>
      <c r="C3076" t="s">
        <v>62</v>
      </c>
      <c r="D3076" t="s">
        <v>95</v>
      </c>
      <c r="E3076" t="s">
        <v>19</v>
      </c>
      <c r="F3076" s="1">
        <v>45438</v>
      </c>
      <c r="G3076">
        <v>7</v>
      </c>
      <c r="H3076">
        <v>875.02</v>
      </c>
      <c r="I3076">
        <v>15</v>
      </c>
      <c r="J3076" t="s">
        <v>20</v>
      </c>
      <c r="K3076">
        <v>918.77</v>
      </c>
      <c r="L3076">
        <v>6125.14</v>
      </c>
      <c r="M3076">
        <v>5206.37</v>
      </c>
      <c r="N3076" t="s">
        <v>101</v>
      </c>
      <c r="O3076">
        <v>2024</v>
      </c>
    </row>
    <row r="3077" spans="1:15" x14ac:dyDescent="0.3">
      <c r="A3077" t="s">
        <v>3162</v>
      </c>
      <c r="B3077" t="s">
        <v>53</v>
      </c>
      <c r="C3077" t="s">
        <v>62</v>
      </c>
      <c r="D3077" t="s">
        <v>63</v>
      </c>
      <c r="E3077" t="s">
        <v>50</v>
      </c>
      <c r="F3077" s="1">
        <v>45896</v>
      </c>
      <c r="G3077">
        <v>5</v>
      </c>
      <c r="H3077">
        <v>2021.93</v>
      </c>
      <c r="I3077">
        <v>0</v>
      </c>
      <c r="J3077" t="s">
        <v>20</v>
      </c>
      <c r="K3077">
        <v>0</v>
      </c>
      <c r="L3077">
        <v>10109.65</v>
      </c>
      <c r="M3077">
        <v>10109.65</v>
      </c>
      <c r="N3077" t="s">
        <v>21</v>
      </c>
      <c r="O3077">
        <v>2025</v>
      </c>
    </row>
    <row r="3078" spans="1:15" x14ac:dyDescent="0.3">
      <c r="A3078" t="s">
        <v>3163</v>
      </c>
      <c r="B3078" t="s">
        <v>53</v>
      </c>
      <c r="C3078" t="s">
        <v>34</v>
      </c>
      <c r="D3078" t="s">
        <v>80</v>
      </c>
      <c r="E3078" t="s">
        <v>30</v>
      </c>
      <c r="F3078" s="1">
        <v>45968</v>
      </c>
      <c r="G3078">
        <v>2</v>
      </c>
      <c r="H3078">
        <v>6483.75</v>
      </c>
      <c r="I3078">
        <v>10</v>
      </c>
      <c r="J3078" t="s">
        <v>82</v>
      </c>
      <c r="K3078">
        <v>1296.75</v>
      </c>
      <c r="L3078">
        <v>12967.5</v>
      </c>
      <c r="M3078">
        <v>11670.75</v>
      </c>
      <c r="N3078" t="s">
        <v>96</v>
      </c>
      <c r="O3078">
        <v>2025</v>
      </c>
    </row>
    <row r="3079" spans="1:15" x14ac:dyDescent="0.3">
      <c r="A3079" t="s">
        <v>3164</v>
      </c>
      <c r="B3079" t="s">
        <v>29</v>
      </c>
      <c r="C3079" t="s">
        <v>54</v>
      </c>
      <c r="D3079" t="s">
        <v>137</v>
      </c>
      <c r="E3079" t="s">
        <v>19</v>
      </c>
      <c r="F3079" s="1">
        <v>45296</v>
      </c>
      <c r="G3079">
        <v>2</v>
      </c>
      <c r="H3079">
        <v>851.05</v>
      </c>
      <c r="I3079">
        <v>15</v>
      </c>
      <c r="J3079" t="s">
        <v>26</v>
      </c>
      <c r="K3079">
        <v>255.31</v>
      </c>
      <c r="L3079">
        <v>1702.1</v>
      </c>
      <c r="M3079">
        <v>1446.79</v>
      </c>
      <c r="N3079" t="s">
        <v>116</v>
      </c>
      <c r="O3079">
        <v>2024</v>
      </c>
    </row>
    <row r="3080" spans="1:15" x14ac:dyDescent="0.3">
      <c r="A3080" t="s">
        <v>3165</v>
      </c>
      <c r="B3080" t="s">
        <v>53</v>
      </c>
      <c r="C3080" t="s">
        <v>90</v>
      </c>
      <c r="D3080" t="s">
        <v>107</v>
      </c>
      <c r="E3080" t="s">
        <v>50</v>
      </c>
      <c r="F3080" s="1">
        <v>45801</v>
      </c>
      <c r="G3080">
        <v>5</v>
      </c>
      <c r="H3080">
        <v>11317.87</v>
      </c>
      <c r="I3080">
        <v>5</v>
      </c>
      <c r="J3080" t="s">
        <v>40</v>
      </c>
      <c r="K3080">
        <v>2829.47</v>
      </c>
      <c r="L3080">
        <v>56589.35</v>
      </c>
      <c r="M3080">
        <v>53759.88</v>
      </c>
      <c r="N3080" t="s">
        <v>101</v>
      </c>
      <c r="O3080">
        <v>2025</v>
      </c>
    </row>
    <row r="3081" spans="1:15" x14ac:dyDescent="0.3">
      <c r="A3081" t="s">
        <v>3166</v>
      </c>
      <c r="B3081" t="s">
        <v>16</v>
      </c>
      <c r="C3081" t="s">
        <v>62</v>
      </c>
      <c r="D3081" t="s">
        <v>99</v>
      </c>
      <c r="E3081" t="s">
        <v>56</v>
      </c>
      <c r="F3081" s="1">
        <v>45357</v>
      </c>
      <c r="G3081">
        <v>9</v>
      </c>
      <c r="H3081">
        <v>1640.38</v>
      </c>
      <c r="I3081">
        <v>20</v>
      </c>
      <c r="J3081" t="s">
        <v>71</v>
      </c>
      <c r="K3081">
        <v>2952.68</v>
      </c>
      <c r="L3081">
        <v>14763.42</v>
      </c>
      <c r="M3081">
        <v>11810.74</v>
      </c>
      <c r="N3081" t="s">
        <v>83</v>
      </c>
      <c r="O3081">
        <v>2024</v>
      </c>
    </row>
    <row r="3082" spans="1:15" x14ac:dyDescent="0.3">
      <c r="A3082" t="s">
        <v>3167</v>
      </c>
      <c r="B3082" t="s">
        <v>29</v>
      </c>
      <c r="C3082" t="s">
        <v>34</v>
      </c>
      <c r="D3082" t="s">
        <v>85</v>
      </c>
      <c r="E3082" t="s">
        <v>56</v>
      </c>
      <c r="F3082" s="1">
        <v>45351</v>
      </c>
      <c r="G3082">
        <v>6</v>
      </c>
      <c r="H3082">
        <v>12771.79</v>
      </c>
      <c r="I3082">
        <v>10</v>
      </c>
      <c r="J3082" t="s">
        <v>71</v>
      </c>
      <c r="K3082">
        <v>7663.07</v>
      </c>
      <c r="L3082">
        <v>76630.740000000005</v>
      </c>
      <c r="M3082">
        <v>68967.67</v>
      </c>
      <c r="N3082" t="s">
        <v>41</v>
      </c>
      <c r="O3082">
        <v>2024</v>
      </c>
    </row>
    <row r="3083" spans="1:15" x14ac:dyDescent="0.3">
      <c r="A3083" t="s">
        <v>3168</v>
      </c>
      <c r="B3083" t="s">
        <v>65</v>
      </c>
      <c r="C3083" t="s">
        <v>17</v>
      </c>
      <c r="D3083" t="s">
        <v>157</v>
      </c>
      <c r="E3083" t="s">
        <v>25</v>
      </c>
      <c r="F3083" s="1">
        <v>46006</v>
      </c>
      <c r="G3083">
        <v>2</v>
      </c>
      <c r="H3083">
        <v>8830.84</v>
      </c>
      <c r="I3083">
        <v>5</v>
      </c>
      <c r="J3083" t="s">
        <v>31</v>
      </c>
      <c r="K3083">
        <v>883.08</v>
      </c>
      <c r="L3083">
        <v>17661.68</v>
      </c>
      <c r="M3083">
        <v>16778.599999999999</v>
      </c>
      <c r="N3083" t="s">
        <v>51</v>
      </c>
      <c r="O3083">
        <v>2025</v>
      </c>
    </row>
    <row r="3084" spans="1:15" x14ac:dyDescent="0.3">
      <c r="A3084" t="s">
        <v>3169</v>
      </c>
      <c r="B3084" t="s">
        <v>61</v>
      </c>
      <c r="C3084" t="s">
        <v>62</v>
      </c>
      <c r="D3084" t="s">
        <v>132</v>
      </c>
      <c r="E3084" t="s">
        <v>19</v>
      </c>
      <c r="F3084" s="1">
        <v>45605</v>
      </c>
      <c r="G3084">
        <v>8</v>
      </c>
      <c r="H3084">
        <v>2988.97</v>
      </c>
      <c r="I3084">
        <v>20</v>
      </c>
      <c r="J3084" t="s">
        <v>31</v>
      </c>
      <c r="K3084">
        <v>4782.3500000000004</v>
      </c>
      <c r="L3084">
        <v>23911.759999999998</v>
      </c>
      <c r="M3084">
        <v>19129.41</v>
      </c>
      <c r="N3084" t="s">
        <v>96</v>
      </c>
      <c r="O3084">
        <v>2024</v>
      </c>
    </row>
    <row r="3085" spans="1:15" x14ac:dyDescent="0.3">
      <c r="A3085" t="s">
        <v>3170</v>
      </c>
      <c r="B3085" t="s">
        <v>38</v>
      </c>
      <c r="C3085" t="s">
        <v>54</v>
      </c>
      <c r="D3085" t="s">
        <v>77</v>
      </c>
      <c r="E3085" t="s">
        <v>19</v>
      </c>
      <c r="F3085" s="1">
        <v>45317</v>
      </c>
      <c r="G3085">
        <v>6</v>
      </c>
      <c r="H3085">
        <v>5144.1400000000003</v>
      </c>
      <c r="I3085">
        <v>15</v>
      </c>
      <c r="J3085" t="s">
        <v>31</v>
      </c>
      <c r="K3085">
        <v>4629.7299999999996</v>
      </c>
      <c r="L3085">
        <v>30864.84</v>
      </c>
      <c r="M3085">
        <v>26235.11</v>
      </c>
      <c r="N3085" t="s">
        <v>116</v>
      </c>
      <c r="O3085">
        <v>2024</v>
      </c>
    </row>
    <row r="3086" spans="1:15" x14ac:dyDescent="0.3">
      <c r="A3086" t="s">
        <v>3171</v>
      </c>
      <c r="B3086" t="s">
        <v>93</v>
      </c>
      <c r="C3086" t="s">
        <v>54</v>
      </c>
      <c r="D3086" t="s">
        <v>137</v>
      </c>
      <c r="E3086" t="s">
        <v>44</v>
      </c>
      <c r="F3086" s="1">
        <v>45489</v>
      </c>
      <c r="G3086">
        <v>9</v>
      </c>
      <c r="H3086">
        <v>864.32</v>
      </c>
      <c r="I3086">
        <v>0</v>
      </c>
      <c r="J3086" t="s">
        <v>31</v>
      </c>
      <c r="K3086">
        <v>0</v>
      </c>
      <c r="L3086">
        <v>7778.88</v>
      </c>
      <c r="M3086">
        <v>7778.88</v>
      </c>
      <c r="N3086" t="s">
        <v>122</v>
      </c>
      <c r="O3086">
        <v>2024</v>
      </c>
    </row>
    <row r="3087" spans="1:15" x14ac:dyDescent="0.3">
      <c r="A3087" t="s">
        <v>3172</v>
      </c>
      <c r="B3087" t="s">
        <v>53</v>
      </c>
      <c r="C3087" t="s">
        <v>54</v>
      </c>
      <c r="D3087" t="s">
        <v>68</v>
      </c>
      <c r="E3087" t="s">
        <v>50</v>
      </c>
      <c r="F3087" s="1">
        <v>45414</v>
      </c>
      <c r="G3087">
        <v>1</v>
      </c>
      <c r="H3087">
        <v>4994.34</v>
      </c>
      <c r="I3087">
        <v>0</v>
      </c>
      <c r="J3087" t="s">
        <v>31</v>
      </c>
      <c r="K3087">
        <v>0</v>
      </c>
      <c r="L3087">
        <v>4994.34</v>
      </c>
      <c r="M3087">
        <v>4994.34</v>
      </c>
      <c r="N3087" t="s">
        <v>101</v>
      </c>
      <c r="O3087">
        <v>2024</v>
      </c>
    </row>
    <row r="3088" spans="1:15" x14ac:dyDescent="0.3">
      <c r="A3088" t="s">
        <v>3173</v>
      </c>
      <c r="B3088" t="s">
        <v>23</v>
      </c>
      <c r="C3088" t="s">
        <v>54</v>
      </c>
      <c r="D3088" t="s">
        <v>55</v>
      </c>
      <c r="E3088" t="s">
        <v>25</v>
      </c>
      <c r="F3088" s="1">
        <v>45702</v>
      </c>
      <c r="G3088">
        <v>3</v>
      </c>
      <c r="H3088">
        <v>1082.22</v>
      </c>
      <c r="I3088">
        <v>15</v>
      </c>
      <c r="J3088" t="s">
        <v>31</v>
      </c>
      <c r="K3088">
        <v>487</v>
      </c>
      <c r="L3088">
        <v>3246.66</v>
      </c>
      <c r="M3088">
        <v>2759.66</v>
      </c>
      <c r="N3088" t="s">
        <v>41</v>
      </c>
      <c r="O3088">
        <v>2025</v>
      </c>
    </row>
    <row r="3089" spans="1:15" x14ac:dyDescent="0.3">
      <c r="A3089" t="s">
        <v>3174</v>
      </c>
      <c r="B3089" t="s">
        <v>114</v>
      </c>
      <c r="C3089" t="s">
        <v>62</v>
      </c>
      <c r="D3089" t="s">
        <v>119</v>
      </c>
      <c r="E3089" t="s">
        <v>19</v>
      </c>
      <c r="F3089" s="1">
        <v>45992</v>
      </c>
      <c r="G3089">
        <v>9</v>
      </c>
      <c r="H3089">
        <v>3856.11</v>
      </c>
      <c r="I3089">
        <v>10</v>
      </c>
      <c r="J3089" t="s">
        <v>71</v>
      </c>
      <c r="K3089">
        <v>3470.5</v>
      </c>
      <c r="L3089">
        <v>34704.99</v>
      </c>
      <c r="M3089">
        <v>31234.49</v>
      </c>
      <c r="N3089" t="s">
        <v>51</v>
      </c>
      <c r="O3089">
        <v>2025</v>
      </c>
    </row>
    <row r="3090" spans="1:15" x14ac:dyDescent="0.3">
      <c r="A3090" t="s">
        <v>3175</v>
      </c>
      <c r="B3090" t="s">
        <v>61</v>
      </c>
      <c r="C3090" t="s">
        <v>62</v>
      </c>
      <c r="D3090" t="s">
        <v>99</v>
      </c>
      <c r="E3090" t="s">
        <v>81</v>
      </c>
      <c r="F3090" s="1">
        <v>45622</v>
      </c>
      <c r="G3090">
        <v>6</v>
      </c>
      <c r="H3090">
        <v>1795.04</v>
      </c>
      <c r="I3090">
        <v>10</v>
      </c>
      <c r="J3090" t="s">
        <v>31</v>
      </c>
      <c r="K3090">
        <v>1077.02</v>
      </c>
      <c r="L3090">
        <v>10770.24</v>
      </c>
      <c r="M3090">
        <v>9693.2199999999993</v>
      </c>
      <c r="N3090" t="s">
        <v>96</v>
      </c>
      <c r="O3090">
        <v>2024</v>
      </c>
    </row>
    <row r="3091" spans="1:15" x14ac:dyDescent="0.3">
      <c r="A3091" t="s">
        <v>3176</v>
      </c>
      <c r="B3091" t="s">
        <v>47</v>
      </c>
      <c r="C3091" t="s">
        <v>90</v>
      </c>
      <c r="D3091" t="s">
        <v>115</v>
      </c>
      <c r="E3091" t="s">
        <v>50</v>
      </c>
      <c r="F3091" s="1">
        <v>45773</v>
      </c>
      <c r="G3091">
        <v>7</v>
      </c>
      <c r="H3091">
        <v>7749.19</v>
      </c>
      <c r="I3091">
        <v>0</v>
      </c>
      <c r="J3091" t="s">
        <v>40</v>
      </c>
      <c r="K3091">
        <v>0</v>
      </c>
      <c r="L3091">
        <v>54244.33</v>
      </c>
      <c r="M3091">
        <v>54244.33</v>
      </c>
      <c r="N3091" t="s">
        <v>27</v>
      </c>
      <c r="O3091">
        <v>2025</v>
      </c>
    </row>
    <row r="3092" spans="1:15" x14ac:dyDescent="0.3">
      <c r="A3092" t="s">
        <v>3177</v>
      </c>
      <c r="B3092" t="s">
        <v>65</v>
      </c>
      <c r="C3092" t="s">
        <v>17</v>
      </c>
      <c r="D3092" t="s">
        <v>157</v>
      </c>
      <c r="E3092" t="s">
        <v>56</v>
      </c>
      <c r="F3092" s="1">
        <v>45825</v>
      </c>
      <c r="G3092">
        <v>7</v>
      </c>
      <c r="H3092">
        <v>7714.62</v>
      </c>
      <c r="I3092">
        <v>5</v>
      </c>
      <c r="J3092" t="s">
        <v>45</v>
      </c>
      <c r="K3092">
        <v>2700.12</v>
      </c>
      <c r="L3092">
        <v>54002.34</v>
      </c>
      <c r="M3092">
        <v>51302.22</v>
      </c>
      <c r="N3092" t="s">
        <v>72</v>
      </c>
      <c r="O3092">
        <v>2025</v>
      </c>
    </row>
    <row r="3093" spans="1:15" x14ac:dyDescent="0.3">
      <c r="A3093" t="s">
        <v>3178</v>
      </c>
      <c r="B3093" t="s">
        <v>33</v>
      </c>
      <c r="C3093" t="s">
        <v>62</v>
      </c>
      <c r="D3093" t="s">
        <v>95</v>
      </c>
      <c r="E3093" t="s">
        <v>25</v>
      </c>
      <c r="F3093" s="1">
        <v>45683</v>
      </c>
      <c r="G3093">
        <v>6</v>
      </c>
      <c r="H3093">
        <v>771.07</v>
      </c>
      <c r="I3093">
        <v>0</v>
      </c>
      <c r="J3093" t="s">
        <v>31</v>
      </c>
      <c r="K3093">
        <v>0</v>
      </c>
      <c r="L3093">
        <v>4626.42</v>
      </c>
      <c r="M3093">
        <v>4626.42</v>
      </c>
      <c r="N3093" t="s">
        <v>116</v>
      </c>
      <c r="O3093">
        <v>2025</v>
      </c>
    </row>
    <row r="3094" spans="1:15" x14ac:dyDescent="0.3">
      <c r="A3094" t="s">
        <v>3179</v>
      </c>
      <c r="B3094" t="s">
        <v>114</v>
      </c>
      <c r="C3094" t="s">
        <v>34</v>
      </c>
      <c r="D3094" t="s">
        <v>85</v>
      </c>
      <c r="E3094" t="s">
        <v>19</v>
      </c>
      <c r="F3094" s="1">
        <v>45558</v>
      </c>
      <c r="G3094">
        <v>2</v>
      </c>
      <c r="H3094">
        <v>13109.52</v>
      </c>
      <c r="I3094">
        <v>20</v>
      </c>
      <c r="J3094" t="s">
        <v>40</v>
      </c>
      <c r="K3094">
        <v>5243.81</v>
      </c>
      <c r="L3094">
        <v>26219.040000000001</v>
      </c>
      <c r="M3094">
        <v>20975.23</v>
      </c>
      <c r="N3094" t="s">
        <v>86</v>
      </c>
      <c r="O3094">
        <v>2024</v>
      </c>
    </row>
    <row r="3095" spans="1:15" x14ac:dyDescent="0.3">
      <c r="A3095" t="s">
        <v>3180</v>
      </c>
      <c r="B3095" t="s">
        <v>114</v>
      </c>
      <c r="C3095" t="s">
        <v>54</v>
      </c>
      <c r="D3095" t="s">
        <v>68</v>
      </c>
      <c r="E3095" t="s">
        <v>19</v>
      </c>
      <c r="F3095" s="1">
        <v>45439</v>
      </c>
      <c r="G3095">
        <v>4</v>
      </c>
      <c r="H3095">
        <v>4276.79</v>
      </c>
      <c r="I3095">
        <v>15</v>
      </c>
      <c r="J3095" t="s">
        <v>26</v>
      </c>
      <c r="K3095">
        <v>2566.0700000000002</v>
      </c>
      <c r="L3095">
        <v>17107.16</v>
      </c>
      <c r="M3095">
        <v>14541.09</v>
      </c>
      <c r="N3095" t="s">
        <v>101</v>
      </c>
      <c r="O3095">
        <v>2024</v>
      </c>
    </row>
    <row r="3096" spans="1:15" x14ac:dyDescent="0.3">
      <c r="A3096" t="s">
        <v>3181</v>
      </c>
      <c r="B3096" t="s">
        <v>109</v>
      </c>
      <c r="C3096" t="s">
        <v>54</v>
      </c>
      <c r="D3096" t="s">
        <v>68</v>
      </c>
      <c r="E3096" t="s">
        <v>81</v>
      </c>
      <c r="F3096" s="1">
        <v>45617</v>
      </c>
      <c r="G3096">
        <v>8</v>
      </c>
      <c r="H3096">
        <v>5528.24</v>
      </c>
      <c r="I3096">
        <v>0</v>
      </c>
      <c r="J3096" t="s">
        <v>20</v>
      </c>
      <c r="K3096">
        <v>0</v>
      </c>
      <c r="L3096">
        <v>44225.919999999998</v>
      </c>
      <c r="M3096">
        <v>44225.919999999998</v>
      </c>
      <c r="N3096" t="s">
        <v>96</v>
      </c>
      <c r="O3096">
        <v>2024</v>
      </c>
    </row>
    <row r="3097" spans="1:15" x14ac:dyDescent="0.3">
      <c r="A3097" t="s">
        <v>3182</v>
      </c>
      <c r="B3097" t="s">
        <v>29</v>
      </c>
      <c r="C3097" t="s">
        <v>90</v>
      </c>
      <c r="D3097" t="s">
        <v>105</v>
      </c>
      <c r="E3097" t="s">
        <v>56</v>
      </c>
      <c r="F3097" s="1">
        <v>45338</v>
      </c>
      <c r="G3097">
        <v>10</v>
      </c>
      <c r="H3097">
        <v>3411.01</v>
      </c>
      <c r="I3097">
        <v>10</v>
      </c>
      <c r="J3097" t="s">
        <v>20</v>
      </c>
      <c r="K3097">
        <v>3411.01</v>
      </c>
      <c r="L3097">
        <v>34110.1</v>
      </c>
      <c r="M3097">
        <v>30699.09</v>
      </c>
      <c r="N3097" t="s">
        <v>41</v>
      </c>
      <c r="O3097">
        <v>2024</v>
      </c>
    </row>
    <row r="3098" spans="1:15" x14ac:dyDescent="0.3">
      <c r="A3098" t="s">
        <v>3183</v>
      </c>
      <c r="B3098" t="s">
        <v>65</v>
      </c>
      <c r="C3098" t="s">
        <v>34</v>
      </c>
      <c r="D3098" t="s">
        <v>85</v>
      </c>
      <c r="E3098" t="s">
        <v>30</v>
      </c>
      <c r="F3098" s="1">
        <v>45354</v>
      </c>
      <c r="G3098">
        <v>3</v>
      </c>
      <c r="H3098">
        <v>10935.67</v>
      </c>
      <c r="I3098">
        <v>10</v>
      </c>
      <c r="J3098" t="s">
        <v>31</v>
      </c>
      <c r="K3098">
        <v>3280.7</v>
      </c>
      <c r="L3098">
        <v>32807.01</v>
      </c>
      <c r="M3098">
        <v>29526.31</v>
      </c>
      <c r="N3098" t="s">
        <v>83</v>
      </c>
      <c r="O3098">
        <v>2024</v>
      </c>
    </row>
    <row r="3099" spans="1:15" x14ac:dyDescent="0.3">
      <c r="A3099" t="s">
        <v>3184</v>
      </c>
      <c r="B3099" t="s">
        <v>93</v>
      </c>
      <c r="C3099" t="s">
        <v>17</v>
      </c>
      <c r="D3099" t="s">
        <v>24</v>
      </c>
      <c r="E3099" t="s">
        <v>30</v>
      </c>
      <c r="F3099" s="1">
        <v>45323</v>
      </c>
      <c r="G3099">
        <v>10</v>
      </c>
      <c r="H3099">
        <v>3282.64</v>
      </c>
      <c r="I3099">
        <v>10</v>
      </c>
      <c r="J3099" t="s">
        <v>20</v>
      </c>
      <c r="K3099">
        <v>3282.64</v>
      </c>
      <c r="L3099">
        <v>32826.400000000001</v>
      </c>
      <c r="M3099">
        <v>29543.759999999998</v>
      </c>
      <c r="N3099" t="s">
        <v>41</v>
      </c>
      <c r="O3099">
        <v>2024</v>
      </c>
    </row>
    <row r="3100" spans="1:15" x14ac:dyDescent="0.3">
      <c r="A3100" t="s">
        <v>3185</v>
      </c>
      <c r="B3100" t="s">
        <v>43</v>
      </c>
      <c r="C3100" t="s">
        <v>17</v>
      </c>
      <c r="D3100" t="s">
        <v>59</v>
      </c>
      <c r="E3100" t="s">
        <v>30</v>
      </c>
      <c r="F3100" s="1">
        <v>45889</v>
      </c>
      <c r="G3100">
        <v>7</v>
      </c>
      <c r="H3100">
        <v>26487.31</v>
      </c>
      <c r="I3100">
        <v>20</v>
      </c>
      <c r="J3100" t="s">
        <v>26</v>
      </c>
      <c r="K3100">
        <v>37082.230000000003</v>
      </c>
      <c r="L3100">
        <v>185411.17</v>
      </c>
      <c r="M3100">
        <v>148328.94</v>
      </c>
      <c r="N3100" t="s">
        <v>21</v>
      </c>
      <c r="O3100">
        <v>2025</v>
      </c>
    </row>
    <row r="3101" spans="1:15" x14ac:dyDescent="0.3">
      <c r="A3101" t="s">
        <v>3186</v>
      </c>
      <c r="B3101" t="s">
        <v>89</v>
      </c>
      <c r="C3101" t="s">
        <v>90</v>
      </c>
      <c r="D3101" t="s">
        <v>91</v>
      </c>
      <c r="E3101" t="s">
        <v>44</v>
      </c>
      <c r="F3101" s="1">
        <v>45430</v>
      </c>
      <c r="G3101">
        <v>5</v>
      </c>
      <c r="H3101">
        <v>1476.24</v>
      </c>
      <c r="I3101">
        <v>5</v>
      </c>
      <c r="J3101" t="s">
        <v>71</v>
      </c>
      <c r="K3101">
        <v>369.06</v>
      </c>
      <c r="L3101">
        <v>7381.2</v>
      </c>
      <c r="M3101">
        <v>7012.14</v>
      </c>
      <c r="N3101" t="s">
        <v>101</v>
      </c>
      <c r="O3101">
        <v>2024</v>
      </c>
    </row>
    <row r="3102" spans="1:15" x14ac:dyDescent="0.3">
      <c r="A3102" t="s">
        <v>3187</v>
      </c>
      <c r="B3102" t="s">
        <v>47</v>
      </c>
      <c r="C3102" t="s">
        <v>54</v>
      </c>
      <c r="D3102" t="s">
        <v>137</v>
      </c>
      <c r="E3102" t="s">
        <v>50</v>
      </c>
      <c r="F3102" s="1">
        <v>45690</v>
      </c>
      <c r="G3102">
        <v>10</v>
      </c>
      <c r="H3102">
        <v>870.82</v>
      </c>
      <c r="I3102">
        <v>0</v>
      </c>
      <c r="J3102" t="s">
        <v>45</v>
      </c>
      <c r="K3102">
        <v>0</v>
      </c>
      <c r="L3102">
        <v>8708.2000000000007</v>
      </c>
      <c r="M3102">
        <v>8708.2000000000007</v>
      </c>
      <c r="N3102" t="s">
        <v>41</v>
      </c>
      <c r="O3102">
        <v>2025</v>
      </c>
    </row>
    <row r="3103" spans="1:15" x14ac:dyDescent="0.3">
      <c r="A3103" t="s">
        <v>3188</v>
      </c>
      <c r="B3103" t="s">
        <v>114</v>
      </c>
      <c r="C3103" t="s">
        <v>62</v>
      </c>
      <c r="D3103" t="s">
        <v>119</v>
      </c>
      <c r="E3103" t="s">
        <v>25</v>
      </c>
      <c r="F3103" s="1">
        <v>45501</v>
      </c>
      <c r="G3103">
        <v>6</v>
      </c>
      <c r="H3103">
        <v>3809.32</v>
      </c>
      <c r="I3103">
        <v>15</v>
      </c>
      <c r="J3103" t="s">
        <v>71</v>
      </c>
      <c r="K3103">
        <v>3428.39</v>
      </c>
      <c r="L3103">
        <v>22855.919999999998</v>
      </c>
      <c r="M3103">
        <v>19427.53</v>
      </c>
      <c r="N3103" t="s">
        <v>122</v>
      </c>
      <c r="O3103">
        <v>2024</v>
      </c>
    </row>
    <row r="3104" spans="1:15" x14ac:dyDescent="0.3">
      <c r="A3104" t="s">
        <v>3189</v>
      </c>
      <c r="B3104" t="s">
        <v>65</v>
      </c>
      <c r="C3104" t="s">
        <v>90</v>
      </c>
      <c r="D3104" t="s">
        <v>115</v>
      </c>
      <c r="E3104" t="s">
        <v>25</v>
      </c>
      <c r="F3104" s="1">
        <v>45802</v>
      </c>
      <c r="G3104">
        <v>4</v>
      </c>
      <c r="H3104">
        <v>8346.07</v>
      </c>
      <c r="I3104">
        <v>0</v>
      </c>
      <c r="J3104" t="s">
        <v>45</v>
      </c>
      <c r="K3104">
        <v>0</v>
      </c>
      <c r="L3104">
        <v>33384.28</v>
      </c>
      <c r="M3104">
        <v>33384.28</v>
      </c>
      <c r="N3104" t="s">
        <v>101</v>
      </c>
      <c r="O3104">
        <v>2025</v>
      </c>
    </row>
    <row r="3105" spans="1:15" x14ac:dyDescent="0.3">
      <c r="A3105" t="s">
        <v>3190</v>
      </c>
      <c r="B3105" t="s">
        <v>38</v>
      </c>
      <c r="C3105" t="s">
        <v>62</v>
      </c>
      <c r="D3105" t="s">
        <v>132</v>
      </c>
      <c r="E3105" t="s">
        <v>30</v>
      </c>
      <c r="F3105" s="1">
        <v>45435</v>
      </c>
      <c r="G3105">
        <v>7</v>
      </c>
      <c r="H3105">
        <v>2250.6799999999998</v>
      </c>
      <c r="I3105">
        <v>20</v>
      </c>
      <c r="J3105" t="s">
        <v>26</v>
      </c>
      <c r="K3105">
        <v>3150.95</v>
      </c>
      <c r="L3105">
        <v>15754.76</v>
      </c>
      <c r="M3105">
        <v>12603.81</v>
      </c>
      <c r="N3105" t="s">
        <v>101</v>
      </c>
      <c r="O3105">
        <v>2024</v>
      </c>
    </row>
    <row r="3106" spans="1:15" x14ac:dyDescent="0.3">
      <c r="A3106" t="s">
        <v>3191</v>
      </c>
      <c r="B3106" t="s">
        <v>53</v>
      </c>
      <c r="C3106" t="s">
        <v>62</v>
      </c>
      <c r="D3106" t="s">
        <v>119</v>
      </c>
      <c r="E3106" t="s">
        <v>30</v>
      </c>
      <c r="F3106" s="1">
        <v>45530</v>
      </c>
      <c r="G3106">
        <v>2</v>
      </c>
      <c r="H3106">
        <v>3459.55</v>
      </c>
      <c r="I3106">
        <v>20</v>
      </c>
      <c r="J3106" t="s">
        <v>26</v>
      </c>
      <c r="K3106">
        <v>1383.82</v>
      </c>
      <c r="L3106">
        <v>6919.1</v>
      </c>
      <c r="M3106">
        <v>5535.28</v>
      </c>
      <c r="N3106" t="s">
        <v>21</v>
      </c>
      <c r="O3106">
        <v>2024</v>
      </c>
    </row>
    <row r="3107" spans="1:15" x14ac:dyDescent="0.3">
      <c r="A3107" t="s">
        <v>3192</v>
      </c>
      <c r="B3107" t="s">
        <v>33</v>
      </c>
      <c r="C3107" t="s">
        <v>54</v>
      </c>
      <c r="D3107" t="s">
        <v>55</v>
      </c>
      <c r="E3107" t="s">
        <v>81</v>
      </c>
      <c r="F3107" s="1">
        <v>45917</v>
      </c>
      <c r="G3107">
        <v>1</v>
      </c>
      <c r="H3107">
        <v>1220.5899999999999</v>
      </c>
      <c r="I3107">
        <v>10</v>
      </c>
      <c r="J3107" t="s">
        <v>40</v>
      </c>
      <c r="K3107">
        <v>122.06</v>
      </c>
      <c r="L3107">
        <v>1220.5899999999999</v>
      </c>
      <c r="M3107">
        <v>1098.53</v>
      </c>
      <c r="N3107" t="s">
        <v>86</v>
      </c>
      <c r="O3107">
        <v>2025</v>
      </c>
    </row>
    <row r="3108" spans="1:15" x14ac:dyDescent="0.3">
      <c r="A3108" t="s">
        <v>3193</v>
      </c>
      <c r="B3108" t="s">
        <v>29</v>
      </c>
      <c r="C3108" t="s">
        <v>34</v>
      </c>
      <c r="D3108" t="s">
        <v>80</v>
      </c>
      <c r="E3108" t="s">
        <v>25</v>
      </c>
      <c r="F3108" s="1">
        <v>45972</v>
      </c>
      <c r="G3108">
        <v>8</v>
      </c>
      <c r="H3108">
        <v>6717.42</v>
      </c>
      <c r="I3108">
        <v>20</v>
      </c>
      <c r="J3108" t="s">
        <v>71</v>
      </c>
      <c r="K3108">
        <v>10747.87</v>
      </c>
      <c r="L3108">
        <v>53739.360000000001</v>
      </c>
      <c r="M3108">
        <v>42991.49</v>
      </c>
      <c r="N3108" t="s">
        <v>96</v>
      </c>
      <c r="O3108">
        <v>2025</v>
      </c>
    </row>
    <row r="3109" spans="1:15" x14ac:dyDescent="0.3">
      <c r="A3109" t="s">
        <v>3194</v>
      </c>
      <c r="B3109" t="s">
        <v>33</v>
      </c>
      <c r="C3109" t="s">
        <v>90</v>
      </c>
      <c r="D3109" t="s">
        <v>152</v>
      </c>
      <c r="E3109" t="s">
        <v>81</v>
      </c>
      <c r="F3109" s="1">
        <v>45408</v>
      </c>
      <c r="G3109">
        <v>5</v>
      </c>
      <c r="H3109">
        <v>9166.73</v>
      </c>
      <c r="I3109">
        <v>15</v>
      </c>
      <c r="J3109" t="s">
        <v>45</v>
      </c>
      <c r="K3109">
        <v>6875.05</v>
      </c>
      <c r="L3109">
        <v>45833.65</v>
      </c>
      <c r="M3109">
        <v>38958.6</v>
      </c>
      <c r="N3109" t="s">
        <v>27</v>
      </c>
      <c r="O3109">
        <v>2024</v>
      </c>
    </row>
    <row r="3110" spans="1:15" x14ac:dyDescent="0.3">
      <c r="A3110" t="s">
        <v>3195</v>
      </c>
      <c r="B3110" t="s">
        <v>16</v>
      </c>
      <c r="C3110" t="s">
        <v>62</v>
      </c>
      <c r="D3110" t="s">
        <v>132</v>
      </c>
      <c r="E3110" t="s">
        <v>50</v>
      </c>
      <c r="F3110" s="1">
        <v>45295</v>
      </c>
      <c r="G3110">
        <v>9</v>
      </c>
      <c r="H3110">
        <v>2576.2399999999998</v>
      </c>
      <c r="I3110">
        <v>5</v>
      </c>
      <c r="J3110" t="s">
        <v>20</v>
      </c>
      <c r="K3110">
        <v>1159.31</v>
      </c>
      <c r="L3110">
        <v>23186.16</v>
      </c>
      <c r="M3110">
        <v>22026.85</v>
      </c>
      <c r="N3110" t="s">
        <v>116</v>
      </c>
      <c r="O3110">
        <v>2024</v>
      </c>
    </row>
    <row r="3111" spans="1:15" x14ac:dyDescent="0.3">
      <c r="A3111" t="s">
        <v>3196</v>
      </c>
      <c r="B3111" t="s">
        <v>74</v>
      </c>
      <c r="C3111" t="s">
        <v>54</v>
      </c>
      <c r="D3111" t="s">
        <v>137</v>
      </c>
      <c r="E3111" t="s">
        <v>30</v>
      </c>
      <c r="F3111" s="1">
        <v>46005</v>
      </c>
      <c r="G3111">
        <v>9</v>
      </c>
      <c r="H3111">
        <v>1090.48</v>
      </c>
      <c r="I3111">
        <v>10</v>
      </c>
      <c r="J3111" t="s">
        <v>31</v>
      </c>
      <c r="K3111">
        <v>981.43</v>
      </c>
      <c r="L3111">
        <v>9814.32</v>
      </c>
      <c r="M3111">
        <v>8832.89</v>
      </c>
      <c r="N3111" t="s">
        <v>51</v>
      </c>
      <c r="O3111">
        <v>2025</v>
      </c>
    </row>
    <row r="3112" spans="1:15" x14ac:dyDescent="0.3">
      <c r="A3112" t="s">
        <v>3197</v>
      </c>
      <c r="B3112" t="s">
        <v>23</v>
      </c>
      <c r="C3112" t="s">
        <v>17</v>
      </c>
      <c r="D3112" t="s">
        <v>24</v>
      </c>
      <c r="E3112" t="s">
        <v>50</v>
      </c>
      <c r="F3112" s="1">
        <v>45954</v>
      </c>
      <c r="G3112">
        <v>4</v>
      </c>
      <c r="H3112">
        <v>3108.86</v>
      </c>
      <c r="I3112">
        <v>15</v>
      </c>
      <c r="J3112" t="s">
        <v>20</v>
      </c>
      <c r="K3112">
        <v>1865.32</v>
      </c>
      <c r="L3112">
        <v>12435.44</v>
      </c>
      <c r="M3112">
        <v>10570.12</v>
      </c>
      <c r="N3112" t="s">
        <v>57</v>
      </c>
      <c r="O3112">
        <v>2025</v>
      </c>
    </row>
    <row r="3113" spans="1:15" x14ac:dyDescent="0.3">
      <c r="A3113" t="s">
        <v>3198</v>
      </c>
      <c r="B3113" t="s">
        <v>16</v>
      </c>
      <c r="C3113" t="s">
        <v>17</v>
      </c>
      <c r="D3113" t="s">
        <v>39</v>
      </c>
      <c r="E3113" t="s">
        <v>81</v>
      </c>
      <c r="F3113" s="1">
        <v>45929</v>
      </c>
      <c r="G3113">
        <v>5</v>
      </c>
      <c r="H3113">
        <v>16945.86</v>
      </c>
      <c r="I3113">
        <v>15</v>
      </c>
      <c r="J3113" t="s">
        <v>31</v>
      </c>
      <c r="K3113">
        <v>12709.4</v>
      </c>
      <c r="L3113">
        <v>84729.3</v>
      </c>
      <c r="M3113">
        <v>72019.899999999994</v>
      </c>
      <c r="N3113" t="s">
        <v>86</v>
      </c>
      <c r="O3113">
        <v>2025</v>
      </c>
    </row>
    <row r="3114" spans="1:15" x14ac:dyDescent="0.3">
      <c r="A3114" t="s">
        <v>3199</v>
      </c>
      <c r="B3114" t="s">
        <v>114</v>
      </c>
      <c r="C3114" t="s">
        <v>90</v>
      </c>
      <c r="D3114" t="s">
        <v>115</v>
      </c>
      <c r="E3114" t="s">
        <v>81</v>
      </c>
      <c r="F3114" s="1">
        <v>45393</v>
      </c>
      <c r="G3114">
        <v>8</v>
      </c>
      <c r="H3114">
        <v>7584.94</v>
      </c>
      <c r="I3114">
        <v>0</v>
      </c>
      <c r="J3114" t="s">
        <v>20</v>
      </c>
      <c r="K3114">
        <v>0</v>
      </c>
      <c r="L3114">
        <v>60679.519999999997</v>
      </c>
      <c r="M3114">
        <v>60679.519999999997</v>
      </c>
      <c r="N3114" t="s">
        <v>27</v>
      </c>
      <c r="O3114">
        <v>2024</v>
      </c>
    </row>
    <row r="3115" spans="1:15" x14ac:dyDescent="0.3">
      <c r="A3115" t="s">
        <v>3200</v>
      </c>
      <c r="B3115" t="s">
        <v>53</v>
      </c>
      <c r="C3115" t="s">
        <v>90</v>
      </c>
      <c r="D3115" t="s">
        <v>152</v>
      </c>
      <c r="E3115" t="s">
        <v>44</v>
      </c>
      <c r="F3115" s="1">
        <v>45964</v>
      </c>
      <c r="G3115">
        <v>2</v>
      </c>
      <c r="H3115">
        <v>10921.71</v>
      </c>
      <c r="I3115">
        <v>20</v>
      </c>
      <c r="J3115" t="s">
        <v>20</v>
      </c>
      <c r="K3115">
        <v>4368.68</v>
      </c>
      <c r="L3115">
        <v>21843.42</v>
      </c>
      <c r="M3115">
        <v>17474.740000000002</v>
      </c>
      <c r="N3115" t="s">
        <v>96</v>
      </c>
      <c r="O3115">
        <v>2025</v>
      </c>
    </row>
    <row r="3116" spans="1:15" x14ac:dyDescent="0.3">
      <c r="A3116" t="s">
        <v>3201</v>
      </c>
      <c r="B3116" t="s">
        <v>65</v>
      </c>
      <c r="C3116" t="s">
        <v>17</v>
      </c>
      <c r="D3116" t="s">
        <v>157</v>
      </c>
      <c r="E3116" t="s">
        <v>81</v>
      </c>
      <c r="F3116" s="1">
        <v>45593</v>
      </c>
      <c r="G3116">
        <v>3</v>
      </c>
      <c r="H3116">
        <v>8636.23</v>
      </c>
      <c r="I3116">
        <v>10</v>
      </c>
      <c r="J3116" t="s">
        <v>36</v>
      </c>
      <c r="K3116">
        <v>2590.87</v>
      </c>
      <c r="L3116">
        <v>25908.69</v>
      </c>
      <c r="M3116">
        <v>23317.82</v>
      </c>
      <c r="N3116" t="s">
        <v>57</v>
      </c>
      <c r="O3116">
        <v>2024</v>
      </c>
    </row>
    <row r="3117" spans="1:15" x14ac:dyDescent="0.3">
      <c r="A3117" t="s">
        <v>3202</v>
      </c>
      <c r="B3117" t="s">
        <v>43</v>
      </c>
      <c r="C3117" t="s">
        <v>62</v>
      </c>
      <c r="D3117" t="s">
        <v>132</v>
      </c>
      <c r="E3117" t="s">
        <v>56</v>
      </c>
      <c r="F3117" s="1">
        <v>45722</v>
      </c>
      <c r="G3117">
        <v>3</v>
      </c>
      <c r="H3117">
        <v>2397.23</v>
      </c>
      <c r="I3117">
        <v>15</v>
      </c>
      <c r="J3117" t="s">
        <v>26</v>
      </c>
      <c r="K3117">
        <v>1078.75</v>
      </c>
      <c r="L3117">
        <v>7191.69</v>
      </c>
      <c r="M3117">
        <v>6112.94</v>
      </c>
      <c r="N3117" t="s">
        <v>83</v>
      </c>
      <c r="O3117">
        <v>2025</v>
      </c>
    </row>
    <row r="3118" spans="1:15" x14ac:dyDescent="0.3">
      <c r="A3118" t="s">
        <v>3203</v>
      </c>
      <c r="B3118" t="s">
        <v>61</v>
      </c>
      <c r="C3118" t="s">
        <v>34</v>
      </c>
      <c r="D3118" t="s">
        <v>85</v>
      </c>
      <c r="E3118" t="s">
        <v>56</v>
      </c>
      <c r="F3118" s="1">
        <v>45753</v>
      </c>
      <c r="G3118">
        <v>10</v>
      </c>
      <c r="H3118">
        <v>12307.76</v>
      </c>
      <c r="I3118">
        <v>20</v>
      </c>
      <c r="J3118" t="s">
        <v>82</v>
      </c>
      <c r="K3118">
        <v>24615.52</v>
      </c>
      <c r="L3118">
        <v>123077.6</v>
      </c>
      <c r="M3118">
        <v>98462.080000000002</v>
      </c>
      <c r="N3118" t="s">
        <v>27</v>
      </c>
      <c r="O3118">
        <v>2025</v>
      </c>
    </row>
    <row r="3119" spans="1:15" x14ac:dyDescent="0.3">
      <c r="A3119" t="s">
        <v>3204</v>
      </c>
      <c r="B3119" t="s">
        <v>114</v>
      </c>
      <c r="C3119" t="s">
        <v>17</v>
      </c>
      <c r="D3119" t="s">
        <v>59</v>
      </c>
      <c r="E3119" t="s">
        <v>50</v>
      </c>
      <c r="F3119" s="1">
        <v>45774</v>
      </c>
      <c r="G3119">
        <v>10</v>
      </c>
      <c r="H3119">
        <v>22853.84</v>
      </c>
      <c r="I3119">
        <v>15</v>
      </c>
      <c r="J3119" t="s">
        <v>20</v>
      </c>
      <c r="K3119">
        <v>34280.76</v>
      </c>
      <c r="L3119">
        <v>228538.4</v>
      </c>
      <c r="M3119">
        <v>194257.64</v>
      </c>
      <c r="N3119" t="s">
        <v>27</v>
      </c>
      <c r="O3119">
        <v>2025</v>
      </c>
    </row>
    <row r="3120" spans="1:15" x14ac:dyDescent="0.3">
      <c r="A3120" t="s">
        <v>3205</v>
      </c>
      <c r="B3120" t="s">
        <v>38</v>
      </c>
      <c r="C3120" t="s">
        <v>62</v>
      </c>
      <c r="D3120" t="s">
        <v>119</v>
      </c>
      <c r="E3120" t="s">
        <v>44</v>
      </c>
      <c r="F3120" s="1">
        <v>45348</v>
      </c>
      <c r="G3120">
        <v>9</v>
      </c>
      <c r="H3120">
        <v>3395.5</v>
      </c>
      <c r="I3120">
        <v>15</v>
      </c>
      <c r="J3120" t="s">
        <v>71</v>
      </c>
      <c r="K3120">
        <v>4583.93</v>
      </c>
      <c r="L3120">
        <v>30559.5</v>
      </c>
      <c r="M3120">
        <v>25975.57</v>
      </c>
      <c r="N3120" t="s">
        <v>41</v>
      </c>
      <c r="O3120">
        <v>2024</v>
      </c>
    </row>
    <row r="3121" spans="1:15" x14ac:dyDescent="0.3">
      <c r="A3121" t="s">
        <v>3206</v>
      </c>
      <c r="B3121" t="s">
        <v>33</v>
      </c>
      <c r="C3121" t="s">
        <v>90</v>
      </c>
      <c r="D3121" t="s">
        <v>91</v>
      </c>
      <c r="E3121" t="s">
        <v>30</v>
      </c>
      <c r="F3121" s="1">
        <v>45364</v>
      </c>
      <c r="G3121">
        <v>8</v>
      </c>
      <c r="H3121">
        <v>1507.77</v>
      </c>
      <c r="I3121">
        <v>10</v>
      </c>
      <c r="J3121" t="s">
        <v>40</v>
      </c>
      <c r="K3121">
        <v>1206.22</v>
      </c>
      <c r="L3121">
        <v>12062.16</v>
      </c>
      <c r="M3121">
        <v>10855.94</v>
      </c>
      <c r="N3121" t="s">
        <v>83</v>
      </c>
      <c r="O3121">
        <v>2024</v>
      </c>
    </row>
    <row r="3122" spans="1:15" x14ac:dyDescent="0.3">
      <c r="A3122" t="s">
        <v>3207</v>
      </c>
      <c r="B3122" t="s">
        <v>93</v>
      </c>
      <c r="C3122" t="s">
        <v>62</v>
      </c>
      <c r="D3122" t="s">
        <v>63</v>
      </c>
      <c r="E3122" t="s">
        <v>81</v>
      </c>
      <c r="F3122" s="1">
        <v>45849</v>
      </c>
      <c r="G3122">
        <v>9</v>
      </c>
      <c r="H3122">
        <v>1900.94</v>
      </c>
      <c r="I3122">
        <v>0</v>
      </c>
      <c r="J3122" t="s">
        <v>82</v>
      </c>
      <c r="K3122">
        <v>0</v>
      </c>
      <c r="L3122">
        <v>17108.46</v>
      </c>
      <c r="M3122">
        <v>17108.46</v>
      </c>
      <c r="N3122" t="s">
        <v>122</v>
      </c>
      <c r="O3122">
        <v>2025</v>
      </c>
    </row>
    <row r="3123" spans="1:15" x14ac:dyDescent="0.3">
      <c r="A3123" t="s">
        <v>3208</v>
      </c>
      <c r="B3123" t="s">
        <v>89</v>
      </c>
      <c r="C3123" t="s">
        <v>90</v>
      </c>
      <c r="D3123" t="s">
        <v>107</v>
      </c>
      <c r="E3123" t="s">
        <v>81</v>
      </c>
      <c r="F3123" s="1">
        <v>45653</v>
      </c>
      <c r="G3123">
        <v>10</v>
      </c>
      <c r="H3123">
        <v>12093.85</v>
      </c>
      <c r="I3123">
        <v>15</v>
      </c>
      <c r="J3123" t="s">
        <v>82</v>
      </c>
      <c r="K3123">
        <v>18140.77</v>
      </c>
      <c r="L3123">
        <v>120938.5</v>
      </c>
      <c r="M3123">
        <v>102797.73</v>
      </c>
      <c r="N3123" t="s">
        <v>51</v>
      </c>
      <c r="O3123">
        <v>2024</v>
      </c>
    </row>
    <row r="3124" spans="1:15" x14ac:dyDescent="0.3">
      <c r="A3124" t="s">
        <v>3209</v>
      </c>
      <c r="B3124" t="s">
        <v>65</v>
      </c>
      <c r="C3124" t="s">
        <v>54</v>
      </c>
      <c r="D3124" t="s">
        <v>70</v>
      </c>
      <c r="E3124" t="s">
        <v>81</v>
      </c>
      <c r="F3124" s="1">
        <v>45670</v>
      </c>
      <c r="G3124">
        <v>9</v>
      </c>
      <c r="H3124">
        <v>2867.23</v>
      </c>
      <c r="I3124">
        <v>15</v>
      </c>
      <c r="J3124" t="s">
        <v>40</v>
      </c>
      <c r="K3124">
        <v>3870.76</v>
      </c>
      <c r="L3124">
        <v>25805.07</v>
      </c>
      <c r="M3124">
        <v>21934.31</v>
      </c>
      <c r="N3124" t="s">
        <v>116</v>
      </c>
      <c r="O3124">
        <v>2025</v>
      </c>
    </row>
    <row r="3125" spans="1:15" x14ac:dyDescent="0.3">
      <c r="A3125" t="s">
        <v>3210</v>
      </c>
      <c r="B3125" t="s">
        <v>38</v>
      </c>
      <c r="C3125" t="s">
        <v>34</v>
      </c>
      <c r="D3125" t="s">
        <v>35</v>
      </c>
      <c r="E3125" t="s">
        <v>81</v>
      </c>
      <c r="F3125" s="1">
        <v>45809</v>
      </c>
      <c r="G3125">
        <v>5</v>
      </c>
      <c r="H3125">
        <v>25940.59</v>
      </c>
      <c r="I3125">
        <v>15</v>
      </c>
      <c r="J3125" t="s">
        <v>20</v>
      </c>
      <c r="K3125">
        <v>19455.439999999999</v>
      </c>
      <c r="L3125">
        <v>129702.95</v>
      </c>
      <c r="M3125">
        <v>110247.51</v>
      </c>
      <c r="N3125" t="s">
        <v>72</v>
      </c>
      <c r="O3125">
        <v>2025</v>
      </c>
    </row>
    <row r="3126" spans="1:15" x14ac:dyDescent="0.3">
      <c r="A3126" t="s">
        <v>3211</v>
      </c>
      <c r="B3126" t="s">
        <v>65</v>
      </c>
      <c r="C3126" t="s">
        <v>90</v>
      </c>
      <c r="D3126" t="s">
        <v>107</v>
      </c>
      <c r="E3126" t="s">
        <v>25</v>
      </c>
      <c r="F3126" s="1">
        <v>45309</v>
      </c>
      <c r="G3126">
        <v>8</v>
      </c>
      <c r="H3126">
        <v>11995.78</v>
      </c>
      <c r="I3126">
        <v>5</v>
      </c>
      <c r="J3126" t="s">
        <v>36</v>
      </c>
      <c r="K3126">
        <v>4798.3100000000004</v>
      </c>
      <c r="L3126">
        <v>95966.24</v>
      </c>
      <c r="M3126">
        <v>91167.93</v>
      </c>
      <c r="N3126" t="s">
        <v>116</v>
      </c>
      <c r="O3126">
        <v>2024</v>
      </c>
    </row>
    <row r="3127" spans="1:15" x14ac:dyDescent="0.3">
      <c r="A3127" t="s">
        <v>3212</v>
      </c>
      <c r="B3127" t="s">
        <v>23</v>
      </c>
      <c r="C3127" t="s">
        <v>34</v>
      </c>
      <c r="D3127" t="s">
        <v>66</v>
      </c>
      <c r="E3127" t="s">
        <v>30</v>
      </c>
      <c r="F3127" s="1">
        <v>45476</v>
      </c>
      <c r="G3127">
        <v>2</v>
      </c>
      <c r="H3127">
        <v>45356.54</v>
      </c>
      <c r="I3127">
        <v>20</v>
      </c>
      <c r="J3127" t="s">
        <v>82</v>
      </c>
      <c r="K3127">
        <v>18142.62</v>
      </c>
      <c r="L3127">
        <v>90713.08</v>
      </c>
      <c r="M3127">
        <v>72570.460000000006</v>
      </c>
      <c r="N3127" t="s">
        <v>122</v>
      </c>
      <c r="O3127">
        <v>2024</v>
      </c>
    </row>
    <row r="3128" spans="1:15" x14ac:dyDescent="0.3">
      <c r="A3128" t="s">
        <v>3213</v>
      </c>
      <c r="B3128" t="s">
        <v>16</v>
      </c>
      <c r="C3128" t="s">
        <v>17</v>
      </c>
      <c r="D3128" t="s">
        <v>39</v>
      </c>
      <c r="E3128" t="s">
        <v>25</v>
      </c>
      <c r="F3128" s="1">
        <v>45450</v>
      </c>
      <c r="G3128">
        <v>10</v>
      </c>
      <c r="H3128">
        <v>19111.68</v>
      </c>
      <c r="I3128">
        <v>20</v>
      </c>
      <c r="J3128" t="s">
        <v>82</v>
      </c>
      <c r="K3128">
        <v>38223.360000000001</v>
      </c>
      <c r="L3128">
        <v>191116.79999999999</v>
      </c>
      <c r="M3128">
        <v>152893.44</v>
      </c>
      <c r="N3128" t="s">
        <v>72</v>
      </c>
      <c r="O3128">
        <v>2024</v>
      </c>
    </row>
    <row r="3129" spans="1:15" x14ac:dyDescent="0.3">
      <c r="A3129" t="s">
        <v>3214</v>
      </c>
      <c r="B3129" t="s">
        <v>38</v>
      </c>
      <c r="C3129" t="s">
        <v>54</v>
      </c>
      <c r="D3129" t="s">
        <v>68</v>
      </c>
      <c r="E3129" t="s">
        <v>30</v>
      </c>
      <c r="F3129" s="1">
        <v>45815</v>
      </c>
      <c r="G3129">
        <v>3</v>
      </c>
      <c r="H3129">
        <v>4967.41</v>
      </c>
      <c r="I3129">
        <v>0</v>
      </c>
      <c r="J3129" t="s">
        <v>82</v>
      </c>
      <c r="K3129">
        <v>0</v>
      </c>
      <c r="L3129">
        <v>14902.23</v>
      </c>
      <c r="M3129">
        <v>14902.23</v>
      </c>
      <c r="N3129" t="s">
        <v>72</v>
      </c>
      <c r="O3129">
        <v>2025</v>
      </c>
    </row>
    <row r="3130" spans="1:15" x14ac:dyDescent="0.3">
      <c r="A3130" t="s">
        <v>3215</v>
      </c>
      <c r="B3130" t="s">
        <v>114</v>
      </c>
      <c r="C3130" t="s">
        <v>90</v>
      </c>
      <c r="D3130" t="s">
        <v>105</v>
      </c>
      <c r="E3130" t="s">
        <v>56</v>
      </c>
      <c r="F3130" s="1">
        <v>45902</v>
      </c>
      <c r="G3130">
        <v>1</v>
      </c>
      <c r="H3130">
        <v>3913.94</v>
      </c>
      <c r="I3130">
        <v>0</v>
      </c>
      <c r="J3130" t="s">
        <v>31</v>
      </c>
      <c r="K3130">
        <v>0</v>
      </c>
      <c r="L3130">
        <v>3913.94</v>
      </c>
      <c r="M3130">
        <v>3913.94</v>
      </c>
      <c r="N3130" t="s">
        <v>86</v>
      </c>
      <c r="O3130">
        <v>2025</v>
      </c>
    </row>
    <row r="3131" spans="1:15" x14ac:dyDescent="0.3">
      <c r="A3131" t="s">
        <v>3216</v>
      </c>
      <c r="B3131" t="s">
        <v>53</v>
      </c>
      <c r="C3131" t="s">
        <v>90</v>
      </c>
      <c r="D3131" t="s">
        <v>91</v>
      </c>
      <c r="E3131" t="s">
        <v>50</v>
      </c>
      <c r="F3131" s="1">
        <v>45442</v>
      </c>
      <c r="G3131">
        <v>10</v>
      </c>
      <c r="H3131">
        <v>1558.06</v>
      </c>
      <c r="I3131">
        <v>15</v>
      </c>
      <c r="J3131" t="s">
        <v>71</v>
      </c>
      <c r="K3131">
        <v>2337.09</v>
      </c>
      <c r="L3131">
        <v>15580.6</v>
      </c>
      <c r="M3131">
        <v>13243.51</v>
      </c>
      <c r="N3131" t="s">
        <v>101</v>
      </c>
      <c r="O3131">
        <v>2024</v>
      </c>
    </row>
    <row r="3132" spans="1:15" x14ac:dyDescent="0.3">
      <c r="A3132" t="s">
        <v>3217</v>
      </c>
      <c r="B3132" t="s">
        <v>114</v>
      </c>
      <c r="C3132" t="s">
        <v>54</v>
      </c>
      <c r="D3132" t="s">
        <v>77</v>
      </c>
      <c r="E3132" t="s">
        <v>50</v>
      </c>
      <c r="F3132" s="1">
        <v>45573</v>
      </c>
      <c r="G3132">
        <v>9</v>
      </c>
      <c r="H3132">
        <v>5861.29</v>
      </c>
      <c r="I3132">
        <v>15</v>
      </c>
      <c r="J3132" t="s">
        <v>20</v>
      </c>
      <c r="K3132">
        <v>7912.74</v>
      </c>
      <c r="L3132">
        <v>52751.61</v>
      </c>
      <c r="M3132">
        <v>44838.87</v>
      </c>
      <c r="N3132" t="s">
        <v>57</v>
      </c>
      <c r="O3132">
        <v>2024</v>
      </c>
    </row>
    <row r="3133" spans="1:15" x14ac:dyDescent="0.3">
      <c r="A3133" t="s">
        <v>3218</v>
      </c>
      <c r="B3133" t="s">
        <v>114</v>
      </c>
      <c r="C3133" t="s">
        <v>62</v>
      </c>
      <c r="D3133" t="s">
        <v>132</v>
      </c>
      <c r="E3133" t="s">
        <v>56</v>
      </c>
      <c r="F3133" s="1">
        <v>45540</v>
      </c>
      <c r="G3133">
        <v>6</v>
      </c>
      <c r="H3133">
        <v>2277.65</v>
      </c>
      <c r="I3133">
        <v>15</v>
      </c>
      <c r="J3133" t="s">
        <v>26</v>
      </c>
      <c r="K3133">
        <v>2049.88</v>
      </c>
      <c r="L3133">
        <v>13665.9</v>
      </c>
      <c r="M3133">
        <v>11616.02</v>
      </c>
      <c r="N3133" t="s">
        <v>86</v>
      </c>
      <c r="O3133">
        <v>2024</v>
      </c>
    </row>
    <row r="3134" spans="1:15" x14ac:dyDescent="0.3">
      <c r="A3134" t="s">
        <v>3219</v>
      </c>
      <c r="B3134" t="s">
        <v>65</v>
      </c>
      <c r="C3134" t="s">
        <v>62</v>
      </c>
      <c r="D3134" t="s">
        <v>99</v>
      </c>
      <c r="E3134" t="s">
        <v>81</v>
      </c>
      <c r="F3134" s="1">
        <v>45823</v>
      </c>
      <c r="G3134">
        <v>4</v>
      </c>
      <c r="H3134">
        <v>1723.7</v>
      </c>
      <c r="I3134">
        <v>5</v>
      </c>
      <c r="J3134" t="s">
        <v>31</v>
      </c>
      <c r="K3134">
        <v>344.74</v>
      </c>
      <c r="L3134">
        <v>6894.8</v>
      </c>
      <c r="M3134">
        <v>6550.06</v>
      </c>
      <c r="N3134" t="s">
        <v>72</v>
      </c>
      <c r="O3134">
        <v>2025</v>
      </c>
    </row>
    <row r="3135" spans="1:15" x14ac:dyDescent="0.3">
      <c r="A3135" t="s">
        <v>3220</v>
      </c>
      <c r="B3135" t="s">
        <v>16</v>
      </c>
      <c r="C3135" t="s">
        <v>62</v>
      </c>
      <c r="D3135" t="s">
        <v>119</v>
      </c>
      <c r="E3135" t="s">
        <v>56</v>
      </c>
      <c r="F3135" s="1">
        <v>45790</v>
      </c>
      <c r="G3135">
        <v>8</v>
      </c>
      <c r="H3135">
        <v>3356.61</v>
      </c>
      <c r="I3135">
        <v>0</v>
      </c>
      <c r="J3135" t="s">
        <v>26</v>
      </c>
      <c r="K3135">
        <v>0</v>
      </c>
      <c r="L3135">
        <v>26852.880000000001</v>
      </c>
      <c r="M3135">
        <v>26852.880000000001</v>
      </c>
      <c r="N3135" t="s">
        <v>101</v>
      </c>
      <c r="O3135">
        <v>2025</v>
      </c>
    </row>
    <row r="3136" spans="1:15" x14ac:dyDescent="0.3">
      <c r="A3136" t="s">
        <v>3221</v>
      </c>
      <c r="B3136" t="s">
        <v>47</v>
      </c>
      <c r="C3136" t="s">
        <v>34</v>
      </c>
      <c r="D3136" t="s">
        <v>85</v>
      </c>
      <c r="E3136" t="s">
        <v>19</v>
      </c>
      <c r="F3136" s="1">
        <v>45640</v>
      </c>
      <c r="G3136">
        <v>1</v>
      </c>
      <c r="H3136">
        <v>14128.44</v>
      </c>
      <c r="I3136">
        <v>10</v>
      </c>
      <c r="J3136" t="s">
        <v>45</v>
      </c>
      <c r="K3136">
        <v>1412.84</v>
      </c>
      <c r="L3136">
        <v>14128.44</v>
      </c>
      <c r="M3136">
        <v>12715.6</v>
      </c>
      <c r="N3136" t="s">
        <v>51</v>
      </c>
      <c r="O3136">
        <v>2024</v>
      </c>
    </row>
    <row r="3137" spans="1:15" x14ac:dyDescent="0.3">
      <c r="A3137" t="s">
        <v>3222</v>
      </c>
      <c r="B3137" t="s">
        <v>33</v>
      </c>
      <c r="C3137" t="s">
        <v>90</v>
      </c>
      <c r="D3137" t="s">
        <v>105</v>
      </c>
      <c r="E3137" t="s">
        <v>50</v>
      </c>
      <c r="F3137" s="1">
        <v>45829</v>
      </c>
      <c r="G3137">
        <v>8</v>
      </c>
      <c r="H3137">
        <v>3690.63</v>
      </c>
      <c r="I3137">
        <v>5</v>
      </c>
      <c r="J3137" t="s">
        <v>82</v>
      </c>
      <c r="K3137">
        <v>1476.25</v>
      </c>
      <c r="L3137">
        <v>29525.040000000001</v>
      </c>
      <c r="M3137">
        <v>28048.79</v>
      </c>
      <c r="N3137" t="s">
        <v>72</v>
      </c>
      <c r="O3137">
        <v>2025</v>
      </c>
    </row>
    <row r="3138" spans="1:15" x14ac:dyDescent="0.3">
      <c r="A3138" t="s">
        <v>3223</v>
      </c>
      <c r="B3138" t="s">
        <v>16</v>
      </c>
      <c r="C3138" t="s">
        <v>54</v>
      </c>
      <c r="D3138" t="s">
        <v>137</v>
      </c>
      <c r="E3138" t="s">
        <v>44</v>
      </c>
      <c r="F3138" s="1">
        <v>45561</v>
      </c>
      <c r="G3138">
        <v>1</v>
      </c>
      <c r="H3138">
        <v>880.02</v>
      </c>
      <c r="I3138">
        <v>20</v>
      </c>
      <c r="J3138" t="s">
        <v>40</v>
      </c>
      <c r="K3138">
        <v>176</v>
      </c>
      <c r="L3138">
        <v>880.02</v>
      </c>
      <c r="M3138">
        <v>704.02</v>
      </c>
      <c r="N3138" t="s">
        <v>86</v>
      </c>
      <c r="O3138">
        <v>2024</v>
      </c>
    </row>
    <row r="3139" spans="1:15" x14ac:dyDescent="0.3">
      <c r="A3139" t="s">
        <v>3224</v>
      </c>
      <c r="B3139" t="s">
        <v>47</v>
      </c>
      <c r="C3139" t="s">
        <v>54</v>
      </c>
      <c r="D3139" t="s">
        <v>55</v>
      </c>
      <c r="E3139" t="s">
        <v>25</v>
      </c>
      <c r="F3139" s="1">
        <v>45357</v>
      </c>
      <c r="G3139">
        <v>5</v>
      </c>
      <c r="H3139">
        <v>1346.33</v>
      </c>
      <c r="I3139">
        <v>0</v>
      </c>
      <c r="J3139" t="s">
        <v>40</v>
      </c>
      <c r="K3139">
        <v>0</v>
      </c>
      <c r="L3139">
        <v>6731.65</v>
      </c>
      <c r="M3139">
        <v>6731.65</v>
      </c>
      <c r="N3139" t="s">
        <v>83</v>
      </c>
      <c r="O3139">
        <v>2024</v>
      </c>
    </row>
    <row r="3140" spans="1:15" x14ac:dyDescent="0.3">
      <c r="A3140" t="s">
        <v>3225</v>
      </c>
      <c r="B3140" t="s">
        <v>114</v>
      </c>
      <c r="C3140" t="s">
        <v>17</v>
      </c>
      <c r="D3140" t="s">
        <v>59</v>
      </c>
      <c r="E3140" t="s">
        <v>50</v>
      </c>
      <c r="F3140" s="1">
        <v>45342</v>
      </c>
      <c r="G3140">
        <v>4</v>
      </c>
      <c r="H3140">
        <v>25003.73</v>
      </c>
      <c r="I3140">
        <v>15</v>
      </c>
      <c r="J3140" t="s">
        <v>45</v>
      </c>
      <c r="K3140">
        <v>15002.24</v>
      </c>
      <c r="L3140">
        <v>100014.92</v>
      </c>
      <c r="M3140">
        <v>85012.68</v>
      </c>
      <c r="N3140" t="s">
        <v>41</v>
      </c>
      <c r="O3140">
        <v>2024</v>
      </c>
    </row>
    <row r="3141" spans="1:15" x14ac:dyDescent="0.3">
      <c r="A3141" t="s">
        <v>3226</v>
      </c>
      <c r="B3141" t="s">
        <v>61</v>
      </c>
      <c r="C3141" t="s">
        <v>17</v>
      </c>
      <c r="D3141" t="s">
        <v>39</v>
      </c>
      <c r="E3141" t="s">
        <v>44</v>
      </c>
      <c r="F3141" s="1">
        <v>45838</v>
      </c>
      <c r="G3141">
        <v>10</v>
      </c>
      <c r="H3141">
        <v>16535.919999999998</v>
      </c>
      <c r="I3141">
        <v>0</v>
      </c>
      <c r="J3141" t="s">
        <v>31</v>
      </c>
      <c r="K3141">
        <v>0</v>
      </c>
      <c r="L3141">
        <v>165359.20000000001</v>
      </c>
      <c r="M3141">
        <v>165359.20000000001</v>
      </c>
      <c r="N3141" t="s">
        <v>72</v>
      </c>
      <c r="O3141">
        <v>2025</v>
      </c>
    </row>
    <row r="3142" spans="1:15" x14ac:dyDescent="0.3">
      <c r="A3142" t="s">
        <v>3227</v>
      </c>
      <c r="B3142" t="s">
        <v>114</v>
      </c>
      <c r="C3142" t="s">
        <v>54</v>
      </c>
      <c r="D3142" t="s">
        <v>68</v>
      </c>
      <c r="E3142" t="s">
        <v>44</v>
      </c>
      <c r="F3142" s="1">
        <v>45924</v>
      </c>
      <c r="G3142">
        <v>8</v>
      </c>
      <c r="H3142">
        <v>4654.9399999999996</v>
      </c>
      <c r="I3142">
        <v>5</v>
      </c>
      <c r="J3142" t="s">
        <v>71</v>
      </c>
      <c r="K3142">
        <v>1861.98</v>
      </c>
      <c r="L3142">
        <v>37239.519999999997</v>
      </c>
      <c r="M3142">
        <v>35377.54</v>
      </c>
      <c r="N3142" t="s">
        <v>86</v>
      </c>
      <c r="O3142">
        <v>2025</v>
      </c>
    </row>
    <row r="3143" spans="1:15" x14ac:dyDescent="0.3">
      <c r="A3143" t="s">
        <v>3228</v>
      </c>
      <c r="B3143" t="s">
        <v>74</v>
      </c>
      <c r="C3143" t="s">
        <v>34</v>
      </c>
      <c r="D3143" t="s">
        <v>48</v>
      </c>
      <c r="E3143" t="s">
        <v>44</v>
      </c>
      <c r="F3143" s="1">
        <v>45657</v>
      </c>
      <c r="G3143">
        <v>7</v>
      </c>
      <c r="H3143">
        <v>9047.23</v>
      </c>
      <c r="I3143">
        <v>10</v>
      </c>
      <c r="J3143" t="s">
        <v>40</v>
      </c>
      <c r="K3143">
        <v>6333.06</v>
      </c>
      <c r="L3143">
        <v>63330.61</v>
      </c>
      <c r="M3143">
        <v>56997.55</v>
      </c>
      <c r="N3143" t="s">
        <v>51</v>
      </c>
      <c r="O3143">
        <v>2024</v>
      </c>
    </row>
    <row r="3144" spans="1:15" x14ac:dyDescent="0.3">
      <c r="A3144" t="s">
        <v>3229</v>
      </c>
      <c r="B3144" t="s">
        <v>93</v>
      </c>
      <c r="C3144" t="s">
        <v>90</v>
      </c>
      <c r="D3144" t="s">
        <v>152</v>
      </c>
      <c r="E3144" t="s">
        <v>44</v>
      </c>
      <c r="F3144" s="1">
        <v>45317</v>
      </c>
      <c r="G3144">
        <v>4</v>
      </c>
      <c r="H3144">
        <v>11048.51</v>
      </c>
      <c r="I3144">
        <v>15</v>
      </c>
      <c r="J3144" t="s">
        <v>40</v>
      </c>
      <c r="K3144">
        <v>6629.11</v>
      </c>
      <c r="L3144">
        <v>44194.04</v>
      </c>
      <c r="M3144">
        <v>37564.93</v>
      </c>
      <c r="N3144" t="s">
        <v>116</v>
      </c>
      <c r="O3144">
        <v>2024</v>
      </c>
    </row>
    <row r="3145" spans="1:15" x14ac:dyDescent="0.3">
      <c r="A3145" t="s">
        <v>3230</v>
      </c>
      <c r="B3145" t="s">
        <v>38</v>
      </c>
      <c r="C3145" t="s">
        <v>90</v>
      </c>
      <c r="D3145" t="s">
        <v>115</v>
      </c>
      <c r="E3145" t="s">
        <v>25</v>
      </c>
      <c r="F3145" s="1">
        <v>45734</v>
      </c>
      <c r="G3145">
        <v>4</v>
      </c>
      <c r="H3145">
        <v>9075.26</v>
      </c>
      <c r="I3145">
        <v>20</v>
      </c>
      <c r="J3145" t="s">
        <v>82</v>
      </c>
      <c r="K3145">
        <v>7260.21</v>
      </c>
      <c r="L3145">
        <v>36301.040000000001</v>
      </c>
      <c r="M3145">
        <v>29040.83</v>
      </c>
      <c r="N3145" t="s">
        <v>83</v>
      </c>
      <c r="O3145">
        <v>2025</v>
      </c>
    </row>
    <row r="3146" spans="1:15" x14ac:dyDescent="0.3">
      <c r="A3146" t="s">
        <v>3231</v>
      </c>
      <c r="B3146" t="s">
        <v>29</v>
      </c>
      <c r="C3146" t="s">
        <v>62</v>
      </c>
      <c r="D3146" t="s">
        <v>99</v>
      </c>
      <c r="E3146" t="s">
        <v>44</v>
      </c>
      <c r="F3146" s="1">
        <v>45810</v>
      </c>
      <c r="G3146">
        <v>4</v>
      </c>
      <c r="H3146">
        <v>1675.73</v>
      </c>
      <c r="I3146">
        <v>10</v>
      </c>
      <c r="J3146" t="s">
        <v>71</v>
      </c>
      <c r="K3146">
        <v>670.29</v>
      </c>
      <c r="L3146">
        <v>6702.92</v>
      </c>
      <c r="M3146">
        <v>6032.63</v>
      </c>
      <c r="N3146" t="s">
        <v>72</v>
      </c>
      <c r="O3146">
        <v>2025</v>
      </c>
    </row>
    <row r="3147" spans="1:15" x14ac:dyDescent="0.3">
      <c r="A3147" t="s">
        <v>3232</v>
      </c>
      <c r="B3147" t="s">
        <v>33</v>
      </c>
      <c r="C3147" t="s">
        <v>54</v>
      </c>
      <c r="D3147" t="s">
        <v>68</v>
      </c>
      <c r="E3147" t="s">
        <v>56</v>
      </c>
      <c r="F3147" s="1">
        <v>45907</v>
      </c>
      <c r="G3147">
        <v>3</v>
      </c>
      <c r="H3147">
        <v>4795.3599999999997</v>
      </c>
      <c r="I3147">
        <v>5</v>
      </c>
      <c r="J3147" t="s">
        <v>36</v>
      </c>
      <c r="K3147">
        <v>719.3</v>
      </c>
      <c r="L3147">
        <v>14386.08</v>
      </c>
      <c r="M3147">
        <v>13666.78</v>
      </c>
      <c r="N3147" t="s">
        <v>86</v>
      </c>
      <c r="O3147">
        <v>2025</v>
      </c>
    </row>
    <row r="3148" spans="1:15" x14ac:dyDescent="0.3">
      <c r="A3148" t="s">
        <v>3233</v>
      </c>
      <c r="B3148" t="s">
        <v>23</v>
      </c>
      <c r="C3148" t="s">
        <v>17</v>
      </c>
      <c r="D3148" t="s">
        <v>24</v>
      </c>
      <c r="E3148" t="s">
        <v>81</v>
      </c>
      <c r="F3148" s="1">
        <v>46019</v>
      </c>
      <c r="G3148">
        <v>1</v>
      </c>
      <c r="H3148">
        <v>3082.78</v>
      </c>
      <c r="I3148">
        <v>0</v>
      </c>
      <c r="J3148" t="s">
        <v>20</v>
      </c>
      <c r="K3148">
        <v>0</v>
      </c>
      <c r="L3148">
        <v>3082.78</v>
      </c>
      <c r="M3148">
        <v>3082.78</v>
      </c>
      <c r="N3148" t="s">
        <v>51</v>
      </c>
      <c r="O3148">
        <v>2025</v>
      </c>
    </row>
    <row r="3149" spans="1:15" x14ac:dyDescent="0.3">
      <c r="A3149" t="s">
        <v>3234</v>
      </c>
      <c r="B3149" t="s">
        <v>33</v>
      </c>
      <c r="C3149" t="s">
        <v>62</v>
      </c>
      <c r="D3149" t="s">
        <v>132</v>
      </c>
      <c r="E3149" t="s">
        <v>30</v>
      </c>
      <c r="F3149" s="1">
        <v>45949</v>
      </c>
      <c r="G3149">
        <v>3</v>
      </c>
      <c r="H3149">
        <v>3159.7</v>
      </c>
      <c r="I3149">
        <v>5</v>
      </c>
      <c r="J3149" t="s">
        <v>40</v>
      </c>
      <c r="K3149">
        <v>473.96</v>
      </c>
      <c r="L3149">
        <v>9479.1</v>
      </c>
      <c r="M3149">
        <v>9005.14</v>
      </c>
      <c r="N3149" t="s">
        <v>57</v>
      </c>
      <c r="O3149">
        <v>2025</v>
      </c>
    </row>
    <row r="3150" spans="1:15" x14ac:dyDescent="0.3">
      <c r="A3150" t="s">
        <v>3235</v>
      </c>
      <c r="B3150" t="s">
        <v>43</v>
      </c>
      <c r="C3150" t="s">
        <v>34</v>
      </c>
      <c r="D3150" t="s">
        <v>85</v>
      </c>
      <c r="E3150" t="s">
        <v>25</v>
      </c>
      <c r="F3150" s="1">
        <v>45673</v>
      </c>
      <c r="G3150">
        <v>2</v>
      </c>
      <c r="H3150">
        <v>12449.97</v>
      </c>
      <c r="I3150">
        <v>10</v>
      </c>
      <c r="J3150" t="s">
        <v>31</v>
      </c>
      <c r="K3150">
        <v>2489.9899999999998</v>
      </c>
      <c r="L3150">
        <v>24899.94</v>
      </c>
      <c r="M3150">
        <v>22409.95</v>
      </c>
      <c r="N3150" t="s">
        <v>116</v>
      </c>
      <c r="O3150">
        <v>2025</v>
      </c>
    </row>
    <row r="3151" spans="1:15" x14ac:dyDescent="0.3">
      <c r="A3151" t="s">
        <v>3236</v>
      </c>
      <c r="B3151" t="s">
        <v>93</v>
      </c>
      <c r="C3151" t="s">
        <v>54</v>
      </c>
      <c r="D3151" t="s">
        <v>55</v>
      </c>
      <c r="E3151" t="s">
        <v>56</v>
      </c>
      <c r="F3151" s="1">
        <v>45316</v>
      </c>
      <c r="G3151">
        <v>8</v>
      </c>
      <c r="H3151">
        <v>1353.11</v>
      </c>
      <c r="I3151">
        <v>10</v>
      </c>
      <c r="J3151" t="s">
        <v>31</v>
      </c>
      <c r="K3151">
        <v>1082.49</v>
      </c>
      <c r="L3151">
        <v>10824.88</v>
      </c>
      <c r="M3151">
        <v>9742.39</v>
      </c>
      <c r="N3151" t="s">
        <v>116</v>
      </c>
      <c r="O3151">
        <v>2024</v>
      </c>
    </row>
    <row r="3152" spans="1:15" x14ac:dyDescent="0.3">
      <c r="A3152" t="s">
        <v>3237</v>
      </c>
      <c r="B3152" t="s">
        <v>38</v>
      </c>
      <c r="C3152" t="s">
        <v>62</v>
      </c>
      <c r="D3152" t="s">
        <v>99</v>
      </c>
      <c r="E3152" t="s">
        <v>56</v>
      </c>
      <c r="F3152" s="1">
        <v>45690</v>
      </c>
      <c r="G3152">
        <v>3</v>
      </c>
      <c r="H3152">
        <v>1622.68</v>
      </c>
      <c r="I3152">
        <v>10</v>
      </c>
      <c r="J3152" t="s">
        <v>40</v>
      </c>
      <c r="K3152">
        <v>486.8</v>
      </c>
      <c r="L3152">
        <v>4868.04</v>
      </c>
      <c r="M3152">
        <v>4381.24</v>
      </c>
      <c r="N3152" t="s">
        <v>41</v>
      </c>
      <c r="O3152">
        <v>2025</v>
      </c>
    </row>
    <row r="3153" spans="1:15" x14ac:dyDescent="0.3">
      <c r="A3153" t="s">
        <v>3238</v>
      </c>
      <c r="B3153" t="s">
        <v>65</v>
      </c>
      <c r="C3153" t="s">
        <v>54</v>
      </c>
      <c r="D3153" t="s">
        <v>137</v>
      </c>
      <c r="E3153" t="s">
        <v>19</v>
      </c>
      <c r="F3153" s="1">
        <v>45934</v>
      </c>
      <c r="G3153">
        <v>8</v>
      </c>
      <c r="H3153">
        <v>957.26</v>
      </c>
      <c r="I3153">
        <v>20</v>
      </c>
      <c r="J3153" t="s">
        <v>82</v>
      </c>
      <c r="K3153">
        <v>1531.62</v>
      </c>
      <c r="L3153">
        <v>7658.08</v>
      </c>
      <c r="M3153">
        <v>6126.46</v>
      </c>
      <c r="N3153" t="s">
        <v>57</v>
      </c>
      <c r="O3153">
        <v>2025</v>
      </c>
    </row>
    <row r="3154" spans="1:15" x14ac:dyDescent="0.3">
      <c r="A3154" t="s">
        <v>3239</v>
      </c>
      <c r="B3154" t="s">
        <v>47</v>
      </c>
      <c r="C3154" t="s">
        <v>17</v>
      </c>
      <c r="D3154" t="s">
        <v>157</v>
      </c>
      <c r="E3154" t="s">
        <v>56</v>
      </c>
      <c r="F3154" s="1">
        <v>45636</v>
      </c>
      <c r="G3154">
        <v>1</v>
      </c>
      <c r="H3154">
        <v>8755.49</v>
      </c>
      <c r="I3154">
        <v>5</v>
      </c>
      <c r="J3154" t="s">
        <v>26</v>
      </c>
      <c r="K3154">
        <v>437.77</v>
      </c>
      <c r="L3154">
        <v>8755.49</v>
      </c>
      <c r="M3154">
        <v>8317.7199999999993</v>
      </c>
      <c r="N3154" t="s">
        <v>51</v>
      </c>
      <c r="O3154">
        <v>2024</v>
      </c>
    </row>
    <row r="3155" spans="1:15" x14ac:dyDescent="0.3">
      <c r="A3155" t="s">
        <v>3240</v>
      </c>
      <c r="B3155" t="s">
        <v>61</v>
      </c>
      <c r="C3155" t="s">
        <v>17</v>
      </c>
      <c r="D3155" t="s">
        <v>24</v>
      </c>
      <c r="E3155" t="s">
        <v>25</v>
      </c>
      <c r="F3155" s="1">
        <v>45870</v>
      </c>
      <c r="G3155">
        <v>9</v>
      </c>
      <c r="H3155">
        <v>2753.85</v>
      </c>
      <c r="I3155">
        <v>10</v>
      </c>
      <c r="J3155" t="s">
        <v>31</v>
      </c>
      <c r="K3155">
        <v>2478.4699999999998</v>
      </c>
      <c r="L3155">
        <v>24784.65</v>
      </c>
      <c r="M3155">
        <v>22306.18</v>
      </c>
      <c r="N3155" t="s">
        <v>21</v>
      </c>
      <c r="O3155">
        <v>2025</v>
      </c>
    </row>
    <row r="3156" spans="1:15" x14ac:dyDescent="0.3">
      <c r="A3156" t="s">
        <v>3241</v>
      </c>
      <c r="B3156" t="s">
        <v>74</v>
      </c>
      <c r="C3156" t="s">
        <v>17</v>
      </c>
      <c r="D3156" t="s">
        <v>59</v>
      </c>
      <c r="E3156" t="s">
        <v>44</v>
      </c>
      <c r="F3156" s="1">
        <v>45572</v>
      </c>
      <c r="G3156">
        <v>8</v>
      </c>
      <c r="H3156">
        <v>27407.9</v>
      </c>
      <c r="I3156">
        <v>0</v>
      </c>
      <c r="J3156" t="s">
        <v>40</v>
      </c>
      <c r="K3156">
        <v>0</v>
      </c>
      <c r="L3156">
        <v>219263.2</v>
      </c>
      <c r="M3156">
        <v>219263.2</v>
      </c>
      <c r="N3156" t="s">
        <v>57</v>
      </c>
      <c r="O3156">
        <v>2024</v>
      </c>
    </row>
    <row r="3157" spans="1:15" x14ac:dyDescent="0.3">
      <c r="A3157" t="s">
        <v>3242</v>
      </c>
      <c r="B3157" t="s">
        <v>38</v>
      </c>
      <c r="C3157" t="s">
        <v>54</v>
      </c>
      <c r="D3157" t="s">
        <v>137</v>
      </c>
      <c r="E3157" t="s">
        <v>81</v>
      </c>
      <c r="F3157" s="1">
        <v>46002</v>
      </c>
      <c r="G3157">
        <v>8</v>
      </c>
      <c r="H3157">
        <v>1091.69</v>
      </c>
      <c r="I3157">
        <v>10</v>
      </c>
      <c r="J3157" t="s">
        <v>20</v>
      </c>
      <c r="K3157">
        <v>873.35</v>
      </c>
      <c r="L3157">
        <v>8733.52</v>
      </c>
      <c r="M3157">
        <v>7860.17</v>
      </c>
      <c r="N3157" t="s">
        <v>51</v>
      </c>
      <c r="O3157">
        <v>2025</v>
      </c>
    </row>
    <row r="3158" spans="1:15" x14ac:dyDescent="0.3">
      <c r="A3158" t="s">
        <v>3243</v>
      </c>
      <c r="B3158" t="s">
        <v>93</v>
      </c>
      <c r="C3158" t="s">
        <v>17</v>
      </c>
      <c r="D3158" t="s">
        <v>59</v>
      </c>
      <c r="E3158" t="s">
        <v>44</v>
      </c>
      <c r="F3158" s="1">
        <v>45840</v>
      </c>
      <c r="G3158">
        <v>7</v>
      </c>
      <c r="H3158">
        <v>24303.85</v>
      </c>
      <c r="I3158">
        <v>5</v>
      </c>
      <c r="J3158" t="s">
        <v>36</v>
      </c>
      <c r="K3158">
        <v>8506.35</v>
      </c>
      <c r="L3158">
        <v>170126.95</v>
      </c>
      <c r="M3158">
        <v>161620.6</v>
      </c>
      <c r="N3158" t="s">
        <v>122</v>
      </c>
      <c r="O3158">
        <v>2025</v>
      </c>
    </row>
    <row r="3159" spans="1:15" x14ac:dyDescent="0.3">
      <c r="A3159" t="s">
        <v>3244</v>
      </c>
      <c r="B3159" t="s">
        <v>74</v>
      </c>
      <c r="C3159" t="s">
        <v>34</v>
      </c>
      <c r="D3159" t="s">
        <v>80</v>
      </c>
      <c r="E3159" t="s">
        <v>50</v>
      </c>
      <c r="F3159" s="1">
        <v>45941</v>
      </c>
      <c r="G3159">
        <v>6</v>
      </c>
      <c r="H3159">
        <v>7539.25</v>
      </c>
      <c r="I3159">
        <v>0</v>
      </c>
      <c r="J3159" t="s">
        <v>31</v>
      </c>
      <c r="K3159">
        <v>0</v>
      </c>
      <c r="L3159">
        <v>45235.5</v>
      </c>
      <c r="M3159">
        <v>45235.5</v>
      </c>
      <c r="N3159" t="s">
        <v>57</v>
      </c>
      <c r="O3159">
        <v>2025</v>
      </c>
    </row>
    <row r="3160" spans="1:15" x14ac:dyDescent="0.3">
      <c r="A3160" t="s">
        <v>3245</v>
      </c>
      <c r="B3160" t="s">
        <v>23</v>
      </c>
      <c r="C3160" t="s">
        <v>54</v>
      </c>
      <c r="D3160" t="s">
        <v>77</v>
      </c>
      <c r="E3160" t="s">
        <v>30</v>
      </c>
      <c r="F3160" s="1">
        <v>45411</v>
      </c>
      <c r="G3160">
        <v>9</v>
      </c>
      <c r="H3160">
        <v>5613.36</v>
      </c>
      <c r="I3160">
        <v>15</v>
      </c>
      <c r="J3160" t="s">
        <v>36</v>
      </c>
      <c r="K3160">
        <v>7578.04</v>
      </c>
      <c r="L3160">
        <v>50520.24</v>
      </c>
      <c r="M3160">
        <v>42942.2</v>
      </c>
      <c r="N3160" t="s">
        <v>27</v>
      </c>
      <c r="O3160">
        <v>2024</v>
      </c>
    </row>
    <row r="3161" spans="1:15" x14ac:dyDescent="0.3">
      <c r="A3161" t="s">
        <v>3246</v>
      </c>
      <c r="B3161" t="s">
        <v>89</v>
      </c>
      <c r="C3161" t="s">
        <v>90</v>
      </c>
      <c r="D3161" t="s">
        <v>152</v>
      </c>
      <c r="E3161" t="s">
        <v>25</v>
      </c>
      <c r="F3161" s="1">
        <v>45717</v>
      </c>
      <c r="G3161">
        <v>7</v>
      </c>
      <c r="H3161">
        <v>10088.77</v>
      </c>
      <c r="I3161">
        <v>0</v>
      </c>
      <c r="J3161" t="s">
        <v>31</v>
      </c>
      <c r="K3161">
        <v>0</v>
      </c>
      <c r="L3161">
        <v>70621.39</v>
      </c>
      <c r="M3161">
        <v>70621.39</v>
      </c>
      <c r="N3161" t="s">
        <v>83</v>
      </c>
      <c r="O3161">
        <v>2025</v>
      </c>
    </row>
    <row r="3162" spans="1:15" x14ac:dyDescent="0.3">
      <c r="A3162" t="s">
        <v>3247</v>
      </c>
      <c r="B3162" t="s">
        <v>33</v>
      </c>
      <c r="C3162" t="s">
        <v>17</v>
      </c>
      <c r="D3162" t="s">
        <v>59</v>
      </c>
      <c r="E3162" t="s">
        <v>30</v>
      </c>
      <c r="F3162" s="1">
        <v>45538</v>
      </c>
      <c r="G3162">
        <v>5</v>
      </c>
      <c r="H3162">
        <v>23586.85</v>
      </c>
      <c r="I3162">
        <v>0</v>
      </c>
      <c r="J3162" t="s">
        <v>31</v>
      </c>
      <c r="K3162">
        <v>0</v>
      </c>
      <c r="L3162">
        <v>117934.25</v>
      </c>
      <c r="M3162">
        <v>117934.25</v>
      </c>
      <c r="N3162" t="s">
        <v>86</v>
      </c>
      <c r="O3162">
        <v>2024</v>
      </c>
    </row>
    <row r="3163" spans="1:15" x14ac:dyDescent="0.3">
      <c r="A3163" t="s">
        <v>3248</v>
      </c>
      <c r="B3163" t="s">
        <v>53</v>
      </c>
      <c r="C3163" t="s">
        <v>34</v>
      </c>
      <c r="D3163" t="s">
        <v>85</v>
      </c>
      <c r="E3163" t="s">
        <v>30</v>
      </c>
      <c r="F3163" s="1">
        <v>45567</v>
      </c>
      <c r="G3163">
        <v>10</v>
      </c>
      <c r="H3163">
        <v>13821.66</v>
      </c>
      <c r="I3163">
        <v>0</v>
      </c>
      <c r="J3163" t="s">
        <v>20</v>
      </c>
      <c r="K3163">
        <v>0</v>
      </c>
      <c r="L3163">
        <v>138216.6</v>
      </c>
      <c r="M3163">
        <v>138216.6</v>
      </c>
      <c r="N3163" t="s">
        <v>57</v>
      </c>
      <c r="O3163">
        <v>2024</v>
      </c>
    </row>
    <row r="3164" spans="1:15" x14ac:dyDescent="0.3">
      <c r="A3164" t="s">
        <v>3249</v>
      </c>
      <c r="B3164" t="s">
        <v>16</v>
      </c>
      <c r="C3164" t="s">
        <v>17</v>
      </c>
      <c r="D3164" t="s">
        <v>59</v>
      </c>
      <c r="E3164" t="s">
        <v>56</v>
      </c>
      <c r="F3164" s="1">
        <v>45859</v>
      </c>
      <c r="G3164">
        <v>4</v>
      </c>
      <c r="H3164">
        <v>28069.4</v>
      </c>
      <c r="I3164">
        <v>15</v>
      </c>
      <c r="J3164" t="s">
        <v>31</v>
      </c>
      <c r="K3164">
        <v>16841.64</v>
      </c>
      <c r="L3164">
        <v>112277.6</v>
      </c>
      <c r="M3164">
        <v>95435.96</v>
      </c>
      <c r="N3164" t="s">
        <v>122</v>
      </c>
      <c r="O3164">
        <v>2025</v>
      </c>
    </row>
    <row r="3165" spans="1:15" x14ac:dyDescent="0.3">
      <c r="A3165" t="s">
        <v>3250</v>
      </c>
      <c r="B3165" t="s">
        <v>16</v>
      </c>
      <c r="C3165" t="s">
        <v>62</v>
      </c>
      <c r="D3165" t="s">
        <v>132</v>
      </c>
      <c r="E3165" t="s">
        <v>25</v>
      </c>
      <c r="F3165" s="1">
        <v>45777</v>
      </c>
      <c r="G3165">
        <v>8</v>
      </c>
      <c r="H3165">
        <v>2633.92</v>
      </c>
      <c r="I3165">
        <v>10</v>
      </c>
      <c r="J3165" t="s">
        <v>82</v>
      </c>
      <c r="K3165">
        <v>2107.14</v>
      </c>
      <c r="L3165">
        <v>21071.360000000001</v>
      </c>
      <c r="M3165">
        <v>18964.22</v>
      </c>
      <c r="N3165" t="s">
        <v>27</v>
      </c>
      <c r="O3165">
        <v>2025</v>
      </c>
    </row>
    <row r="3166" spans="1:15" x14ac:dyDescent="0.3">
      <c r="A3166" t="s">
        <v>3251</v>
      </c>
      <c r="B3166" t="s">
        <v>43</v>
      </c>
      <c r="C3166" t="s">
        <v>34</v>
      </c>
      <c r="D3166" t="s">
        <v>48</v>
      </c>
      <c r="E3166" t="s">
        <v>44</v>
      </c>
      <c r="F3166" s="1">
        <v>45415</v>
      </c>
      <c r="G3166">
        <v>5</v>
      </c>
      <c r="H3166">
        <v>7787.53</v>
      </c>
      <c r="I3166">
        <v>20</v>
      </c>
      <c r="J3166" t="s">
        <v>31</v>
      </c>
      <c r="K3166">
        <v>7787.53</v>
      </c>
      <c r="L3166">
        <v>38937.65</v>
      </c>
      <c r="M3166">
        <v>31150.12</v>
      </c>
      <c r="N3166" t="s">
        <v>101</v>
      </c>
      <c r="O3166">
        <v>2024</v>
      </c>
    </row>
    <row r="3167" spans="1:15" x14ac:dyDescent="0.3">
      <c r="A3167" t="s">
        <v>3252</v>
      </c>
      <c r="B3167" t="s">
        <v>29</v>
      </c>
      <c r="C3167" t="s">
        <v>34</v>
      </c>
      <c r="D3167" t="s">
        <v>85</v>
      </c>
      <c r="E3167" t="s">
        <v>44</v>
      </c>
      <c r="F3167" s="1">
        <v>45356</v>
      </c>
      <c r="G3167">
        <v>8</v>
      </c>
      <c r="H3167">
        <v>11712.14</v>
      </c>
      <c r="I3167">
        <v>15</v>
      </c>
      <c r="J3167" t="s">
        <v>45</v>
      </c>
      <c r="K3167">
        <v>14054.57</v>
      </c>
      <c r="L3167">
        <v>93697.12</v>
      </c>
      <c r="M3167">
        <v>79642.55</v>
      </c>
      <c r="N3167" t="s">
        <v>83</v>
      </c>
      <c r="O3167">
        <v>2024</v>
      </c>
    </row>
    <row r="3168" spans="1:15" x14ac:dyDescent="0.3">
      <c r="A3168" t="s">
        <v>3253</v>
      </c>
      <c r="B3168" t="s">
        <v>114</v>
      </c>
      <c r="C3168" t="s">
        <v>62</v>
      </c>
      <c r="D3168" t="s">
        <v>99</v>
      </c>
      <c r="E3168" t="s">
        <v>19</v>
      </c>
      <c r="F3168" s="1">
        <v>45677</v>
      </c>
      <c r="G3168">
        <v>1</v>
      </c>
      <c r="H3168">
        <v>1391.27</v>
      </c>
      <c r="I3168">
        <v>15</v>
      </c>
      <c r="J3168" t="s">
        <v>36</v>
      </c>
      <c r="K3168">
        <v>208.69</v>
      </c>
      <c r="L3168">
        <v>1391.27</v>
      </c>
      <c r="M3168">
        <v>1182.58</v>
      </c>
      <c r="N3168" t="s">
        <v>116</v>
      </c>
      <c r="O3168">
        <v>2025</v>
      </c>
    </row>
    <row r="3169" spans="1:15" x14ac:dyDescent="0.3">
      <c r="A3169" t="s">
        <v>3254</v>
      </c>
      <c r="B3169" t="s">
        <v>74</v>
      </c>
      <c r="C3169" t="s">
        <v>34</v>
      </c>
      <c r="D3169" t="s">
        <v>35</v>
      </c>
      <c r="E3169" t="s">
        <v>50</v>
      </c>
      <c r="F3169" s="1">
        <v>45515</v>
      </c>
      <c r="G3169">
        <v>2</v>
      </c>
      <c r="H3169">
        <v>26047.57</v>
      </c>
      <c r="I3169">
        <v>10</v>
      </c>
      <c r="J3169" t="s">
        <v>31</v>
      </c>
      <c r="K3169">
        <v>5209.51</v>
      </c>
      <c r="L3169">
        <v>52095.14</v>
      </c>
      <c r="M3169">
        <v>46885.63</v>
      </c>
      <c r="N3169" t="s">
        <v>21</v>
      </c>
      <c r="O3169">
        <v>2024</v>
      </c>
    </row>
    <row r="3170" spans="1:15" x14ac:dyDescent="0.3">
      <c r="A3170" t="s">
        <v>3255</v>
      </c>
      <c r="B3170" t="s">
        <v>61</v>
      </c>
      <c r="C3170" t="s">
        <v>90</v>
      </c>
      <c r="D3170" t="s">
        <v>91</v>
      </c>
      <c r="E3170" t="s">
        <v>19</v>
      </c>
      <c r="F3170" s="1">
        <v>45888</v>
      </c>
      <c r="G3170">
        <v>3</v>
      </c>
      <c r="H3170">
        <v>1589.76</v>
      </c>
      <c r="I3170">
        <v>15</v>
      </c>
      <c r="J3170" t="s">
        <v>45</v>
      </c>
      <c r="K3170">
        <v>715.39</v>
      </c>
      <c r="L3170">
        <v>4769.28</v>
      </c>
      <c r="M3170">
        <v>4053.89</v>
      </c>
      <c r="N3170" t="s">
        <v>21</v>
      </c>
      <c r="O3170">
        <v>2025</v>
      </c>
    </row>
    <row r="3171" spans="1:15" x14ac:dyDescent="0.3">
      <c r="A3171" t="s">
        <v>3256</v>
      </c>
      <c r="B3171" t="s">
        <v>38</v>
      </c>
      <c r="C3171" t="s">
        <v>90</v>
      </c>
      <c r="D3171" t="s">
        <v>152</v>
      </c>
      <c r="E3171" t="s">
        <v>19</v>
      </c>
      <c r="F3171" s="1">
        <v>45597</v>
      </c>
      <c r="G3171">
        <v>10</v>
      </c>
      <c r="H3171">
        <v>10023.700000000001</v>
      </c>
      <c r="I3171">
        <v>5</v>
      </c>
      <c r="J3171" t="s">
        <v>82</v>
      </c>
      <c r="K3171">
        <v>5011.8500000000004</v>
      </c>
      <c r="L3171">
        <v>100237</v>
      </c>
      <c r="M3171">
        <v>95225.15</v>
      </c>
      <c r="N3171" t="s">
        <v>96</v>
      </c>
      <c r="O3171">
        <v>2024</v>
      </c>
    </row>
    <row r="3172" spans="1:15" x14ac:dyDescent="0.3">
      <c r="A3172" t="s">
        <v>3257</v>
      </c>
      <c r="B3172" t="s">
        <v>109</v>
      </c>
      <c r="C3172" t="s">
        <v>54</v>
      </c>
      <c r="D3172" t="s">
        <v>137</v>
      </c>
      <c r="E3172" t="s">
        <v>50</v>
      </c>
      <c r="F3172" s="1">
        <v>45643</v>
      </c>
      <c r="G3172">
        <v>2</v>
      </c>
      <c r="H3172">
        <v>1071.33</v>
      </c>
      <c r="I3172">
        <v>5</v>
      </c>
      <c r="J3172" t="s">
        <v>45</v>
      </c>
      <c r="K3172">
        <v>107.13</v>
      </c>
      <c r="L3172">
        <v>2142.66</v>
      </c>
      <c r="M3172">
        <v>2035.53</v>
      </c>
      <c r="N3172" t="s">
        <v>51</v>
      </c>
      <c r="O3172">
        <v>2024</v>
      </c>
    </row>
    <row r="3173" spans="1:15" x14ac:dyDescent="0.3">
      <c r="A3173" t="s">
        <v>3258</v>
      </c>
      <c r="B3173" t="s">
        <v>114</v>
      </c>
      <c r="C3173" t="s">
        <v>62</v>
      </c>
      <c r="D3173" t="s">
        <v>119</v>
      </c>
      <c r="E3173" t="s">
        <v>30</v>
      </c>
      <c r="F3173" s="1">
        <v>45854</v>
      </c>
      <c r="G3173">
        <v>7</v>
      </c>
      <c r="H3173">
        <v>3570.97</v>
      </c>
      <c r="I3173">
        <v>5</v>
      </c>
      <c r="J3173" t="s">
        <v>40</v>
      </c>
      <c r="K3173">
        <v>1249.8399999999999</v>
      </c>
      <c r="L3173">
        <v>24996.79</v>
      </c>
      <c r="M3173">
        <v>23746.95</v>
      </c>
      <c r="N3173" t="s">
        <v>122</v>
      </c>
      <c r="O3173">
        <v>2025</v>
      </c>
    </row>
    <row r="3174" spans="1:15" x14ac:dyDescent="0.3">
      <c r="A3174" t="s">
        <v>3259</v>
      </c>
      <c r="B3174" t="s">
        <v>29</v>
      </c>
      <c r="C3174" t="s">
        <v>54</v>
      </c>
      <c r="D3174" t="s">
        <v>77</v>
      </c>
      <c r="E3174" t="s">
        <v>81</v>
      </c>
      <c r="F3174" s="1">
        <v>45599</v>
      </c>
      <c r="G3174">
        <v>8</v>
      </c>
      <c r="H3174">
        <v>5988.16</v>
      </c>
      <c r="I3174">
        <v>5</v>
      </c>
      <c r="J3174" t="s">
        <v>26</v>
      </c>
      <c r="K3174">
        <v>2395.2600000000002</v>
      </c>
      <c r="L3174">
        <v>47905.279999999999</v>
      </c>
      <c r="M3174">
        <v>45510.02</v>
      </c>
      <c r="N3174" t="s">
        <v>96</v>
      </c>
      <c r="O3174">
        <v>2024</v>
      </c>
    </row>
    <row r="3175" spans="1:15" x14ac:dyDescent="0.3">
      <c r="A3175" t="s">
        <v>3260</v>
      </c>
      <c r="B3175" t="s">
        <v>114</v>
      </c>
      <c r="C3175" t="s">
        <v>17</v>
      </c>
      <c r="D3175" t="s">
        <v>39</v>
      </c>
      <c r="E3175" t="s">
        <v>19</v>
      </c>
      <c r="F3175" s="1">
        <v>45679</v>
      </c>
      <c r="G3175">
        <v>2</v>
      </c>
      <c r="H3175">
        <v>17882.060000000001</v>
      </c>
      <c r="I3175">
        <v>15</v>
      </c>
      <c r="J3175" t="s">
        <v>40</v>
      </c>
      <c r="K3175">
        <v>5364.62</v>
      </c>
      <c r="L3175">
        <v>35764.120000000003</v>
      </c>
      <c r="M3175">
        <v>30399.5</v>
      </c>
      <c r="N3175" t="s">
        <v>116</v>
      </c>
      <c r="O3175">
        <v>2025</v>
      </c>
    </row>
    <row r="3176" spans="1:15" x14ac:dyDescent="0.3">
      <c r="A3176" t="s">
        <v>3261</v>
      </c>
      <c r="B3176" t="s">
        <v>38</v>
      </c>
      <c r="C3176" t="s">
        <v>62</v>
      </c>
      <c r="D3176" t="s">
        <v>132</v>
      </c>
      <c r="E3176" t="s">
        <v>50</v>
      </c>
      <c r="F3176" s="1">
        <v>45658</v>
      </c>
      <c r="G3176">
        <v>2</v>
      </c>
      <c r="H3176">
        <v>2321.54</v>
      </c>
      <c r="I3176">
        <v>20</v>
      </c>
      <c r="J3176" t="s">
        <v>36</v>
      </c>
      <c r="K3176">
        <v>928.62</v>
      </c>
      <c r="L3176">
        <v>4643.08</v>
      </c>
      <c r="M3176">
        <v>3714.46</v>
      </c>
      <c r="N3176" t="s">
        <v>116</v>
      </c>
      <c r="O3176">
        <v>2025</v>
      </c>
    </row>
    <row r="3177" spans="1:15" x14ac:dyDescent="0.3">
      <c r="A3177" t="s">
        <v>3262</v>
      </c>
      <c r="B3177" t="s">
        <v>65</v>
      </c>
      <c r="C3177" t="s">
        <v>90</v>
      </c>
      <c r="D3177" t="s">
        <v>91</v>
      </c>
      <c r="E3177" t="s">
        <v>56</v>
      </c>
      <c r="F3177" s="1">
        <v>45510</v>
      </c>
      <c r="G3177">
        <v>2</v>
      </c>
      <c r="H3177">
        <v>1400.25</v>
      </c>
      <c r="I3177">
        <v>0</v>
      </c>
      <c r="J3177" t="s">
        <v>45</v>
      </c>
      <c r="K3177">
        <v>0</v>
      </c>
      <c r="L3177">
        <v>2800.5</v>
      </c>
      <c r="M3177">
        <v>2800.5</v>
      </c>
      <c r="N3177" t="s">
        <v>21</v>
      </c>
      <c r="O3177">
        <v>2024</v>
      </c>
    </row>
    <row r="3178" spans="1:15" x14ac:dyDescent="0.3">
      <c r="A3178" t="s">
        <v>3263</v>
      </c>
      <c r="B3178" t="s">
        <v>93</v>
      </c>
      <c r="C3178" t="s">
        <v>62</v>
      </c>
      <c r="D3178" t="s">
        <v>95</v>
      </c>
      <c r="E3178" t="s">
        <v>19</v>
      </c>
      <c r="F3178" s="1">
        <v>45541</v>
      </c>
      <c r="G3178">
        <v>8</v>
      </c>
      <c r="H3178">
        <v>819.11</v>
      </c>
      <c r="I3178">
        <v>15</v>
      </c>
      <c r="J3178" t="s">
        <v>40</v>
      </c>
      <c r="K3178">
        <v>982.93</v>
      </c>
      <c r="L3178">
        <v>6552.88</v>
      </c>
      <c r="M3178">
        <v>5569.95</v>
      </c>
      <c r="N3178" t="s">
        <v>86</v>
      </c>
      <c r="O3178">
        <v>2024</v>
      </c>
    </row>
    <row r="3179" spans="1:15" x14ac:dyDescent="0.3">
      <c r="A3179" t="s">
        <v>3264</v>
      </c>
      <c r="B3179" t="s">
        <v>65</v>
      </c>
      <c r="C3179" t="s">
        <v>90</v>
      </c>
      <c r="D3179" t="s">
        <v>105</v>
      </c>
      <c r="E3179" t="s">
        <v>50</v>
      </c>
      <c r="F3179" s="1">
        <v>46007</v>
      </c>
      <c r="G3179">
        <v>9</v>
      </c>
      <c r="H3179">
        <v>4239.2299999999996</v>
      </c>
      <c r="I3179">
        <v>20</v>
      </c>
      <c r="J3179" t="s">
        <v>26</v>
      </c>
      <c r="K3179">
        <v>7630.61</v>
      </c>
      <c r="L3179">
        <v>38153.07</v>
      </c>
      <c r="M3179">
        <v>30522.46</v>
      </c>
      <c r="N3179" t="s">
        <v>51</v>
      </c>
      <c r="O3179">
        <v>2025</v>
      </c>
    </row>
    <row r="3180" spans="1:15" x14ac:dyDescent="0.3">
      <c r="A3180" t="s">
        <v>3265</v>
      </c>
      <c r="B3180" t="s">
        <v>47</v>
      </c>
      <c r="C3180" t="s">
        <v>17</v>
      </c>
      <c r="D3180" t="s">
        <v>18</v>
      </c>
      <c r="E3180" t="s">
        <v>30</v>
      </c>
      <c r="F3180" s="1">
        <v>45541</v>
      </c>
      <c r="G3180">
        <v>2</v>
      </c>
      <c r="H3180">
        <v>63570.32</v>
      </c>
      <c r="I3180">
        <v>20</v>
      </c>
      <c r="J3180" t="s">
        <v>71</v>
      </c>
      <c r="K3180">
        <v>25428.13</v>
      </c>
      <c r="L3180">
        <v>127140.64</v>
      </c>
      <c r="M3180">
        <v>101712.51</v>
      </c>
      <c r="N3180" t="s">
        <v>86</v>
      </c>
      <c r="O3180">
        <v>2024</v>
      </c>
    </row>
    <row r="3181" spans="1:15" x14ac:dyDescent="0.3">
      <c r="A3181" t="s">
        <v>3266</v>
      </c>
      <c r="B3181" t="s">
        <v>47</v>
      </c>
      <c r="C3181" t="s">
        <v>17</v>
      </c>
      <c r="D3181" t="s">
        <v>39</v>
      </c>
      <c r="E3181" t="s">
        <v>25</v>
      </c>
      <c r="F3181" s="1">
        <v>45526</v>
      </c>
      <c r="G3181">
        <v>7</v>
      </c>
      <c r="H3181">
        <v>18366.21</v>
      </c>
      <c r="I3181">
        <v>15</v>
      </c>
      <c r="J3181" t="s">
        <v>40</v>
      </c>
      <c r="K3181">
        <v>19284.52</v>
      </c>
      <c r="L3181">
        <v>128563.47</v>
      </c>
      <c r="M3181">
        <v>109278.95</v>
      </c>
      <c r="N3181" t="s">
        <v>21</v>
      </c>
      <c r="O3181">
        <v>2024</v>
      </c>
    </row>
    <row r="3182" spans="1:15" x14ac:dyDescent="0.3">
      <c r="A3182" t="s">
        <v>3267</v>
      </c>
      <c r="B3182" t="s">
        <v>74</v>
      </c>
      <c r="C3182" t="s">
        <v>34</v>
      </c>
      <c r="D3182" t="s">
        <v>80</v>
      </c>
      <c r="E3182" t="s">
        <v>25</v>
      </c>
      <c r="F3182" s="1">
        <v>45853</v>
      </c>
      <c r="G3182">
        <v>2</v>
      </c>
      <c r="H3182">
        <v>6223.19</v>
      </c>
      <c r="I3182">
        <v>0</v>
      </c>
      <c r="J3182" t="s">
        <v>71</v>
      </c>
      <c r="K3182">
        <v>0</v>
      </c>
      <c r="L3182">
        <v>12446.38</v>
      </c>
      <c r="M3182">
        <v>12446.38</v>
      </c>
      <c r="N3182" t="s">
        <v>122</v>
      </c>
      <c r="O3182">
        <v>2025</v>
      </c>
    </row>
    <row r="3183" spans="1:15" x14ac:dyDescent="0.3">
      <c r="A3183" t="s">
        <v>3268</v>
      </c>
      <c r="B3183" t="s">
        <v>61</v>
      </c>
      <c r="C3183" t="s">
        <v>17</v>
      </c>
      <c r="D3183" t="s">
        <v>24</v>
      </c>
      <c r="E3183" t="s">
        <v>56</v>
      </c>
      <c r="F3183" s="1">
        <v>45725</v>
      </c>
      <c r="G3183">
        <v>5</v>
      </c>
      <c r="H3183">
        <v>2796.66</v>
      </c>
      <c r="I3183">
        <v>15</v>
      </c>
      <c r="J3183" t="s">
        <v>45</v>
      </c>
      <c r="K3183">
        <v>2097.4899999999998</v>
      </c>
      <c r="L3183">
        <v>13983.3</v>
      </c>
      <c r="M3183">
        <v>11885.81</v>
      </c>
      <c r="N3183" t="s">
        <v>83</v>
      </c>
      <c r="O3183">
        <v>2025</v>
      </c>
    </row>
    <row r="3184" spans="1:15" x14ac:dyDescent="0.3">
      <c r="A3184" t="s">
        <v>3269</v>
      </c>
      <c r="B3184" t="s">
        <v>61</v>
      </c>
      <c r="C3184" t="s">
        <v>17</v>
      </c>
      <c r="D3184" t="s">
        <v>157</v>
      </c>
      <c r="E3184" t="s">
        <v>81</v>
      </c>
      <c r="F3184" s="1">
        <v>45438</v>
      </c>
      <c r="G3184">
        <v>7</v>
      </c>
      <c r="H3184">
        <v>7738.44</v>
      </c>
      <c r="I3184">
        <v>5</v>
      </c>
      <c r="J3184" t="s">
        <v>26</v>
      </c>
      <c r="K3184">
        <v>2708.45</v>
      </c>
      <c r="L3184">
        <v>54169.08</v>
      </c>
      <c r="M3184">
        <v>51460.63</v>
      </c>
      <c r="N3184" t="s">
        <v>101</v>
      </c>
      <c r="O3184">
        <v>2024</v>
      </c>
    </row>
    <row r="3185" spans="1:15" x14ac:dyDescent="0.3">
      <c r="A3185" t="s">
        <v>3270</v>
      </c>
      <c r="B3185" t="s">
        <v>33</v>
      </c>
      <c r="C3185" t="s">
        <v>34</v>
      </c>
      <c r="D3185" t="s">
        <v>80</v>
      </c>
      <c r="E3185" t="s">
        <v>19</v>
      </c>
      <c r="F3185" s="1">
        <v>46015</v>
      </c>
      <c r="G3185">
        <v>4</v>
      </c>
      <c r="H3185">
        <v>5960.19</v>
      </c>
      <c r="I3185">
        <v>0</v>
      </c>
      <c r="J3185" t="s">
        <v>36</v>
      </c>
      <c r="K3185">
        <v>0</v>
      </c>
      <c r="L3185">
        <v>23840.76</v>
      </c>
      <c r="M3185">
        <v>23840.76</v>
      </c>
      <c r="N3185" t="s">
        <v>51</v>
      </c>
      <c r="O3185">
        <v>2025</v>
      </c>
    </row>
    <row r="3186" spans="1:15" x14ac:dyDescent="0.3">
      <c r="A3186" t="s">
        <v>3271</v>
      </c>
      <c r="B3186" t="s">
        <v>29</v>
      </c>
      <c r="C3186" t="s">
        <v>17</v>
      </c>
      <c r="D3186" t="s">
        <v>59</v>
      </c>
      <c r="E3186" t="s">
        <v>25</v>
      </c>
      <c r="F3186" s="1">
        <v>45806</v>
      </c>
      <c r="G3186">
        <v>7</v>
      </c>
      <c r="H3186">
        <v>27964.240000000002</v>
      </c>
      <c r="I3186">
        <v>10</v>
      </c>
      <c r="J3186" t="s">
        <v>36</v>
      </c>
      <c r="K3186">
        <v>19574.97</v>
      </c>
      <c r="L3186">
        <v>195749.68</v>
      </c>
      <c r="M3186">
        <v>176174.71</v>
      </c>
      <c r="N3186" t="s">
        <v>101</v>
      </c>
      <c r="O3186">
        <v>2025</v>
      </c>
    </row>
    <row r="3187" spans="1:15" x14ac:dyDescent="0.3">
      <c r="A3187" t="s">
        <v>3272</v>
      </c>
      <c r="B3187" t="s">
        <v>114</v>
      </c>
      <c r="C3187" t="s">
        <v>17</v>
      </c>
      <c r="D3187" t="s">
        <v>39</v>
      </c>
      <c r="E3187" t="s">
        <v>44</v>
      </c>
      <c r="F3187" s="1">
        <v>45464</v>
      </c>
      <c r="G3187">
        <v>5</v>
      </c>
      <c r="H3187">
        <v>19534.05</v>
      </c>
      <c r="I3187">
        <v>0</v>
      </c>
      <c r="J3187" t="s">
        <v>36</v>
      </c>
      <c r="K3187">
        <v>0</v>
      </c>
      <c r="L3187">
        <v>97670.25</v>
      </c>
      <c r="M3187">
        <v>97670.25</v>
      </c>
      <c r="N3187" t="s">
        <v>72</v>
      </c>
      <c r="O3187">
        <v>2024</v>
      </c>
    </row>
    <row r="3188" spans="1:15" x14ac:dyDescent="0.3">
      <c r="A3188" t="s">
        <v>3273</v>
      </c>
      <c r="B3188" t="s">
        <v>109</v>
      </c>
      <c r="C3188" t="s">
        <v>62</v>
      </c>
      <c r="D3188" t="s">
        <v>63</v>
      </c>
      <c r="E3188" t="s">
        <v>56</v>
      </c>
      <c r="F3188" s="1">
        <v>45783</v>
      </c>
      <c r="G3188">
        <v>1</v>
      </c>
      <c r="H3188">
        <v>1666.39</v>
      </c>
      <c r="I3188">
        <v>0</v>
      </c>
      <c r="J3188" t="s">
        <v>31</v>
      </c>
      <c r="K3188">
        <v>0</v>
      </c>
      <c r="L3188">
        <v>1666.39</v>
      </c>
      <c r="M3188">
        <v>1666.39</v>
      </c>
      <c r="N3188" t="s">
        <v>101</v>
      </c>
      <c r="O3188">
        <v>2025</v>
      </c>
    </row>
    <row r="3189" spans="1:15" x14ac:dyDescent="0.3">
      <c r="A3189" t="s">
        <v>3274</v>
      </c>
      <c r="B3189" t="s">
        <v>16</v>
      </c>
      <c r="C3189" t="s">
        <v>62</v>
      </c>
      <c r="D3189" t="s">
        <v>119</v>
      </c>
      <c r="E3189" t="s">
        <v>81</v>
      </c>
      <c r="F3189" s="1">
        <v>45311</v>
      </c>
      <c r="G3189">
        <v>2</v>
      </c>
      <c r="H3189">
        <v>4010.22</v>
      </c>
      <c r="I3189">
        <v>15</v>
      </c>
      <c r="J3189" t="s">
        <v>36</v>
      </c>
      <c r="K3189">
        <v>1203.07</v>
      </c>
      <c r="L3189">
        <v>8020.44</v>
      </c>
      <c r="M3189">
        <v>6817.37</v>
      </c>
      <c r="N3189" t="s">
        <v>116</v>
      </c>
      <c r="O3189">
        <v>2024</v>
      </c>
    </row>
    <row r="3190" spans="1:15" x14ac:dyDescent="0.3">
      <c r="A3190" t="s">
        <v>3275</v>
      </c>
      <c r="B3190" t="s">
        <v>29</v>
      </c>
      <c r="C3190" t="s">
        <v>90</v>
      </c>
      <c r="D3190" t="s">
        <v>107</v>
      </c>
      <c r="E3190" t="s">
        <v>44</v>
      </c>
      <c r="F3190" s="1">
        <v>45423</v>
      </c>
      <c r="G3190">
        <v>3</v>
      </c>
      <c r="H3190">
        <v>13358.64</v>
      </c>
      <c r="I3190">
        <v>10</v>
      </c>
      <c r="J3190" t="s">
        <v>36</v>
      </c>
      <c r="K3190">
        <v>4007.59</v>
      </c>
      <c r="L3190">
        <v>40075.919999999998</v>
      </c>
      <c r="M3190">
        <v>36068.33</v>
      </c>
      <c r="N3190" t="s">
        <v>101</v>
      </c>
      <c r="O3190">
        <v>2024</v>
      </c>
    </row>
    <row r="3191" spans="1:15" x14ac:dyDescent="0.3">
      <c r="A3191" t="s">
        <v>3276</v>
      </c>
      <c r="B3191" t="s">
        <v>33</v>
      </c>
      <c r="C3191" t="s">
        <v>17</v>
      </c>
      <c r="D3191" t="s">
        <v>18</v>
      </c>
      <c r="E3191" t="s">
        <v>50</v>
      </c>
      <c r="F3191" s="1">
        <v>45480</v>
      </c>
      <c r="G3191">
        <v>3</v>
      </c>
      <c r="H3191">
        <v>59266.86</v>
      </c>
      <c r="I3191">
        <v>15</v>
      </c>
      <c r="J3191" t="s">
        <v>36</v>
      </c>
      <c r="K3191">
        <v>26670.09</v>
      </c>
      <c r="L3191">
        <v>177800.58</v>
      </c>
      <c r="M3191">
        <v>151130.49</v>
      </c>
      <c r="N3191" t="s">
        <v>122</v>
      </c>
      <c r="O3191">
        <v>2024</v>
      </c>
    </row>
    <row r="3192" spans="1:15" x14ac:dyDescent="0.3">
      <c r="A3192" t="s">
        <v>3277</v>
      </c>
      <c r="B3192" t="s">
        <v>47</v>
      </c>
      <c r="C3192" t="s">
        <v>34</v>
      </c>
      <c r="D3192" t="s">
        <v>80</v>
      </c>
      <c r="E3192" t="s">
        <v>30</v>
      </c>
      <c r="F3192" s="1">
        <v>45369</v>
      </c>
      <c r="G3192">
        <v>2</v>
      </c>
      <c r="H3192">
        <v>6537.25</v>
      </c>
      <c r="I3192">
        <v>10</v>
      </c>
      <c r="J3192" t="s">
        <v>26</v>
      </c>
      <c r="K3192">
        <v>1307.45</v>
      </c>
      <c r="L3192">
        <v>13074.5</v>
      </c>
      <c r="M3192">
        <v>11767.05</v>
      </c>
      <c r="N3192" t="s">
        <v>83</v>
      </c>
      <c r="O3192">
        <v>2024</v>
      </c>
    </row>
    <row r="3193" spans="1:15" x14ac:dyDescent="0.3">
      <c r="A3193" t="s">
        <v>3278</v>
      </c>
      <c r="B3193" t="s">
        <v>29</v>
      </c>
      <c r="C3193" t="s">
        <v>54</v>
      </c>
      <c r="D3193" t="s">
        <v>137</v>
      </c>
      <c r="E3193" t="s">
        <v>50</v>
      </c>
      <c r="F3193" s="1">
        <v>45489</v>
      </c>
      <c r="G3193">
        <v>4</v>
      </c>
      <c r="H3193">
        <v>954.39</v>
      </c>
      <c r="I3193">
        <v>10</v>
      </c>
      <c r="J3193" t="s">
        <v>82</v>
      </c>
      <c r="K3193">
        <v>381.76</v>
      </c>
      <c r="L3193">
        <v>3817.56</v>
      </c>
      <c r="M3193">
        <v>3435.8</v>
      </c>
      <c r="N3193" t="s">
        <v>122</v>
      </c>
      <c r="O3193">
        <v>2024</v>
      </c>
    </row>
    <row r="3194" spans="1:15" x14ac:dyDescent="0.3">
      <c r="A3194" t="s">
        <v>3279</v>
      </c>
      <c r="B3194" t="s">
        <v>23</v>
      </c>
      <c r="C3194" t="s">
        <v>34</v>
      </c>
      <c r="D3194" t="s">
        <v>66</v>
      </c>
      <c r="E3194" t="s">
        <v>25</v>
      </c>
      <c r="F3194" s="1">
        <v>45454</v>
      </c>
      <c r="G3194">
        <v>4</v>
      </c>
      <c r="H3194">
        <v>43329.37</v>
      </c>
      <c r="I3194">
        <v>10</v>
      </c>
      <c r="J3194" t="s">
        <v>20</v>
      </c>
      <c r="K3194">
        <v>17331.75</v>
      </c>
      <c r="L3194">
        <v>173317.48</v>
      </c>
      <c r="M3194">
        <v>155985.73000000001</v>
      </c>
      <c r="N3194" t="s">
        <v>72</v>
      </c>
      <c r="O3194">
        <v>2024</v>
      </c>
    </row>
    <row r="3195" spans="1:15" x14ac:dyDescent="0.3">
      <c r="A3195" t="s">
        <v>3280</v>
      </c>
      <c r="B3195" t="s">
        <v>61</v>
      </c>
      <c r="C3195" t="s">
        <v>62</v>
      </c>
      <c r="D3195" t="s">
        <v>99</v>
      </c>
      <c r="E3195" t="s">
        <v>19</v>
      </c>
      <c r="F3195" s="1">
        <v>45421</v>
      </c>
      <c r="G3195">
        <v>4</v>
      </c>
      <c r="H3195">
        <v>1464.1</v>
      </c>
      <c r="I3195">
        <v>20</v>
      </c>
      <c r="J3195" t="s">
        <v>45</v>
      </c>
      <c r="K3195">
        <v>1171.28</v>
      </c>
      <c r="L3195">
        <v>5856.4</v>
      </c>
      <c r="M3195">
        <v>4685.12</v>
      </c>
      <c r="N3195" t="s">
        <v>101</v>
      </c>
      <c r="O3195">
        <v>2024</v>
      </c>
    </row>
    <row r="3196" spans="1:15" x14ac:dyDescent="0.3">
      <c r="A3196" t="s">
        <v>3281</v>
      </c>
      <c r="B3196" t="s">
        <v>74</v>
      </c>
      <c r="C3196" t="s">
        <v>90</v>
      </c>
      <c r="D3196" t="s">
        <v>115</v>
      </c>
      <c r="E3196" t="s">
        <v>44</v>
      </c>
      <c r="F3196" s="1">
        <v>45916</v>
      </c>
      <c r="G3196">
        <v>8</v>
      </c>
      <c r="H3196">
        <v>8056.39</v>
      </c>
      <c r="I3196">
        <v>0</v>
      </c>
      <c r="J3196" t="s">
        <v>40</v>
      </c>
      <c r="K3196">
        <v>0</v>
      </c>
      <c r="L3196">
        <v>64451.12</v>
      </c>
      <c r="M3196">
        <v>64451.12</v>
      </c>
      <c r="N3196" t="s">
        <v>86</v>
      </c>
      <c r="O3196">
        <v>2025</v>
      </c>
    </row>
    <row r="3197" spans="1:15" x14ac:dyDescent="0.3">
      <c r="A3197" t="s">
        <v>3282</v>
      </c>
      <c r="B3197" t="s">
        <v>93</v>
      </c>
      <c r="C3197" t="s">
        <v>34</v>
      </c>
      <c r="D3197" t="s">
        <v>48</v>
      </c>
      <c r="E3197" t="s">
        <v>81</v>
      </c>
      <c r="F3197" s="1">
        <v>45731</v>
      </c>
      <c r="G3197">
        <v>4</v>
      </c>
      <c r="H3197">
        <v>7735.25</v>
      </c>
      <c r="I3197">
        <v>0</v>
      </c>
      <c r="J3197" t="s">
        <v>31</v>
      </c>
      <c r="K3197">
        <v>0</v>
      </c>
      <c r="L3197">
        <v>30941</v>
      </c>
      <c r="M3197">
        <v>30941</v>
      </c>
      <c r="N3197" t="s">
        <v>83</v>
      </c>
      <c r="O3197">
        <v>2025</v>
      </c>
    </row>
    <row r="3198" spans="1:15" x14ac:dyDescent="0.3">
      <c r="A3198" t="s">
        <v>3283</v>
      </c>
      <c r="B3198" t="s">
        <v>29</v>
      </c>
      <c r="C3198" t="s">
        <v>54</v>
      </c>
      <c r="D3198" t="s">
        <v>137</v>
      </c>
      <c r="E3198" t="s">
        <v>56</v>
      </c>
      <c r="F3198" s="1">
        <v>45943</v>
      </c>
      <c r="G3198">
        <v>8</v>
      </c>
      <c r="H3198">
        <v>1045.71</v>
      </c>
      <c r="I3198">
        <v>5</v>
      </c>
      <c r="J3198" t="s">
        <v>71</v>
      </c>
      <c r="K3198">
        <v>418.28</v>
      </c>
      <c r="L3198">
        <v>8365.68</v>
      </c>
      <c r="M3198">
        <v>7947.4</v>
      </c>
      <c r="N3198" t="s">
        <v>57</v>
      </c>
      <c r="O3198">
        <v>2025</v>
      </c>
    </row>
    <row r="3199" spans="1:15" x14ac:dyDescent="0.3">
      <c r="A3199" t="s">
        <v>3284</v>
      </c>
      <c r="B3199" t="s">
        <v>65</v>
      </c>
      <c r="C3199" t="s">
        <v>62</v>
      </c>
      <c r="D3199" t="s">
        <v>132</v>
      </c>
      <c r="E3199" t="s">
        <v>30</v>
      </c>
      <c r="F3199" s="1">
        <v>45473</v>
      </c>
      <c r="G3199">
        <v>10</v>
      </c>
      <c r="H3199">
        <v>2544.94</v>
      </c>
      <c r="I3199">
        <v>5</v>
      </c>
      <c r="J3199" t="s">
        <v>45</v>
      </c>
      <c r="K3199">
        <v>1272.47</v>
      </c>
      <c r="L3199">
        <v>25449.4</v>
      </c>
      <c r="M3199">
        <v>24176.93</v>
      </c>
      <c r="N3199" t="s">
        <v>72</v>
      </c>
      <c r="O3199">
        <v>2024</v>
      </c>
    </row>
    <row r="3200" spans="1:15" x14ac:dyDescent="0.3">
      <c r="A3200" t="s">
        <v>3285</v>
      </c>
      <c r="B3200" t="s">
        <v>38</v>
      </c>
      <c r="C3200" t="s">
        <v>62</v>
      </c>
      <c r="D3200" t="s">
        <v>99</v>
      </c>
      <c r="E3200" t="s">
        <v>44</v>
      </c>
      <c r="F3200" s="1">
        <v>45634</v>
      </c>
      <c r="G3200">
        <v>3</v>
      </c>
      <c r="H3200">
        <v>1896.38</v>
      </c>
      <c r="I3200">
        <v>15</v>
      </c>
      <c r="J3200" t="s">
        <v>82</v>
      </c>
      <c r="K3200">
        <v>853.37</v>
      </c>
      <c r="L3200">
        <v>5689.14</v>
      </c>
      <c r="M3200">
        <v>4835.7700000000004</v>
      </c>
      <c r="N3200" t="s">
        <v>51</v>
      </c>
      <c r="O3200">
        <v>2024</v>
      </c>
    </row>
    <row r="3201" spans="1:15" x14ac:dyDescent="0.3">
      <c r="A3201" t="s">
        <v>3286</v>
      </c>
      <c r="B3201" t="s">
        <v>93</v>
      </c>
      <c r="C3201" t="s">
        <v>62</v>
      </c>
      <c r="D3201" t="s">
        <v>119</v>
      </c>
      <c r="E3201" t="s">
        <v>44</v>
      </c>
      <c r="F3201" s="1">
        <v>45565</v>
      </c>
      <c r="G3201">
        <v>8</v>
      </c>
      <c r="H3201">
        <v>3818.53</v>
      </c>
      <c r="I3201">
        <v>15</v>
      </c>
      <c r="J3201" t="s">
        <v>82</v>
      </c>
      <c r="K3201">
        <v>4582.24</v>
      </c>
      <c r="L3201">
        <v>30548.240000000002</v>
      </c>
      <c r="M3201">
        <v>25966</v>
      </c>
      <c r="N3201" t="s">
        <v>86</v>
      </c>
      <c r="O3201">
        <v>2024</v>
      </c>
    </row>
    <row r="3202" spans="1:15" x14ac:dyDescent="0.3">
      <c r="A3202" t="s">
        <v>3287</v>
      </c>
      <c r="B3202" t="s">
        <v>74</v>
      </c>
      <c r="C3202" t="s">
        <v>34</v>
      </c>
      <c r="D3202" t="s">
        <v>48</v>
      </c>
      <c r="E3202" t="s">
        <v>50</v>
      </c>
      <c r="F3202" s="1">
        <v>45926</v>
      </c>
      <c r="G3202">
        <v>7</v>
      </c>
      <c r="H3202">
        <v>8032.98</v>
      </c>
      <c r="I3202">
        <v>0</v>
      </c>
      <c r="J3202" t="s">
        <v>26</v>
      </c>
      <c r="K3202">
        <v>0</v>
      </c>
      <c r="L3202">
        <v>56230.86</v>
      </c>
      <c r="M3202">
        <v>56230.86</v>
      </c>
      <c r="N3202" t="s">
        <v>86</v>
      </c>
      <c r="O3202">
        <v>2025</v>
      </c>
    </row>
    <row r="3203" spans="1:15" x14ac:dyDescent="0.3">
      <c r="A3203" t="s">
        <v>3288</v>
      </c>
      <c r="B3203" t="s">
        <v>74</v>
      </c>
      <c r="C3203" t="s">
        <v>62</v>
      </c>
      <c r="D3203" t="s">
        <v>99</v>
      </c>
      <c r="E3203" t="s">
        <v>19</v>
      </c>
      <c r="F3203" s="1">
        <v>45547</v>
      </c>
      <c r="G3203">
        <v>7</v>
      </c>
      <c r="H3203">
        <v>1668.37</v>
      </c>
      <c r="I3203">
        <v>10</v>
      </c>
      <c r="J3203" t="s">
        <v>20</v>
      </c>
      <c r="K3203">
        <v>1167.8599999999999</v>
      </c>
      <c r="L3203">
        <v>11678.59</v>
      </c>
      <c r="M3203">
        <v>10510.73</v>
      </c>
      <c r="N3203" t="s">
        <v>86</v>
      </c>
      <c r="O3203">
        <v>2024</v>
      </c>
    </row>
    <row r="3204" spans="1:15" x14ac:dyDescent="0.3">
      <c r="A3204" t="s">
        <v>3289</v>
      </c>
      <c r="B3204" t="s">
        <v>114</v>
      </c>
      <c r="C3204" t="s">
        <v>34</v>
      </c>
      <c r="D3204" t="s">
        <v>48</v>
      </c>
      <c r="E3204" t="s">
        <v>56</v>
      </c>
      <c r="F3204" s="1">
        <v>45695</v>
      </c>
      <c r="G3204">
        <v>7</v>
      </c>
      <c r="H3204">
        <v>8639.36</v>
      </c>
      <c r="I3204">
        <v>5</v>
      </c>
      <c r="J3204" t="s">
        <v>40</v>
      </c>
      <c r="K3204">
        <v>3023.78</v>
      </c>
      <c r="L3204">
        <v>60475.519999999997</v>
      </c>
      <c r="M3204">
        <v>57451.74</v>
      </c>
      <c r="N3204" t="s">
        <v>41</v>
      </c>
      <c r="O3204">
        <v>2025</v>
      </c>
    </row>
    <row r="3205" spans="1:15" x14ac:dyDescent="0.3">
      <c r="A3205" t="s">
        <v>3290</v>
      </c>
      <c r="B3205" t="s">
        <v>65</v>
      </c>
      <c r="C3205" t="s">
        <v>62</v>
      </c>
      <c r="D3205" t="s">
        <v>63</v>
      </c>
      <c r="E3205" t="s">
        <v>81</v>
      </c>
      <c r="F3205" s="1">
        <v>45422</v>
      </c>
      <c r="G3205">
        <v>10</v>
      </c>
      <c r="H3205">
        <v>1868.15</v>
      </c>
      <c r="I3205">
        <v>10</v>
      </c>
      <c r="J3205" t="s">
        <v>31</v>
      </c>
      <c r="K3205">
        <v>1868.15</v>
      </c>
      <c r="L3205">
        <v>18681.5</v>
      </c>
      <c r="M3205">
        <v>16813.349999999999</v>
      </c>
      <c r="N3205" t="s">
        <v>101</v>
      </c>
      <c r="O3205">
        <v>2024</v>
      </c>
    </row>
    <row r="3206" spans="1:15" x14ac:dyDescent="0.3">
      <c r="A3206" t="s">
        <v>3291</v>
      </c>
      <c r="B3206" t="s">
        <v>43</v>
      </c>
      <c r="C3206" t="s">
        <v>34</v>
      </c>
      <c r="D3206" t="s">
        <v>85</v>
      </c>
      <c r="E3206" t="s">
        <v>50</v>
      </c>
      <c r="F3206" s="1">
        <v>45797</v>
      </c>
      <c r="G3206">
        <v>10</v>
      </c>
      <c r="H3206">
        <v>11252.2</v>
      </c>
      <c r="I3206">
        <v>0</v>
      </c>
      <c r="J3206" t="s">
        <v>31</v>
      </c>
      <c r="K3206">
        <v>0</v>
      </c>
      <c r="L3206">
        <v>112522</v>
      </c>
      <c r="M3206">
        <v>112522</v>
      </c>
      <c r="N3206" t="s">
        <v>101</v>
      </c>
      <c r="O3206">
        <v>2025</v>
      </c>
    </row>
    <row r="3207" spans="1:15" x14ac:dyDescent="0.3">
      <c r="A3207" t="s">
        <v>3292</v>
      </c>
      <c r="B3207" t="s">
        <v>47</v>
      </c>
      <c r="C3207" t="s">
        <v>62</v>
      </c>
      <c r="D3207" t="s">
        <v>99</v>
      </c>
      <c r="E3207" t="s">
        <v>50</v>
      </c>
      <c r="F3207" s="1">
        <v>45952</v>
      </c>
      <c r="G3207">
        <v>7</v>
      </c>
      <c r="H3207">
        <v>1877.25</v>
      </c>
      <c r="I3207">
        <v>20</v>
      </c>
      <c r="J3207" t="s">
        <v>71</v>
      </c>
      <c r="K3207">
        <v>2628.15</v>
      </c>
      <c r="L3207">
        <v>13140.75</v>
      </c>
      <c r="M3207">
        <v>10512.6</v>
      </c>
      <c r="N3207" t="s">
        <v>57</v>
      </c>
      <c r="O3207">
        <v>2025</v>
      </c>
    </row>
    <row r="3208" spans="1:15" x14ac:dyDescent="0.3">
      <c r="A3208" t="s">
        <v>3293</v>
      </c>
      <c r="B3208" t="s">
        <v>43</v>
      </c>
      <c r="C3208" t="s">
        <v>34</v>
      </c>
      <c r="D3208" t="s">
        <v>48</v>
      </c>
      <c r="E3208" t="s">
        <v>50</v>
      </c>
      <c r="F3208" s="1">
        <v>45712</v>
      </c>
      <c r="G3208">
        <v>9</v>
      </c>
      <c r="H3208">
        <v>7857.05</v>
      </c>
      <c r="I3208">
        <v>15</v>
      </c>
      <c r="J3208" t="s">
        <v>40</v>
      </c>
      <c r="K3208">
        <v>10607.02</v>
      </c>
      <c r="L3208">
        <v>70713.45</v>
      </c>
      <c r="M3208">
        <v>60106.43</v>
      </c>
      <c r="N3208" t="s">
        <v>41</v>
      </c>
      <c r="O3208">
        <v>2025</v>
      </c>
    </row>
    <row r="3209" spans="1:15" x14ac:dyDescent="0.3">
      <c r="A3209" t="s">
        <v>3294</v>
      </c>
      <c r="B3209" t="s">
        <v>109</v>
      </c>
      <c r="C3209" t="s">
        <v>34</v>
      </c>
      <c r="D3209" t="s">
        <v>66</v>
      </c>
      <c r="E3209" t="s">
        <v>56</v>
      </c>
      <c r="F3209" s="1">
        <v>45694</v>
      </c>
      <c r="G3209">
        <v>9</v>
      </c>
      <c r="H3209">
        <v>37471.15</v>
      </c>
      <c r="I3209">
        <v>20</v>
      </c>
      <c r="J3209" t="s">
        <v>82</v>
      </c>
      <c r="K3209">
        <v>67448.070000000007</v>
      </c>
      <c r="L3209">
        <v>337240.35</v>
      </c>
      <c r="M3209">
        <v>269792.28000000003</v>
      </c>
      <c r="N3209" t="s">
        <v>41</v>
      </c>
      <c r="O3209">
        <v>2025</v>
      </c>
    </row>
    <row r="3210" spans="1:15" x14ac:dyDescent="0.3">
      <c r="A3210" t="s">
        <v>3295</v>
      </c>
      <c r="B3210" t="s">
        <v>61</v>
      </c>
      <c r="C3210" t="s">
        <v>90</v>
      </c>
      <c r="D3210" t="s">
        <v>91</v>
      </c>
      <c r="E3210" t="s">
        <v>50</v>
      </c>
      <c r="F3210" s="1">
        <v>45717</v>
      </c>
      <c r="G3210">
        <v>2</v>
      </c>
      <c r="H3210">
        <v>1482.93</v>
      </c>
      <c r="I3210">
        <v>5</v>
      </c>
      <c r="J3210" t="s">
        <v>82</v>
      </c>
      <c r="K3210">
        <v>148.29</v>
      </c>
      <c r="L3210">
        <v>2965.86</v>
      </c>
      <c r="M3210">
        <v>2817.57</v>
      </c>
      <c r="N3210" t="s">
        <v>83</v>
      </c>
      <c r="O3210">
        <v>2025</v>
      </c>
    </row>
    <row r="3211" spans="1:15" x14ac:dyDescent="0.3">
      <c r="A3211" t="s">
        <v>3296</v>
      </c>
      <c r="B3211" t="s">
        <v>47</v>
      </c>
      <c r="C3211" t="s">
        <v>54</v>
      </c>
      <c r="D3211" t="s">
        <v>70</v>
      </c>
      <c r="E3211" t="s">
        <v>56</v>
      </c>
      <c r="F3211" s="1">
        <v>46003</v>
      </c>
      <c r="G3211">
        <v>8</v>
      </c>
      <c r="H3211">
        <v>2535.7600000000002</v>
      </c>
      <c r="I3211">
        <v>5</v>
      </c>
      <c r="J3211" t="s">
        <v>20</v>
      </c>
      <c r="K3211">
        <v>1014.3</v>
      </c>
      <c r="L3211">
        <v>20286.080000000002</v>
      </c>
      <c r="M3211">
        <v>19271.78</v>
      </c>
      <c r="N3211" t="s">
        <v>51</v>
      </c>
      <c r="O3211">
        <v>2025</v>
      </c>
    </row>
    <row r="3212" spans="1:15" x14ac:dyDescent="0.3">
      <c r="A3212" t="s">
        <v>3297</v>
      </c>
      <c r="B3212" t="s">
        <v>74</v>
      </c>
      <c r="C3212" t="s">
        <v>17</v>
      </c>
      <c r="D3212" t="s">
        <v>157</v>
      </c>
      <c r="E3212" t="s">
        <v>50</v>
      </c>
      <c r="F3212" s="1">
        <v>45425</v>
      </c>
      <c r="G3212">
        <v>7</v>
      </c>
      <c r="H3212">
        <v>6403.13</v>
      </c>
      <c r="I3212">
        <v>5</v>
      </c>
      <c r="J3212" t="s">
        <v>71</v>
      </c>
      <c r="K3212">
        <v>2241.1</v>
      </c>
      <c r="L3212">
        <v>44821.91</v>
      </c>
      <c r="M3212">
        <v>42580.81</v>
      </c>
      <c r="N3212" t="s">
        <v>101</v>
      </c>
      <c r="O3212">
        <v>2024</v>
      </c>
    </row>
    <row r="3213" spans="1:15" x14ac:dyDescent="0.3">
      <c r="A3213" t="s">
        <v>3298</v>
      </c>
      <c r="B3213" t="s">
        <v>43</v>
      </c>
      <c r="C3213" t="s">
        <v>17</v>
      </c>
      <c r="D3213" t="s">
        <v>18</v>
      </c>
      <c r="E3213" t="s">
        <v>81</v>
      </c>
      <c r="F3213" s="1">
        <v>45785</v>
      </c>
      <c r="G3213">
        <v>9</v>
      </c>
      <c r="H3213">
        <v>73187.33</v>
      </c>
      <c r="I3213">
        <v>0</v>
      </c>
      <c r="J3213" t="s">
        <v>31</v>
      </c>
      <c r="K3213">
        <v>0</v>
      </c>
      <c r="L3213">
        <v>658685.97</v>
      </c>
      <c r="M3213">
        <v>658685.97</v>
      </c>
      <c r="N3213" t="s">
        <v>101</v>
      </c>
      <c r="O3213">
        <v>2025</v>
      </c>
    </row>
    <row r="3214" spans="1:15" x14ac:dyDescent="0.3">
      <c r="A3214" t="s">
        <v>3299</v>
      </c>
      <c r="B3214" t="s">
        <v>23</v>
      </c>
      <c r="C3214" t="s">
        <v>54</v>
      </c>
      <c r="D3214" t="s">
        <v>55</v>
      </c>
      <c r="E3214" t="s">
        <v>30</v>
      </c>
      <c r="F3214" s="1">
        <v>45879</v>
      </c>
      <c r="G3214">
        <v>4</v>
      </c>
      <c r="H3214">
        <v>1115.3499999999999</v>
      </c>
      <c r="I3214">
        <v>0</v>
      </c>
      <c r="J3214" t="s">
        <v>40</v>
      </c>
      <c r="K3214">
        <v>0</v>
      </c>
      <c r="L3214">
        <v>4461.3999999999996</v>
      </c>
      <c r="M3214">
        <v>4461.3999999999996</v>
      </c>
      <c r="N3214" t="s">
        <v>21</v>
      </c>
      <c r="O3214">
        <v>2025</v>
      </c>
    </row>
    <row r="3215" spans="1:15" x14ac:dyDescent="0.3">
      <c r="A3215" t="s">
        <v>3300</v>
      </c>
      <c r="B3215" t="s">
        <v>74</v>
      </c>
      <c r="C3215" t="s">
        <v>62</v>
      </c>
      <c r="D3215" t="s">
        <v>99</v>
      </c>
      <c r="E3215" t="s">
        <v>50</v>
      </c>
      <c r="F3215" s="1">
        <v>45744</v>
      </c>
      <c r="G3215">
        <v>7</v>
      </c>
      <c r="H3215">
        <v>1418.98</v>
      </c>
      <c r="I3215">
        <v>10</v>
      </c>
      <c r="J3215" t="s">
        <v>40</v>
      </c>
      <c r="K3215">
        <v>993.29</v>
      </c>
      <c r="L3215">
        <v>9932.86</v>
      </c>
      <c r="M3215">
        <v>8939.57</v>
      </c>
      <c r="N3215" t="s">
        <v>83</v>
      </c>
      <c r="O3215">
        <v>2025</v>
      </c>
    </row>
    <row r="3216" spans="1:15" x14ac:dyDescent="0.3">
      <c r="A3216" t="s">
        <v>3301</v>
      </c>
      <c r="B3216" t="s">
        <v>38</v>
      </c>
      <c r="C3216" t="s">
        <v>34</v>
      </c>
      <c r="D3216" t="s">
        <v>66</v>
      </c>
      <c r="E3216" t="s">
        <v>30</v>
      </c>
      <c r="F3216" s="1">
        <v>45689</v>
      </c>
      <c r="G3216">
        <v>5</v>
      </c>
      <c r="H3216">
        <v>39444.730000000003</v>
      </c>
      <c r="I3216">
        <v>15</v>
      </c>
      <c r="J3216" t="s">
        <v>36</v>
      </c>
      <c r="K3216">
        <v>29583.55</v>
      </c>
      <c r="L3216">
        <v>197223.65</v>
      </c>
      <c r="M3216">
        <v>167640.1</v>
      </c>
      <c r="N3216" t="s">
        <v>41</v>
      </c>
      <c r="O3216">
        <v>2025</v>
      </c>
    </row>
    <row r="3217" spans="1:15" x14ac:dyDescent="0.3">
      <c r="A3217" t="s">
        <v>3302</v>
      </c>
      <c r="B3217" t="s">
        <v>93</v>
      </c>
      <c r="C3217" t="s">
        <v>34</v>
      </c>
      <c r="D3217" t="s">
        <v>85</v>
      </c>
      <c r="E3217" t="s">
        <v>25</v>
      </c>
      <c r="F3217" s="1">
        <v>45434</v>
      </c>
      <c r="G3217">
        <v>10</v>
      </c>
      <c r="H3217">
        <v>13381.72</v>
      </c>
      <c r="I3217">
        <v>20</v>
      </c>
      <c r="J3217" t="s">
        <v>71</v>
      </c>
      <c r="K3217">
        <v>26763.439999999999</v>
      </c>
      <c r="L3217">
        <v>133817.20000000001</v>
      </c>
      <c r="M3217">
        <v>107053.75999999999</v>
      </c>
      <c r="N3217" t="s">
        <v>101</v>
      </c>
      <c r="O3217">
        <v>2024</v>
      </c>
    </row>
    <row r="3218" spans="1:15" x14ac:dyDescent="0.3">
      <c r="A3218" t="s">
        <v>3303</v>
      </c>
      <c r="B3218" t="s">
        <v>29</v>
      </c>
      <c r="C3218" t="s">
        <v>62</v>
      </c>
      <c r="D3218" t="s">
        <v>95</v>
      </c>
      <c r="E3218" t="s">
        <v>56</v>
      </c>
      <c r="F3218" s="1">
        <v>45809</v>
      </c>
      <c r="G3218">
        <v>2</v>
      </c>
      <c r="H3218">
        <v>918.7</v>
      </c>
      <c r="I3218">
        <v>0</v>
      </c>
      <c r="J3218" t="s">
        <v>40</v>
      </c>
      <c r="K3218">
        <v>0</v>
      </c>
      <c r="L3218">
        <v>1837.4</v>
      </c>
      <c r="M3218">
        <v>1837.4</v>
      </c>
      <c r="N3218" t="s">
        <v>72</v>
      </c>
      <c r="O3218">
        <v>2025</v>
      </c>
    </row>
    <row r="3219" spans="1:15" x14ac:dyDescent="0.3">
      <c r="A3219" t="s">
        <v>3304</v>
      </c>
      <c r="B3219" t="s">
        <v>16</v>
      </c>
      <c r="C3219" t="s">
        <v>34</v>
      </c>
      <c r="D3219" t="s">
        <v>35</v>
      </c>
      <c r="E3219" t="s">
        <v>56</v>
      </c>
      <c r="F3219" s="1">
        <v>45872</v>
      </c>
      <c r="G3219">
        <v>8</v>
      </c>
      <c r="H3219">
        <v>23052.69</v>
      </c>
      <c r="I3219">
        <v>15</v>
      </c>
      <c r="J3219" t="s">
        <v>40</v>
      </c>
      <c r="K3219">
        <v>27663.23</v>
      </c>
      <c r="L3219">
        <v>184421.52</v>
      </c>
      <c r="M3219">
        <v>156758.29</v>
      </c>
      <c r="N3219" t="s">
        <v>21</v>
      </c>
      <c r="O3219">
        <v>2025</v>
      </c>
    </row>
    <row r="3220" spans="1:15" x14ac:dyDescent="0.3">
      <c r="A3220" t="s">
        <v>3305</v>
      </c>
      <c r="B3220" t="s">
        <v>23</v>
      </c>
      <c r="C3220" t="s">
        <v>90</v>
      </c>
      <c r="D3220" t="s">
        <v>105</v>
      </c>
      <c r="E3220" t="s">
        <v>30</v>
      </c>
      <c r="F3220" s="1">
        <v>45515</v>
      </c>
      <c r="G3220">
        <v>6</v>
      </c>
      <c r="H3220">
        <v>3343.09</v>
      </c>
      <c r="I3220">
        <v>0</v>
      </c>
      <c r="J3220" t="s">
        <v>20</v>
      </c>
      <c r="K3220">
        <v>0</v>
      </c>
      <c r="L3220">
        <v>20058.54</v>
      </c>
      <c r="M3220">
        <v>20058.54</v>
      </c>
      <c r="N3220" t="s">
        <v>21</v>
      </c>
      <c r="O3220">
        <v>2024</v>
      </c>
    </row>
    <row r="3221" spans="1:15" x14ac:dyDescent="0.3">
      <c r="A3221" t="s">
        <v>3306</v>
      </c>
      <c r="B3221" t="s">
        <v>23</v>
      </c>
      <c r="C3221" t="s">
        <v>17</v>
      </c>
      <c r="D3221" t="s">
        <v>18</v>
      </c>
      <c r="E3221" t="s">
        <v>25</v>
      </c>
      <c r="F3221" s="1">
        <v>45650</v>
      </c>
      <c r="G3221">
        <v>10</v>
      </c>
      <c r="H3221">
        <v>64842.28</v>
      </c>
      <c r="I3221">
        <v>15</v>
      </c>
      <c r="J3221" t="s">
        <v>36</v>
      </c>
      <c r="K3221">
        <v>97263.42</v>
      </c>
      <c r="L3221">
        <v>648422.80000000005</v>
      </c>
      <c r="M3221">
        <v>551159.38</v>
      </c>
      <c r="N3221" t="s">
        <v>51</v>
      </c>
      <c r="O3221">
        <v>2024</v>
      </c>
    </row>
    <row r="3222" spans="1:15" x14ac:dyDescent="0.3">
      <c r="A3222" t="s">
        <v>3307</v>
      </c>
      <c r="B3222" t="s">
        <v>93</v>
      </c>
      <c r="C3222" t="s">
        <v>34</v>
      </c>
      <c r="D3222" t="s">
        <v>66</v>
      </c>
      <c r="E3222" t="s">
        <v>19</v>
      </c>
      <c r="F3222" s="1">
        <v>45375</v>
      </c>
      <c r="G3222">
        <v>4</v>
      </c>
      <c r="H3222">
        <v>38264.21</v>
      </c>
      <c r="I3222">
        <v>10</v>
      </c>
      <c r="J3222" t="s">
        <v>26</v>
      </c>
      <c r="K3222">
        <v>15305.68</v>
      </c>
      <c r="L3222">
        <v>153056.84</v>
      </c>
      <c r="M3222">
        <v>137751.16</v>
      </c>
      <c r="N3222" t="s">
        <v>83</v>
      </c>
      <c r="O3222">
        <v>2024</v>
      </c>
    </row>
    <row r="3223" spans="1:15" x14ac:dyDescent="0.3">
      <c r="A3223" t="s">
        <v>3308</v>
      </c>
      <c r="B3223" t="s">
        <v>89</v>
      </c>
      <c r="C3223" t="s">
        <v>62</v>
      </c>
      <c r="D3223" t="s">
        <v>63</v>
      </c>
      <c r="E3223" t="s">
        <v>30</v>
      </c>
      <c r="F3223" s="1">
        <v>45785</v>
      </c>
      <c r="G3223">
        <v>4</v>
      </c>
      <c r="H3223">
        <v>2050.65</v>
      </c>
      <c r="I3223">
        <v>10</v>
      </c>
      <c r="J3223" t="s">
        <v>31</v>
      </c>
      <c r="K3223">
        <v>820.26</v>
      </c>
      <c r="L3223">
        <v>8202.6</v>
      </c>
      <c r="M3223">
        <v>7382.34</v>
      </c>
      <c r="N3223" t="s">
        <v>101</v>
      </c>
      <c r="O3223">
        <v>2025</v>
      </c>
    </row>
    <row r="3224" spans="1:15" x14ac:dyDescent="0.3">
      <c r="A3224" t="s">
        <v>3309</v>
      </c>
      <c r="B3224" t="s">
        <v>43</v>
      </c>
      <c r="C3224" t="s">
        <v>54</v>
      </c>
      <c r="D3224" t="s">
        <v>70</v>
      </c>
      <c r="E3224" t="s">
        <v>25</v>
      </c>
      <c r="F3224" s="1">
        <v>45382</v>
      </c>
      <c r="G3224">
        <v>1</v>
      </c>
      <c r="H3224">
        <v>2846.88</v>
      </c>
      <c r="I3224">
        <v>15</v>
      </c>
      <c r="J3224" t="s">
        <v>40</v>
      </c>
      <c r="K3224">
        <v>427.03</v>
      </c>
      <c r="L3224">
        <v>2846.88</v>
      </c>
      <c r="M3224">
        <v>2419.85</v>
      </c>
      <c r="N3224" t="s">
        <v>83</v>
      </c>
      <c r="O3224">
        <v>2024</v>
      </c>
    </row>
    <row r="3225" spans="1:15" x14ac:dyDescent="0.3">
      <c r="A3225" t="s">
        <v>3310</v>
      </c>
      <c r="B3225" t="s">
        <v>29</v>
      </c>
      <c r="C3225" t="s">
        <v>90</v>
      </c>
      <c r="D3225" t="s">
        <v>91</v>
      </c>
      <c r="E3225" t="s">
        <v>25</v>
      </c>
      <c r="F3225" s="1">
        <v>45549</v>
      </c>
      <c r="G3225">
        <v>9</v>
      </c>
      <c r="H3225">
        <v>1384.18</v>
      </c>
      <c r="I3225">
        <v>15</v>
      </c>
      <c r="J3225" t="s">
        <v>82</v>
      </c>
      <c r="K3225">
        <v>1868.64</v>
      </c>
      <c r="L3225">
        <v>12457.62</v>
      </c>
      <c r="M3225">
        <v>10588.98</v>
      </c>
      <c r="N3225" t="s">
        <v>86</v>
      </c>
      <c r="O3225">
        <v>2024</v>
      </c>
    </row>
    <row r="3226" spans="1:15" x14ac:dyDescent="0.3">
      <c r="A3226" t="s">
        <v>3311</v>
      </c>
      <c r="B3226" t="s">
        <v>93</v>
      </c>
      <c r="C3226" t="s">
        <v>17</v>
      </c>
      <c r="D3226" t="s">
        <v>39</v>
      </c>
      <c r="E3226" t="s">
        <v>30</v>
      </c>
      <c r="F3226" s="1">
        <v>45317</v>
      </c>
      <c r="G3226">
        <v>1</v>
      </c>
      <c r="H3226">
        <v>20017.89</v>
      </c>
      <c r="I3226">
        <v>5</v>
      </c>
      <c r="J3226" t="s">
        <v>82</v>
      </c>
      <c r="K3226">
        <v>1000.89</v>
      </c>
      <c r="L3226">
        <v>20017.89</v>
      </c>
      <c r="M3226">
        <v>19017</v>
      </c>
      <c r="N3226" t="s">
        <v>116</v>
      </c>
      <c r="O3226">
        <v>2024</v>
      </c>
    </row>
    <row r="3227" spans="1:15" x14ac:dyDescent="0.3">
      <c r="A3227" t="s">
        <v>3312</v>
      </c>
      <c r="B3227" t="s">
        <v>65</v>
      </c>
      <c r="C3227" t="s">
        <v>17</v>
      </c>
      <c r="D3227" t="s">
        <v>59</v>
      </c>
      <c r="E3227" t="s">
        <v>81</v>
      </c>
      <c r="F3227" s="1">
        <v>45719</v>
      </c>
      <c r="G3227">
        <v>2</v>
      </c>
      <c r="H3227">
        <v>25026.240000000002</v>
      </c>
      <c r="I3227">
        <v>20</v>
      </c>
      <c r="J3227" t="s">
        <v>31</v>
      </c>
      <c r="K3227">
        <v>10010.5</v>
      </c>
      <c r="L3227">
        <v>50052.480000000003</v>
      </c>
      <c r="M3227">
        <v>40041.980000000003</v>
      </c>
      <c r="N3227" t="s">
        <v>83</v>
      </c>
      <c r="O3227">
        <v>2025</v>
      </c>
    </row>
    <row r="3228" spans="1:15" x14ac:dyDescent="0.3">
      <c r="A3228" t="s">
        <v>3313</v>
      </c>
      <c r="B3228" t="s">
        <v>114</v>
      </c>
      <c r="C3228" t="s">
        <v>17</v>
      </c>
      <c r="D3228" t="s">
        <v>18</v>
      </c>
      <c r="E3228" t="s">
        <v>81</v>
      </c>
      <c r="F3228" s="1">
        <v>45544</v>
      </c>
      <c r="G3228">
        <v>5</v>
      </c>
      <c r="H3228">
        <v>60846.17</v>
      </c>
      <c r="I3228">
        <v>5</v>
      </c>
      <c r="J3228" t="s">
        <v>26</v>
      </c>
      <c r="K3228">
        <v>15211.54</v>
      </c>
      <c r="L3228">
        <v>304230.84999999998</v>
      </c>
      <c r="M3228">
        <v>289019.31</v>
      </c>
      <c r="N3228" t="s">
        <v>86</v>
      </c>
      <c r="O3228">
        <v>2024</v>
      </c>
    </row>
    <row r="3229" spans="1:15" x14ac:dyDescent="0.3">
      <c r="A3229" t="s">
        <v>3314</v>
      </c>
      <c r="B3229" t="s">
        <v>114</v>
      </c>
      <c r="C3229" t="s">
        <v>62</v>
      </c>
      <c r="D3229" t="s">
        <v>132</v>
      </c>
      <c r="E3229" t="s">
        <v>30</v>
      </c>
      <c r="F3229" s="1">
        <v>45601</v>
      </c>
      <c r="G3229">
        <v>9</v>
      </c>
      <c r="H3229">
        <v>2654.53</v>
      </c>
      <c r="I3229">
        <v>5</v>
      </c>
      <c r="J3229" t="s">
        <v>45</v>
      </c>
      <c r="K3229">
        <v>1194.54</v>
      </c>
      <c r="L3229">
        <v>23890.77</v>
      </c>
      <c r="M3229">
        <v>22696.23</v>
      </c>
      <c r="N3229" t="s">
        <v>96</v>
      </c>
      <c r="O3229">
        <v>2024</v>
      </c>
    </row>
    <row r="3230" spans="1:15" x14ac:dyDescent="0.3">
      <c r="A3230" t="s">
        <v>3315</v>
      </c>
      <c r="B3230" t="s">
        <v>33</v>
      </c>
      <c r="C3230" t="s">
        <v>17</v>
      </c>
      <c r="D3230" t="s">
        <v>59</v>
      </c>
      <c r="E3230" t="s">
        <v>50</v>
      </c>
      <c r="F3230" s="1">
        <v>45727</v>
      </c>
      <c r="G3230">
        <v>1</v>
      </c>
      <c r="H3230">
        <v>26845.99</v>
      </c>
      <c r="I3230">
        <v>20</v>
      </c>
      <c r="J3230" t="s">
        <v>82</v>
      </c>
      <c r="K3230">
        <v>5369.2</v>
      </c>
      <c r="L3230">
        <v>26845.99</v>
      </c>
      <c r="M3230">
        <v>21476.79</v>
      </c>
      <c r="N3230" t="s">
        <v>83</v>
      </c>
      <c r="O3230">
        <v>2025</v>
      </c>
    </row>
    <row r="3231" spans="1:15" x14ac:dyDescent="0.3">
      <c r="A3231" t="s">
        <v>3316</v>
      </c>
      <c r="B3231" t="s">
        <v>38</v>
      </c>
      <c r="C3231" t="s">
        <v>17</v>
      </c>
      <c r="D3231" t="s">
        <v>157</v>
      </c>
      <c r="E3231" t="s">
        <v>81</v>
      </c>
      <c r="F3231" s="1">
        <v>45502</v>
      </c>
      <c r="G3231">
        <v>9</v>
      </c>
      <c r="H3231">
        <v>6968.78</v>
      </c>
      <c r="I3231">
        <v>0</v>
      </c>
      <c r="J3231" t="s">
        <v>82</v>
      </c>
      <c r="K3231">
        <v>0</v>
      </c>
      <c r="L3231">
        <v>62719.02</v>
      </c>
      <c r="M3231">
        <v>62719.02</v>
      </c>
      <c r="N3231" t="s">
        <v>122</v>
      </c>
      <c r="O3231">
        <v>2024</v>
      </c>
    </row>
    <row r="3232" spans="1:15" x14ac:dyDescent="0.3">
      <c r="A3232" t="s">
        <v>3317</v>
      </c>
      <c r="B3232" t="s">
        <v>47</v>
      </c>
      <c r="C3232" t="s">
        <v>62</v>
      </c>
      <c r="D3232" t="s">
        <v>99</v>
      </c>
      <c r="E3232" t="s">
        <v>44</v>
      </c>
      <c r="F3232" s="1">
        <v>45799</v>
      </c>
      <c r="G3232">
        <v>2</v>
      </c>
      <c r="H3232">
        <v>1426.23</v>
      </c>
      <c r="I3232">
        <v>5</v>
      </c>
      <c r="J3232" t="s">
        <v>82</v>
      </c>
      <c r="K3232">
        <v>142.62</v>
      </c>
      <c r="L3232">
        <v>2852.46</v>
      </c>
      <c r="M3232">
        <v>2709.84</v>
      </c>
      <c r="N3232" t="s">
        <v>101</v>
      </c>
      <c r="O3232">
        <v>2025</v>
      </c>
    </row>
    <row r="3233" spans="1:15" x14ac:dyDescent="0.3">
      <c r="A3233" t="s">
        <v>3318</v>
      </c>
      <c r="B3233" t="s">
        <v>61</v>
      </c>
      <c r="C3233" t="s">
        <v>17</v>
      </c>
      <c r="D3233" t="s">
        <v>24</v>
      </c>
      <c r="E3233" t="s">
        <v>19</v>
      </c>
      <c r="F3233" s="1">
        <v>45430</v>
      </c>
      <c r="G3233">
        <v>5</v>
      </c>
      <c r="H3233">
        <v>3379.66</v>
      </c>
      <c r="I3233">
        <v>0</v>
      </c>
      <c r="J3233" t="s">
        <v>26</v>
      </c>
      <c r="K3233">
        <v>0</v>
      </c>
      <c r="L3233">
        <v>16898.3</v>
      </c>
      <c r="M3233">
        <v>16898.3</v>
      </c>
      <c r="N3233" t="s">
        <v>101</v>
      </c>
      <c r="O3233">
        <v>2024</v>
      </c>
    </row>
    <row r="3234" spans="1:15" x14ac:dyDescent="0.3">
      <c r="A3234" t="s">
        <v>3319</v>
      </c>
      <c r="B3234" t="s">
        <v>65</v>
      </c>
      <c r="C3234" t="s">
        <v>34</v>
      </c>
      <c r="D3234" t="s">
        <v>66</v>
      </c>
      <c r="E3234" t="s">
        <v>44</v>
      </c>
      <c r="F3234" s="1">
        <v>45588</v>
      </c>
      <c r="G3234">
        <v>2</v>
      </c>
      <c r="H3234">
        <v>40911.54</v>
      </c>
      <c r="I3234">
        <v>20</v>
      </c>
      <c r="J3234" t="s">
        <v>82</v>
      </c>
      <c r="K3234">
        <v>16364.62</v>
      </c>
      <c r="L3234">
        <v>81823.08</v>
      </c>
      <c r="M3234">
        <v>65458.46</v>
      </c>
      <c r="N3234" t="s">
        <v>57</v>
      </c>
      <c r="O3234">
        <v>2024</v>
      </c>
    </row>
    <row r="3235" spans="1:15" x14ac:dyDescent="0.3">
      <c r="A3235" t="s">
        <v>3320</v>
      </c>
      <c r="B3235" t="s">
        <v>33</v>
      </c>
      <c r="C3235" t="s">
        <v>90</v>
      </c>
      <c r="D3235" t="s">
        <v>115</v>
      </c>
      <c r="E3235" t="s">
        <v>50</v>
      </c>
      <c r="F3235" s="1">
        <v>46005</v>
      </c>
      <c r="G3235">
        <v>2</v>
      </c>
      <c r="H3235">
        <v>9619.74</v>
      </c>
      <c r="I3235">
        <v>20</v>
      </c>
      <c r="J3235" t="s">
        <v>71</v>
      </c>
      <c r="K3235">
        <v>3847.9</v>
      </c>
      <c r="L3235">
        <v>19239.48</v>
      </c>
      <c r="M3235">
        <v>15391.58</v>
      </c>
      <c r="N3235" t="s">
        <v>51</v>
      </c>
      <c r="O3235">
        <v>2025</v>
      </c>
    </row>
    <row r="3236" spans="1:15" x14ac:dyDescent="0.3">
      <c r="A3236" t="s">
        <v>3321</v>
      </c>
      <c r="B3236" t="s">
        <v>89</v>
      </c>
      <c r="C3236" t="s">
        <v>34</v>
      </c>
      <c r="D3236" t="s">
        <v>35</v>
      </c>
      <c r="E3236" t="s">
        <v>44</v>
      </c>
      <c r="F3236" s="1">
        <v>45794</v>
      </c>
      <c r="G3236">
        <v>7</v>
      </c>
      <c r="H3236">
        <v>24341.03</v>
      </c>
      <c r="I3236">
        <v>15</v>
      </c>
      <c r="J3236" t="s">
        <v>45</v>
      </c>
      <c r="K3236">
        <v>25558.080000000002</v>
      </c>
      <c r="L3236">
        <v>170387.21</v>
      </c>
      <c r="M3236">
        <v>144829.13</v>
      </c>
      <c r="N3236" t="s">
        <v>101</v>
      </c>
      <c r="O3236">
        <v>2025</v>
      </c>
    </row>
    <row r="3237" spans="1:15" x14ac:dyDescent="0.3">
      <c r="A3237" t="s">
        <v>3322</v>
      </c>
      <c r="B3237" t="s">
        <v>47</v>
      </c>
      <c r="C3237" t="s">
        <v>34</v>
      </c>
      <c r="D3237" t="s">
        <v>66</v>
      </c>
      <c r="E3237" t="s">
        <v>50</v>
      </c>
      <c r="F3237" s="1">
        <v>45330</v>
      </c>
      <c r="G3237">
        <v>8</v>
      </c>
      <c r="H3237">
        <v>39016.65</v>
      </c>
      <c r="I3237">
        <v>0</v>
      </c>
      <c r="J3237" t="s">
        <v>82</v>
      </c>
      <c r="K3237">
        <v>0</v>
      </c>
      <c r="L3237">
        <v>312133.2</v>
      </c>
      <c r="M3237">
        <v>312133.2</v>
      </c>
      <c r="N3237" t="s">
        <v>41</v>
      </c>
      <c r="O3237">
        <v>2024</v>
      </c>
    </row>
    <row r="3238" spans="1:15" x14ac:dyDescent="0.3">
      <c r="A3238" t="s">
        <v>3323</v>
      </c>
      <c r="B3238" t="s">
        <v>74</v>
      </c>
      <c r="C3238" t="s">
        <v>90</v>
      </c>
      <c r="D3238" t="s">
        <v>105</v>
      </c>
      <c r="E3238" t="s">
        <v>81</v>
      </c>
      <c r="F3238" s="1">
        <v>45465</v>
      </c>
      <c r="G3238">
        <v>4</v>
      </c>
      <c r="H3238">
        <v>3711.24</v>
      </c>
      <c r="I3238">
        <v>0</v>
      </c>
      <c r="J3238" t="s">
        <v>40</v>
      </c>
      <c r="K3238">
        <v>0</v>
      </c>
      <c r="L3238">
        <v>14844.96</v>
      </c>
      <c r="M3238">
        <v>14844.96</v>
      </c>
      <c r="N3238" t="s">
        <v>72</v>
      </c>
      <c r="O3238">
        <v>2024</v>
      </c>
    </row>
    <row r="3239" spans="1:15" x14ac:dyDescent="0.3">
      <c r="A3239" t="s">
        <v>3324</v>
      </c>
      <c r="B3239" t="s">
        <v>114</v>
      </c>
      <c r="C3239" t="s">
        <v>62</v>
      </c>
      <c r="D3239" t="s">
        <v>119</v>
      </c>
      <c r="E3239" t="s">
        <v>25</v>
      </c>
      <c r="F3239" s="1">
        <v>46019</v>
      </c>
      <c r="G3239">
        <v>4</v>
      </c>
      <c r="H3239">
        <v>3544.31</v>
      </c>
      <c r="I3239">
        <v>10</v>
      </c>
      <c r="J3239" t="s">
        <v>82</v>
      </c>
      <c r="K3239">
        <v>1417.72</v>
      </c>
      <c r="L3239">
        <v>14177.24</v>
      </c>
      <c r="M3239">
        <v>12759.52</v>
      </c>
      <c r="N3239" t="s">
        <v>51</v>
      </c>
      <c r="O3239">
        <v>2025</v>
      </c>
    </row>
    <row r="3240" spans="1:15" x14ac:dyDescent="0.3">
      <c r="A3240" t="s">
        <v>3325</v>
      </c>
      <c r="B3240" t="s">
        <v>109</v>
      </c>
      <c r="C3240" t="s">
        <v>34</v>
      </c>
      <c r="D3240" t="s">
        <v>48</v>
      </c>
      <c r="E3240" t="s">
        <v>56</v>
      </c>
      <c r="F3240" s="1">
        <v>45969</v>
      </c>
      <c r="G3240">
        <v>3</v>
      </c>
      <c r="H3240">
        <v>8774.7800000000007</v>
      </c>
      <c r="I3240">
        <v>15</v>
      </c>
      <c r="J3240" t="s">
        <v>31</v>
      </c>
      <c r="K3240">
        <v>3948.65</v>
      </c>
      <c r="L3240">
        <v>26324.34</v>
      </c>
      <c r="M3240">
        <v>22375.69</v>
      </c>
      <c r="N3240" t="s">
        <v>96</v>
      </c>
      <c r="O3240">
        <v>2025</v>
      </c>
    </row>
    <row r="3241" spans="1:15" x14ac:dyDescent="0.3">
      <c r="A3241" t="s">
        <v>3326</v>
      </c>
      <c r="B3241" t="s">
        <v>38</v>
      </c>
      <c r="C3241" t="s">
        <v>54</v>
      </c>
      <c r="D3241" t="s">
        <v>137</v>
      </c>
      <c r="E3241" t="s">
        <v>19</v>
      </c>
      <c r="F3241" s="1">
        <v>45463</v>
      </c>
      <c r="G3241">
        <v>6</v>
      </c>
      <c r="H3241">
        <v>849.49</v>
      </c>
      <c r="I3241">
        <v>15</v>
      </c>
      <c r="J3241" t="s">
        <v>45</v>
      </c>
      <c r="K3241">
        <v>764.54</v>
      </c>
      <c r="L3241">
        <v>5096.9399999999996</v>
      </c>
      <c r="M3241">
        <v>4332.3999999999996</v>
      </c>
      <c r="N3241" t="s">
        <v>72</v>
      </c>
      <c r="O3241">
        <v>2024</v>
      </c>
    </row>
    <row r="3242" spans="1:15" x14ac:dyDescent="0.3">
      <c r="A3242" t="s">
        <v>3327</v>
      </c>
      <c r="B3242" t="s">
        <v>109</v>
      </c>
      <c r="C3242" t="s">
        <v>62</v>
      </c>
      <c r="D3242" t="s">
        <v>95</v>
      </c>
      <c r="E3242" t="s">
        <v>50</v>
      </c>
      <c r="F3242" s="1">
        <v>45581</v>
      </c>
      <c r="G3242">
        <v>8</v>
      </c>
      <c r="H3242">
        <v>950.55</v>
      </c>
      <c r="I3242">
        <v>0</v>
      </c>
      <c r="J3242" t="s">
        <v>45</v>
      </c>
      <c r="K3242">
        <v>0</v>
      </c>
      <c r="L3242">
        <v>7604.4</v>
      </c>
      <c r="M3242">
        <v>7604.4</v>
      </c>
      <c r="N3242" t="s">
        <v>57</v>
      </c>
      <c r="O3242">
        <v>2024</v>
      </c>
    </row>
    <row r="3243" spans="1:15" x14ac:dyDescent="0.3">
      <c r="A3243" t="s">
        <v>3328</v>
      </c>
      <c r="B3243" t="s">
        <v>65</v>
      </c>
      <c r="C3243" t="s">
        <v>90</v>
      </c>
      <c r="D3243" t="s">
        <v>91</v>
      </c>
      <c r="E3243" t="s">
        <v>81</v>
      </c>
      <c r="F3243" s="1">
        <v>45825</v>
      </c>
      <c r="G3243">
        <v>9</v>
      </c>
      <c r="H3243">
        <v>1693.09</v>
      </c>
      <c r="I3243">
        <v>10</v>
      </c>
      <c r="J3243" t="s">
        <v>40</v>
      </c>
      <c r="K3243">
        <v>1523.78</v>
      </c>
      <c r="L3243">
        <v>15237.81</v>
      </c>
      <c r="M3243">
        <v>13714.03</v>
      </c>
      <c r="N3243" t="s">
        <v>72</v>
      </c>
      <c r="O3243">
        <v>2025</v>
      </c>
    </row>
    <row r="3244" spans="1:15" x14ac:dyDescent="0.3">
      <c r="A3244" t="s">
        <v>3329</v>
      </c>
      <c r="B3244" t="s">
        <v>93</v>
      </c>
      <c r="C3244" t="s">
        <v>90</v>
      </c>
      <c r="D3244" t="s">
        <v>152</v>
      </c>
      <c r="E3244" t="s">
        <v>19</v>
      </c>
      <c r="F3244" s="1">
        <v>45351</v>
      </c>
      <c r="G3244">
        <v>1</v>
      </c>
      <c r="H3244">
        <v>9923.11</v>
      </c>
      <c r="I3244">
        <v>20</v>
      </c>
      <c r="J3244" t="s">
        <v>20</v>
      </c>
      <c r="K3244">
        <v>1984.62</v>
      </c>
      <c r="L3244">
        <v>9923.11</v>
      </c>
      <c r="M3244">
        <v>7938.49</v>
      </c>
      <c r="N3244" t="s">
        <v>41</v>
      </c>
      <c r="O3244">
        <v>2024</v>
      </c>
    </row>
    <row r="3245" spans="1:15" x14ac:dyDescent="0.3">
      <c r="A3245" t="s">
        <v>3330</v>
      </c>
      <c r="B3245" t="s">
        <v>89</v>
      </c>
      <c r="C3245" t="s">
        <v>62</v>
      </c>
      <c r="D3245" t="s">
        <v>99</v>
      </c>
      <c r="E3245" t="s">
        <v>19</v>
      </c>
      <c r="F3245" s="1">
        <v>45505</v>
      </c>
      <c r="G3245">
        <v>6</v>
      </c>
      <c r="H3245">
        <v>1486.52</v>
      </c>
      <c r="I3245">
        <v>20</v>
      </c>
      <c r="J3245" t="s">
        <v>31</v>
      </c>
      <c r="K3245">
        <v>1783.82</v>
      </c>
      <c r="L3245">
        <v>8919.1200000000008</v>
      </c>
      <c r="M3245">
        <v>7135.3</v>
      </c>
      <c r="N3245" t="s">
        <v>21</v>
      </c>
      <c r="O3245">
        <v>2024</v>
      </c>
    </row>
    <row r="3246" spans="1:15" x14ac:dyDescent="0.3">
      <c r="A3246" t="s">
        <v>3331</v>
      </c>
      <c r="B3246" t="s">
        <v>38</v>
      </c>
      <c r="C3246" t="s">
        <v>62</v>
      </c>
      <c r="D3246" t="s">
        <v>63</v>
      </c>
      <c r="E3246" t="s">
        <v>50</v>
      </c>
      <c r="F3246" s="1">
        <v>45945</v>
      </c>
      <c r="G3246">
        <v>2</v>
      </c>
      <c r="H3246">
        <v>2007.56</v>
      </c>
      <c r="I3246">
        <v>15</v>
      </c>
      <c r="J3246" t="s">
        <v>71</v>
      </c>
      <c r="K3246">
        <v>602.27</v>
      </c>
      <c r="L3246">
        <v>4015.12</v>
      </c>
      <c r="M3246">
        <v>3412.85</v>
      </c>
      <c r="N3246" t="s">
        <v>57</v>
      </c>
      <c r="O3246">
        <v>2025</v>
      </c>
    </row>
    <row r="3247" spans="1:15" x14ac:dyDescent="0.3">
      <c r="A3247" t="s">
        <v>3332</v>
      </c>
      <c r="B3247" t="s">
        <v>74</v>
      </c>
      <c r="C3247" t="s">
        <v>90</v>
      </c>
      <c r="D3247" t="s">
        <v>107</v>
      </c>
      <c r="E3247" t="s">
        <v>30</v>
      </c>
      <c r="F3247" s="1">
        <v>45706</v>
      </c>
      <c r="G3247">
        <v>6</v>
      </c>
      <c r="H3247">
        <v>10877.67</v>
      </c>
      <c r="I3247">
        <v>15</v>
      </c>
      <c r="J3247" t="s">
        <v>45</v>
      </c>
      <c r="K3247">
        <v>9789.9</v>
      </c>
      <c r="L3247">
        <v>65266.02</v>
      </c>
      <c r="M3247">
        <v>55476.12</v>
      </c>
      <c r="N3247" t="s">
        <v>41</v>
      </c>
      <c r="O3247">
        <v>2025</v>
      </c>
    </row>
    <row r="3248" spans="1:15" x14ac:dyDescent="0.3">
      <c r="A3248" t="s">
        <v>3333</v>
      </c>
      <c r="B3248" t="s">
        <v>109</v>
      </c>
      <c r="C3248" t="s">
        <v>17</v>
      </c>
      <c r="D3248" t="s">
        <v>157</v>
      </c>
      <c r="E3248" t="s">
        <v>30</v>
      </c>
      <c r="F3248" s="1">
        <v>45376</v>
      </c>
      <c r="G3248">
        <v>5</v>
      </c>
      <c r="H3248">
        <v>7803.29</v>
      </c>
      <c r="I3248">
        <v>10</v>
      </c>
      <c r="J3248" t="s">
        <v>26</v>
      </c>
      <c r="K3248">
        <v>3901.64</v>
      </c>
      <c r="L3248">
        <v>39016.449999999997</v>
      </c>
      <c r="M3248">
        <v>35114.81</v>
      </c>
      <c r="N3248" t="s">
        <v>83</v>
      </c>
      <c r="O3248">
        <v>2024</v>
      </c>
    </row>
    <row r="3249" spans="1:15" x14ac:dyDescent="0.3">
      <c r="A3249" t="s">
        <v>3334</v>
      </c>
      <c r="B3249" t="s">
        <v>109</v>
      </c>
      <c r="C3249" t="s">
        <v>17</v>
      </c>
      <c r="D3249" t="s">
        <v>59</v>
      </c>
      <c r="E3249" t="s">
        <v>44</v>
      </c>
      <c r="F3249" s="1">
        <v>45813</v>
      </c>
      <c r="G3249">
        <v>7</v>
      </c>
      <c r="H3249">
        <v>27882.16</v>
      </c>
      <c r="I3249">
        <v>10</v>
      </c>
      <c r="J3249" t="s">
        <v>31</v>
      </c>
      <c r="K3249">
        <v>19517.509999999998</v>
      </c>
      <c r="L3249">
        <v>195175.12</v>
      </c>
      <c r="M3249">
        <v>175657.61</v>
      </c>
      <c r="N3249" t="s">
        <v>72</v>
      </c>
      <c r="O3249">
        <v>2025</v>
      </c>
    </row>
    <row r="3250" spans="1:15" x14ac:dyDescent="0.3">
      <c r="A3250" t="s">
        <v>3335</v>
      </c>
      <c r="B3250" t="s">
        <v>89</v>
      </c>
      <c r="C3250" t="s">
        <v>17</v>
      </c>
      <c r="D3250" t="s">
        <v>24</v>
      </c>
      <c r="E3250" t="s">
        <v>44</v>
      </c>
      <c r="F3250" s="1">
        <v>45297</v>
      </c>
      <c r="G3250">
        <v>1</v>
      </c>
      <c r="H3250">
        <v>3426.31</v>
      </c>
      <c r="I3250">
        <v>15</v>
      </c>
      <c r="J3250" t="s">
        <v>82</v>
      </c>
      <c r="K3250">
        <v>513.95000000000005</v>
      </c>
      <c r="L3250">
        <v>3426.31</v>
      </c>
      <c r="M3250">
        <v>2912.36</v>
      </c>
      <c r="N3250" t="s">
        <v>116</v>
      </c>
      <c r="O3250">
        <v>2024</v>
      </c>
    </row>
    <row r="3251" spans="1:15" x14ac:dyDescent="0.3">
      <c r="A3251" t="s">
        <v>3336</v>
      </c>
      <c r="B3251" t="s">
        <v>93</v>
      </c>
      <c r="C3251" t="s">
        <v>90</v>
      </c>
      <c r="D3251" t="s">
        <v>91</v>
      </c>
      <c r="E3251" t="s">
        <v>25</v>
      </c>
      <c r="F3251" s="1">
        <v>45394</v>
      </c>
      <c r="G3251">
        <v>8</v>
      </c>
      <c r="H3251">
        <v>1400.84</v>
      </c>
      <c r="I3251">
        <v>5</v>
      </c>
      <c r="J3251" t="s">
        <v>40</v>
      </c>
      <c r="K3251">
        <v>560.34</v>
      </c>
      <c r="L3251">
        <v>11206.72</v>
      </c>
      <c r="M3251">
        <v>10646.38</v>
      </c>
      <c r="N3251" t="s">
        <v>27</v>
      </c>
      <c r="O3251">
        <v>2024</v>
      </c>
    </row>
    <row r="3252" spans="1:15" x14ac:dyDescent="0.3">
      <c r="A3252" t="s">
        <v>3337</v>
      </c>
      <c r="B3252" t="s">
        <v>23</v>
      </c>
      <c r="C3252" t="s">
        <v>17</v>
      </c>
      <c r="D3252" t="s">
        <v>157</v>
      </c>
      <c r="E3252" t="s">
        <v>50</v>
      </c>
      <c r="F3252" s="1">
        <v>45805</v>
      </c>
      <c r="G3252">
        <v>2</v>
      </c>
      <c r="H3252">
        <v>6513</v>
      </c>
      <c r="I3252">
        <v>5</v>
      </c>
      <c r="J3252" t="s">
        <v>20</v>
      </c>
      <c r="K3252">
        <v>651.29999999999995</v>
      </c>
      <c r="L3252">
        <v>13026</v>
      </c>
      <c r="M3252">
        <v>12374.7</v>
      </c>
      <c r="N3252" t="s">
        <v>101</v>
      </c>
      <c r="O3252">
        <v>2025</v>
      </c>
    </row>
    <row r="3253" spans="1:15" x14ac:dyDescent="0.3">
      <c r="A3253" t="s">
        <v>3338</v>
      </c>
      <c r="B3253" t="s">
        <v>53</v>
      </c>
      <c r="C3253" t="s">
        <v>34</v>
      </c>
      <c r="D3253" t="s">
        <v>85</v>
      </c>
      <c r="E3253" t="s">
        <v>81</v>
      </c>
      <c r="F3253" s="1">
        <v>45477</v>
      </c>
      <c r="G3253">
        <v>3</v>
      </c>
      <c r="H3253">
        <v>12468.2</v>
      </c>
      <c r="I3253">
        <v>10</v>
      </c>
      <c r="J3253" t="s">
        <v>36</v>
      </c>
      <c r="K3253">
        <v>3740.46</v>
      </c>
      <c r="L3253">
        <v>37404.6</v>
      </c>
      <c r="M3253">
        <v>33664.14</v>
      </c>
      <c r="N3253" t="s">
        <v>122</v>
      </c>
      <c r="O3253">
        <v>2024</v>
      </c>
    </row>
    <row r="3254" spans="1:15" x14ac:dyDescent="0.3">
      <c r="A3254" t="s">
        <v>3339</v>
      </c>
      <c r="B3254" t="s">
        <v>43</v>
      </c>
      <c r="C3254" t="s">
        <v>17</v>
      </c>
      <c r="D3254" t="s">
        <v>24</v>
      </c>
      <c r="E3254" t="s">
        <v>56</v>
      </c>
      <c r="F3254" s="1">
        <v>45451</v>
      </c>
      <c r="G3254">
        <v>9</v>
      </c>
      <c r="H3254">
        <v>2844.45</v>
      </c>
      <c r="I3254">
        <v>20</v>
      </c>
      <c r="J3254" t="s">
        <v>45</v>
      </c>
      <c r="K3254">
        <v>5120.01</v>
      </c>
      <c r="L3254">
        <v>25600.05</v>
      </c>
      <c r="M3254">
        <v>20480.04</v>
      </c>
      <c r="N3254" t="s">
        <v>72</v>
      </c>
      <c r="O3254">
        <v>2024</v>
      </c>
    </row>
    <row r="3255" spans="1:15" x14ac:dyDescent="0.3">
      <c r="A3255" t="s">
        <v>3340</v>
      </c>
      <c r="B3255" t="s">
        <v>43</v>
      </c>
      <c r="C3255" t="s">
        <v>54</v>
      </c>
      <c r="D3255" t="s">
        <v>77</v>
      </c>
      <c r="E3255" t="s">
        <v>25</v>
      </c>
      <c r="F3255" s="1">
        <v>45571</v>
      </c>
      <c r="G3255">
        <v>2</v>
      </c>
      <c r="H3255">
        <v>5003.6400000000003</v>
      </c>
      <c r="I3255">
        <v>20</v>
      </c>
      <c r="J3255" t="s">
        <v>26</v>
      </c>
      <c r="K3255">
        <v>2001.46</v>
      </c>
      <c r="L3255">
        <v>10007.280000000001</v>
      </c>
      <c r="M3255">
        <v>8005.82</v>
      </c>
      <c r="N3255" t="s">
        <v>57</v>
      </c>
      <c r="O3255">
        <v>2024</v>
      </c>
    </row>
    <row r="3256" spans="1:15" x14ac:dyDescent="0.3">
      <c r="A3256" t="s">
        <v>3341</v>
      </c>
      <c r="B3256" t="s">
        <v>93</v>
      </c>
      <c r="C3256" t="s">
        <v>62</v>
      </c>
      <c r="D3256" t="s">
        <v>99</v>
      </c>
      <c r="E3256" t="s">
        <v>44</v>
      </c>
      <c r="F3256" s="1">
        <v>45525</v>
      </c>
      <c r="G3256">
        <v>6</v>
      </c>
      <c r="H3256">
        <v>1683.72</v>
      </c>
      <c r="I3256">
        <v>0</v>
      </c>
      <c r="J3256" t="s">
        <v>82</v>
      </c>
      <c r="K3256">
        <v>0</v>
      </c>
      <c r="L3256">
        <v>10102.32</v>
      </c>
      <c r="M3256">
        <v>10102.32</v>
      </c>
      <c r="N3256" t="s">
        <v>21</v>
      </c>
      <c r="O3256">
        <v>2024</v>
      </c>
    </row>
    <row r="3257" spans="1:15" x14ac:dyDescent="0.3">
      <c r="A3257" t="s">
        <v>3342</v>
      </c>
      <c r="B3257" t="s">
        <v>33</v>
      </c>
      <c r="C3257" t="s">
        <v>17</v>
      </c>
      <c r="D3257" t="s">
        <v>59</v>
      </c>
      <c r="E3257" t="s">
        <v>30</v>
      </c>
      <c r="F3257" s="1">
        <v>45613</v>
      </c>
      <c r="G3257">
        <v>4</v>
      </c>
      <c r="H3257">
        <v>26940.959999999999</v>
      </c>
      <c r="I3257">
        <v>15</v>
      </c>
      <c r="J3257" t="s">
        <v>26</v>
      </c>
      <c r="K3257">
        <v>16164.58</v>
      </c>
      <c r="L3257">
        <v>107763.84</v>
      </c>
      <c r="M3257">
        <v>91599.26</v>
      </c>
      <c r="N3257" t="s">
        <v>96</v>
      </c>
      <c r="O3257">
        <v>2024</v>
      </c>
    </row>
    <row r="3258" spans="1:15" x14ac:dyDescent="0.3">
      <c r="A3258" t="s">
        <v>3343</v>
      </c>
      <c r="B3258" t="s">
        <v>74</v>
      </c>
      <c r="C3258" t="s">
        <v>34</v>
      </c>
      <c r="D3258" t="s">
        <v>85</v>
      </c>
      <c r="E3258" t="s">
        <v>30</v>
      </c>
      <c r="F3258" s="1">
        <v>45299</v>
      </c>
      <c r="G3258">
        <v>7</v>
      </c>
      <c r="H3258">
        <v>11667.8</v>
      </c>
      <c r="I3258">
        <v>10</v>
      </c>
      <c r="J3258" t="s">
        <v>36</v>
      </c>
      <c r="K3258">
        <v>8167.46</v>
      </c>
      <c r="L3258">
        <v>81674.600000000006</v>
      </c>
      <c r="M3258">
        <v>73507.14</v>
      </c>
      <c r="N3258" t="s">
        <v>116</v>
      </c>
      <c r="O3258">
        <v>2024</v>
      </c>
    </row>
    <row r="3259" spans="1:15" x14ac:dyDescent="0.3">
      <c r="A3259" t="s">
        <v>3344</v>
      </c>
      <c r="B3259" t="s">
        <v>109</v>
      </c>
      <c r="C3259" t="s">
        <v>90</v>
      </c>
      <c r="D3259" t="s">
        <v>91</v>
      </c>
      <c r="E3259" t="s">
        <v>81</v>
      </c>
      <c r="F3259" s="1">
        <v>45828</v>
      </c>
      <c r="G3259">
        <v>4</v>
      </c>
      <c r="H3259">
        <v>1360.95</v>
      </c>
      <c r="I3259">
        <v>20</v>
      </c>
      <c r="J3259" t="s">
        <v>71</v>
      </c>
      <c r="K3259">
        <v>1088.76</v>
      </c>
      <c r="L3259">
        <v>5443.8</v>
      </c>
      <c r="M3259">
        <v>4355.04</v>
      </c>
      <c r="N3259" t="s">
        <v>72</v>
      </c>
      <c r="O3259">
        <v>2025</v>
      </c>
    </row>
    <row r="3260" spans="1:15" x14ac:dyDescent="0.3">
      <c r="A3260" t="s">
        <v>3345</v>
      </c>
      <c r="B3260" t="s">
        <v>109</v>
      </c>
      <c r="C3260" t="s">
        <v>17</v>
      </c>
      <c r="D3260" t="s">
        <v>18</v>
      </c>
      <c r="E3260" t="s">
        <v>19</v>
      </c>
      <c r="F3260" s="1">
        <v>45928</v>
      </c>
      <c r="G3260">
        <v>5</v>
      </c>
      <c r="H3260">
        <v>73288.039999999994</v>
      </c>
      <c r="I3260">
        <v>10</v>
      </c>
      <c r="J3260" t="s">
        <v>82</v>
      </c>
      <c r="K3260">
        <v>36644.019999999997</v>
      </c>
      <c r="L3260">
        <v>366440.2</v>
      </c>
      <c r="M3260">
        <v>329796.18</v>
      </c>
      <c r="N3260" t="s">
        <v>86</v>
      </c>
      <c r="O3260">
        <v>2025</v>
      </c>
    </row>
    <row r="3261" spans="1:15" x14ac:dyDescent="0.3">
      <c r="A3261" t="s">
        <v>3346</v>
      </c>
      <c r="B3261" t="s">
        <v>47</v>
      </c>
      <c r="C3261" t="s">
        <v>34</v>
      </c>
      <c r="D3261" t="s">
        <v>48</v>
      </c>
      <c r="E3261" t="s">
        <v>81</v>
      </c>
      <c r="F3261" s="1">
        <v>45421</v>
      </c>
      <c r="G3261">
        <v>9</v>
      </c>
      <c r="H3261">
        <v>8721.9</v>
      </c>
      <c r="I3261">
        <v>0</v>
      </c>
      <c r="J3261" t="s">
        <v>45</v>
      </c>
      <c r="K3261">
        <v>0</v>
      </c>
      <c r="L3261">
        <v>78497.100000000006</v>
      </c>
      <c r="M3261">
        <v>78497.100000000006</v>
      </c>
      <c r="N3261" t="s">
        <v>101</v>
      </c>
      <c r="O3261">
        <v>2024</v>
      </c>
    </row>
    <row r="3262" spans="1:15" x14ac:dyDescent="0.3">
      <c r="A3262" t="s">
        <v>3347</v>
      </c>
      <c r="B3262" t="s">
        <v>89</v>
      </c>
      <c r="C3262" t="s">
        <v>62</v>
      </c>
      <c r="D3262" t="s">
        <v>119</v>
      </c>
      <c r="E3262" t="s">
        <v>81</v>
      </c>
      <c r="F3262" s="1">
        <v>45757</v>
      </c>
      <c r="G3262">
        <v>5</v>
      </c>
      <c r="H3262">
        <v>3791.17</v>
      </c>
      <c r="I3262">
        <v>5</v>
      </c>
      <c r="J3262" t="s">
        <v>31</v>
      </c>
      <c r="K3262">
        <v>947.79</v>
      </c>
      <c r="L3262">
        <v>18955.849999999999</v>
      </c>
      <c r="M3262">
        <v>18008.060000000001</v>
      </c>
      <c r="N3262" t="s">
        <v>27</v>
      </c>
      <c r="O3262">
        <v>2025</v>
      </c>
    </row>
    <row r="3263" spans="1:15" x14ac:dyDescent="0.3">
      <c r="A3263" t="s">
        <v>3348</v>
      </c>
      <c r="B3263" t="s">
        <v>53</v>
      </c>
      <c r="C3263" t="s">
        <v>54</v>
      </c>
      <c r="D3263" t="s">
        <v>70</v>
      </c>
      <c r="E3263" t="s">
        <v>25</v>
      </c>
      <c r="F3263" s="1">
        <v>45315</v>
      </c>
      <c r="G3263">
        <v>7</v>
      </c>
      <c r="H3263">
        <v>2388.7600000000002</v>
      </c>
      <c r="I3263">
        <v>10</v>
      </c>
      <c r="J3263" t="s">
        <v>20</v>
      </c>
      <c r="K3263">
        <v>1672.13</v>
      </c>
      <c r="L3263">
        <v>16721.32</v>
      </c>
      <c r="M3263">
        <v>15049.19</v>
      </c>
      <c r="N3263" t="s">
        <v>116</v>
      </c>
      <c r="O3263">
        <v>2024</v>
      </c>
    </row>
    <row r="3264" spans="1:15" x14ac:dyDescent="0.3">
      <c r="A3264" t="s">
        <v>3349</v>
      </c>
      <c r="B3264" t="s">
        <v>61</v>
      </c>
      <c r="C3264" t="s">
        <v>90</v>
      </c>
      <c r="D3264" t="s">
        <v>91</v>
      </c>
      <c r="E3264" t="s">
        <v>30</v>
      </c>
      <c r="F3264" s="1">
        <v>45981</v>
      </c>
      <c r="G3264">
        <v>4</v>
      </c>
      <c r="H3264">
        <v>1676.67</v>
      </c>
      <c r="I3264">
        <v>20</v>
      </c>
      <c r="J3264" t="s">
        <v>26</v>
      </c>
      <c r="K3264">
        <v>1341.34</v>
      </c>
      <c r="L3264">
        <v>6706.68</v>
      </c>
      <c r="M3264">
        <v>5365.34</v>
      </c>
      <c r="N3264" t="s">
        <v>96</v>
      </c>
      <c r="O3264">
        <v>2025</v>
      </c>
    </row>
    <row r="3265" spans="1:15" x14ac:dyDescent="0.3">
      <c r="A3265" t="s">
        <v>3350</v>
      </c>
      <c r="B3265" t="s">
        <v>47</v>
      </c>
      <c r="C3265" t="s">
        <v>17</v>
      </c>
      <c r="D3265" t="s">
        <v>59</v>
      </c>
      <c r="E3265" t="s">
        <v>50</v>
      </c>
      <c r="F3265" s="1">
        <v>45548</v>
      </c>
      <c r="G3265">
        <v>4</v>
      </c>
      <c r="H3265">
        <v>27637.62</v>
      </c>
      <c r="I3265">
        <v>15</v>
      </c>
      <c r="J3265" t="s">
        <v>71</v>
      </c>
      <c r="K3265">
        <v>16582.57</v>
      </c>
      <c r="L3265">
        <v>110550.48</v>
      </c>
      <c r="M3265">
        <v>93967.91</v>
      </c>
      <c r="N3265" t="s">
        <v>86</v>
      </c>
      <c r="O3265">
        <v>2024</v>
      </c>
    </row>
    <row r="3266" spans="1:15" x14ac:dyDescent="0.3">
      <c r="A3266" t="s">
        <v>3351</v>
      </c>
      <c r="B3266" t="s">
        <v>109</v>
      </c>
      <c r="C3266" t="s">
        <v>54</v>
      </c>
      <c r="D3266" t="s">
        <v>77</v>
      </c>
      <c r="E3266" t="s">
        <v>19</v>
      </c>
      <c r="F3266" s="1">
        <v>45857</v>
      </c>
      <c r="G3266">
        <v>6</v>
      </c>
      <c r="H3266">
        <v>5697.28</v>
      </c>
      <c r="I3266">
        <v>15</v>
      </c>
      <c r="J3266" t="s">
        <v>45</v>
      </c>
      <c r="K3266">
        <v>5127.55</v>
      </c>
      <c r="L3266">
        <v>34183.68</v>
      </c>
      <c r="M3266">
        <v>29056.13</v>
      </c>
      <c r="N3266" t="s">
        <v>122</v>
      </c>
      <c r="O3266">
        <v>2025</v>
      </c>
    </row>
    <row r="3267" spans="1:15" x14ac:dyDescent="0.3">
      <c r="A3267" t="s">
        <v>3352</v>
      </c>
      <c r="B3267" t="s">
        <v>93</v>
      </c>
      <c r="C3267" t="s">
        <v>62</v>
      </c>
      <c r="D3267" t="s">
        <v>132</v>
      </c>
      <c r="E3267" t="s">
        <v>19</v>
      </c>
      <c r="F3267" s="1">
        <v>45849</v>
      </c>
      <c r="G3267">
        <v>5</v>
      </c>
      <c r="H3267">
        <v>2366.61</v>
      </c>
      <c r="I3267">
        <v>0</v>
      </c>
      <c r="J3267" t="s">
        <v>26</v>
      </c>
      <c r="K3267">
        <v>0</v>
      </c>
      <c r="L3267">
        <v>11833.05</v>
      </c>
      <c r="M3267">
        <v>11833.05</v>
      </c>
      <c r="N3267" t="s">
        <v>122</v>
      </c>
      <c r="O3267">
        <v>2025</v>
      </c>
    </row>
    <row r="3268" spans="1:15" x14ac:dyDescent="0.3">
      <c r="A3268" t="s">
        <v>3353</v>
      </c>
      <c r="B3268" t="s">
        <v>23</v>
      </c>
      <c r="C3268" t="s">
        <v>90</v>
      </c>
      <c r="D3268" t="s">
        <v>91</v>
      </c>
      <c r="E3268" t="s">
        <v>81</v>
      </c>
      <c r="F3268" s="1">
        <v>45998</v>
      </c>
      <c r="G3268">
        <v>5</v>
      </c>
      <c r="H3268">
        <v>1633.21</v>
      </c>
      <c r="I3268">
        <v>5</v>
      </c>
      <c r="J3268" t="s">
        <v>26</v>
      </c>
      <c r="K3268">
        <v>408.3</v>
      </c>
      <c r="L3268">
        <v>8166.05</v>
      </c>
      <c r="M3268">
        <v>7757.75</v>
      </c>
      <c r="N3268" t="s">
        <v>51</v>
      </c>
      <c r="O3268">
        <v>2025</v>
      </c>
    </row>
    <row r="3269" spans="1:15" x14ac:dyDescent="0.3">
      <c r="A3269" t="s">
        <v>3354</v>
      </c>
      <c r="B3269" t="s">
        <v>74</v>
      </c>
      <c r="C3269" t="s">
        <v>54</v>
      </c>
      <c r="D3269" t="s">
        <v>77</v>
      </c>
      <c r="E3269" t="s">
        <v>81</v>
      </c>
      <c r="F3269" s="1">
        <v>45307</v>
      </c>
      <c r="G3269">
        <v>7</v>
      </c>
      <c r="H3269">
        <v>4583.3500000000004</v>
      </c>
      <c r="I3269">
        <v>0</v>
      </c>
      <c r="J3269" t="s">
        <v>31</v>
      </c>
      <c r="K3269">
        <v>0</v>
      </c>
      <c r="L3269">
        <v>32083.45</v>
      </c>
      <c r="M3269">
        <v>32083.45</v>
      </c>
      <c r="N3269" t="s">
        <v>116</v>
      </c>
      <c r="O3269">
        <v>2024</v>
      </c>
    </row>
    <row r="3270" spans="1:15" x14ac:dyDescent="0.3">
      <c r="A3270" t="s">
        <v>3355</v>
      </c>
      <c r="B3270" t="s">
        <v>23</v>
      </c>
      <c r="C3270" t="s">
        <v>90</v>
      </c>
      <c r="D3270" t="s">
        <v>115</v>
      </c>
      <c r="E3270" t="s">
        <v>56</v>
      </c>
      <c r="F3270" s="1">
        <v>45531</v>
      </c>
      <c r="G3270">
        <v>8</v>
      </c>
      <c r="H3270">
        <v>8712.2900000000009</v>
      </c>
      <c r="I3270">
        <v>10</v>
      </c>
      <c r="J3270" t="s">
        <v>20</v>
      </c>
      <c r="K3270">
        <v>6969.83</v>
      </c>
      <c r="L3270">
        <v>69698.320000000007</v>
      </c>
      <c r="M3270">
        <v>62728.49</v>
      </c>
      <c r="N3270" t="s">
        <v>21</v>
      </c>
      <c r="O3270">
        <v>2024</v>
      </c>
    </row>
    <row r="3271" spans="1:15" x14ac:dyDescent="0.3">
      <c r="A3271" t="s">
        <v>3356</v>
      </c>
      <c r="B3271" t="s">
        <v>47</v>
      </c>
      <c r="C3271" t="s">
        <v>90</v>
      </c>
      <c r="D3271" t="s">
        <v>105</v>
      </c>
      <c r="E3271" t="s">
        <v>56</v>
      </c>
      <c r="F3271" s="1">
        <v>45439</v>
      </c>
      <c r="G3271">
        <v>8</v>
      </c>
      <c r="H3271">
        <v>3512.58</v>
      </c>
      <c r="I3271">
        <v>5</v>
      </c>
      <c r="J3271" t="s">
        <v>45</v>
      </c>
      <c r="K3271">
        <v>1405.03</v>
      </c>
      <c r="L3271">
        <v>28100.639999999999</v>
      </c>
      <c r="M3271">
        <v>26695.61</v>
      </c>
      <c r="N3271" t="s">
        <v>101</v>
      </c>
      <c r="O3271">
        <v>2024</v>
      </c>
    </row>
    <row r="3272" spans="1:15" x14ac:dyDescent="0.3">
      <c r="A3272" t="s">
        <v>3357</v>
      </c>
      <c r="B3272" t="s">
        <v>47</v>
      </c>
      <c r="C3272" t="s">
        <v>90</v>
      </c>
      <c r="D3272" t="s">
        <v>91</v>
      </c>
      <c r="E3272" t="s">
        <v>19</v>
      </c>
      <c r="F3272" s="1">
        <v>45435</v>
      </c>
      <c r="G3272">
        <v>6</v>
      </c>
      <c r="H3272">
        <v>1432.48</v>
      </c>
      <c r="I3272">
        <v>0</v>
      </c>
      <c r="J3272" t="s">
        <v>26</v>
      </c>
      <c r="K3272">
        <v>0</v>
      </c>
      <c r="L3272">
        <v>8594.8799999999992</v>
      </c>
      <c r="M3272">
        <v>8594.8799999999992</v>
      </c>
      <c r="N3272" t="s">
        <v>101</v>
      </c>
      <c r="O3272">
        <v>2024</v>
      </c>
    </row>
    <row r="3273" spans="1:15" x14ac:dyDescent="0.3">
      <c r="A3273" t="s">
        <v>3358</v>
      </c>
      <c r="B3273" t="s">
        <v>29</v>
      </c>
      <c r="C3273" t="s">
        <v>54</v>
      </c>
      <c r="D3273" t="s">
        <v>137</v>
      </c>
      <c r="E3273" t="s">
        <v>56</v>
      </c>
      <c r="F3273" s="1">
        <v>45922</v>
      </c>
      <c r="G3273">
        <v>10</v>
      </c>
      <c r="H3273">
        <v>846.16</v>
      </c>
      <c r="I3273">
        <v>20</v>
      </c>
      <c r="J3273" t="s">
        <v>31</v>
      </c>
      <c r="K3273">
        <v>1692.32</v>
      </c>
      <c r="L3273">
        <v>8461.6</v>
      </c>
      <c r="M3273">
        <v>6769.28</v>
      </c>
      <c r="N3273" t="s">
        <v>86</v>
      </c>
      <c r="O3273">
        <v>2025</v>
      </c>
    </row>
    <row r="3274" spans="1:15" x14ac:dyDescent="0.3">
      <c r="A3274" t="s">
        <v>3359</v>
      </c>
      <c r="B3274" t="s">
        <v>43</v>
      </c>
      <c r="C3274" t="s">
        <v>90</v>
      </c>
      <c r="D3274" t="s">
        <v>115</v>
      </c>
      <c r="E3274" t="s">
        <v>19</v>
      </c>
      <c r="F3274" s="1">
        <v>45802</v>
      </c>
      <c r="G3274">
        <v>3</v>
      </c>
      <c r="H3274">
        <v>7846.22</v>
      </c>
      <c r="I3274">
        <v>0</v>
      </c>
      <c r="J3274" t="s">
        <v>71</v>
      </c>
      <c r="K3274">
        <v>0</v>
      </c>
      <c r="L3274">
        <v>23538.66</v>
      </c>
      <c r="M3274">
        <v>23538.66</v>
      </c>
      <c r="N3274" t="s">
        <v>101</v>
      </c>
      <c r="O3274">
        <v>2025</v>
      </c>
    </row>
    <row r="3275" spans="1:15" x14ac:dyDescent="0.3">
      <c r="A3275" t="s">
        <v>3360</v>
      </c>
      <c r="B3275" t="s">
        <v>61</v>
      </c>
      <c r="C3275" t="s">
        <v>54</v>
      </c>
      <c r="D3275" t="s">
        <v>137</v>
      </c>
      <c r="E3275" t="s">
        <v>50</v>
      </c>
      <c r="F3275" s="1">
        <v>45436</v>
      </c>
      <c r="G3275">
        <v>5</v>
      </c>
      <c r="H3275">
        <v>849.17</v>
      </c>
      <c r="I3275">
        <v>10</v>
      </c>
      <c r="J3275" t="s">
        <v>20</v>
      </c>
      <c r="K3275">
        <v>424.59</v>
      </c>
      <c r="L3275">
        <v>4245.8500000000004</v>
      </c>
      <c r="M3275">
        <v>3821.26</v>
      </c>
      <c r="N3275" t="s">
        <v>101</v>
      </c>
      <c r="O3275">
        <v>2024</v>
      </c>
    </row>
    <row r="3276" spans="1:15" x14ac:dyDescent="0.3">
      <c r="A3276" t="s">
        <v>3361</v>
      </c>
      <c r="B3276" t="s">
        <v>74</v>
      </c>
      <c r="C3276" t="s">
        <v>54</v>
      </c>
      <c r="D3276" t="s">
        <v>70</v>
      </c>
      <c r="E3276" t="s">
        <v>25</v>
      </c>
      <c r="F3276" s="1">
        <v>45373</v>
      </c>
      <c r="G3276">
        <v>8</v>
      </c>
      <c r="H3276">
        <v>2693.4</v>
      </c>
      <c r="I3276">
        <v>10</v>
      </c>
      <c r="J3276" t="s">
        <v>40</v>
      </c>
      <c r="K3276">
        <v>2154.7199999999998</v>
      </c>
      <c r="L3276">
        <v>21547.200000000001</v>
      </c>
      <c r="M3276">
        <v>19392.48</v>
      </c>
      <c r="N3276" t="s">
        <v>83</v>
      </c>
      <c r="O3276">
        <v>2024</v>
      </c>
    </row>
    <row r="3277" spans="1:15" x14ac:dyDescent="0.3">
      <c r="A3277" t="s">
        <v>3362</v>
      </c>
      <c r="B3277" t="s">
        <v>33</v>
      </c>
      <c r="C3277" t="s">
        <v>17</v>
      </c>
      <c r="D3277" t="s">
        <v>39</v>
      </c>
      <c r="E3277" t="s">
        <v>50</v>
      </c>
      <c r="F3277" s="1">
        <v>45906</v>
      </c>
      <c r="G3277">
        <v>2</v>
      </c>
      <c r="H3277">
        <v>17674.330000000002</v>
      </c>
      <c r="I3277">
        <v>10</v>
      </c>
      <c r="J3277" t="s">
        <v>31</v>
      </c>
      <c r="K3277">
        <v>3534.87</v>
      </c>
      <c r="L3277">
        <v>35348.660000000003</v>
      </c>
      <c r="M3277">
        <v>31813.79</v>
      </c>
      <c r="N3277" t="s">
        <v>86</v>
      </c>
      <c r="O3277">
        <v>2025</v>
      </c>
    </row>
    <row r="3278" spans="1:15" x14ac:dyDescent="0.3">
      <c r="A3278" t="s">
        <v>3363</v>
      </c>
      <c r="B3278" t="s">
        <v>43</v>
      </c>
      <c r="C3278" t="s">
        <v>62</v>
      </c>
      <c r="D3278" t="s">
        <v>99</v>
      </c>
      <c r="E3278" t="s">
        <v>44</v>
      </c>
      <c r="F3278" s="1">
        <v>45685</v>
      </c>
      <c r="G3278">
        <v>3</v>
      </c>
      <c r="H3278">
        <v>1662.79</v>
      </c>
      <c r="I3278">
        <v>20</v>
      </c>
      <c r="J3278" t="s">
        <v>26</v>
      </c>
      <c r="K3278">
        <v>997.67</v>
      </c>
      <c r="L3278">
        <v>4988.37</v>
      </c>
      <c r="M3278">
        <v>3990.7</v>
      </c>
      <c r="N3278" t="s">
        <v>116</v>
      </c>
      <c r="O3278">
        <v>2025</v>
      </c>
    </row>
    <row r="3279" spans="1:15" x14ac:dyDescent="0.3">
      <c r="A3279" t="s">
        <v>3364</v>
      </c>
      <c r="B3279" t="s">
        <v>53</v>
      </c>
      <c r="C3279" t="s">
        <v>90</v>
      </c>
      <c r="D3279" t="s">
        <v>105</v>
      </c>
      <c r="E3279" t="s">
        <v>19</v>
      </c>
      <c r="F3279" s="1">
        <v>45669</v>
      </c>
      <c r="G3279">
        <v>8</v>
      </c>
      <c r="H3279">
        <v>3203.75</v>
      </c>
      <c r="I3279">
        <v>5</v>
      </c>
      <c r="J3279" t="s">
        <v>36</v>
      </c>
      <c r="K3279">
        <v>1281.5</v>
      </c>
      <c r="L3279">
        <v>25630</v>
      </c>
      <c r="M3279">
        <v>24348.5</v>
      </c>
      <c r="N3279" t="s">
        <v>116</v>
      </c>
      <c r="O3279">
        <v>2025</v>
      </c>
    </row>
    <row r="3280" spans="1:15" x14ac:dyDescent="0.3">
      <c r="A3280" t="s">
        <v>3365</v>
      </c>
      <c r="B3280" t="s">
        <v>93</v>
      </c>
      <c r="C3280" t="s">
        <v>34</v>
      </c>
      <c r="D3280" t="s">
        <v>85</v>
      </c>
      <c r="E3280" t="s">
        <v>44</v>
      </c>
      <c r="F3280" s="1">
        <v>45983</v>
      </c>
      <c r="G3280">
        <v>10</v>
      </c>
      <c r="H3280">
        <v>12840.68</v>
      </c>
      <c r="I3280">
        <v>5</v>
      </c>
      <c r="J3280" t="s">
        <v>45</v>
      </c>
      <c r="K3280">
        <v>6420.34</v>
      </c>
      <c r="L3280">
        <v>128406.8</v>
      </c>
      <c r="M3280">
        <v>121986.46</v>
      </c>
      <c r="N3280" t="s">
        <v>96</v>
      </c>
      <c r="O3280">
        <v>2025</v>
      </c>
    </row>
    <row r="3281" spans="1:15" x14ac:dyDescent="0.3">
      <c r="A3281" t="s">
        <v>3366</v>
      </c>
      <c r="B3281" t="s">
        <v>33</v>
      </c>
      <c r="C3281" t="s">
        <v>34</v>
      </c>
      <c r="D3281" t="s">
        <v>80</v>
      </c>
      <c r="E3281" t="s">
        <v>30</v>
      </c>
      <c r="F3281" s="1">
        <v>45829</v>
      </c>
      <c r="G3281">
        <v>7</v>
      </c>
      <c r="H3281">
        <v>5739.54</v>
      </c>
      <c r="I3281">
        <v>10</v>
      </c>
      <c r="J3281" t="s">
        <v>36</v>
      </c>
      <c r="K3281">
        <v>4017.68</v>
      </c>
      <c r="L3281">
        <v>40176.78</v>
      </c>
      <c r="M3281">
        <v>36159.1</v>
      </c>
      <c r="N3281" t="s">
        <v>72</v>
      </c>
      <c r="O3281">
        <v>2025</v>
      </c>
    </row>
    <row r="3282" spans="1:15" x14ac:dyDescent="0.3">
      <c r="A3282" t="s">
        <v>3367</v>
      </c>
      <c r="B3282" t="s">
        <v>93</v>
      </c>
      <c r="C3282" t="s">
        <v>17</v>
      </c>
      <c r="D3282" t="s">
        <v>59</v>
      </c>
      <c r="E3282" t="s">
        <v>56</v>
      </c>
      <c r="F3282" s="1">
        <v>45480</v>
      </c>
      <c r="G3282">
        <v>10</v>
      </c>
      <c r="H3282">
        <v>26250.59</v>
      </c>
      <c r="I3282">
        <v>15</v>
      </c>
      <c r="J3282" t="s">
        <v>31</v>
      </c>
      <c r="K3282">
        <v>39375.89</v>
      </c>
      <c r="L3282">
        <v>262505.90000000002</v>
      </c>
      <c r="M3282">
        <v>223130.01</v>
      </c>
      <c r="N3282" t="s">
        <v>122</v>
      </c>
      <c r="O3282">
        <v>2024</v>
      </c>
    </row>
    <row r="3283" spans="1:15" x14ac:dyDescent="0.3">
      <c r="A3283" t="s">
        <v>3368</v>
      </c>
      <c r="B3283" t="s">
        <v>89</v>
      </c>
      <c r="C3283" t="s">
        <v>34</v>
      </c>
      <c r="D3283" t="s">
        <v>80</v>
      </c>
      <c r="E3283" t="s">
        <v>19</v>
      </c>
      <c r="F3283" s="1">
        <v>45906</v>
      </c>
      <c r="G3283">
        <v>3</v>
      </c>
      <c r="H3283">
        <v>6643.83</v>
      </c>
      <c r="I3283">
        <v>0</v>
      </c>
      <c r="J3283" t="s">
        <v>36</v>
      </c>
      <c r="K3283">
        <v>0</v>
      </c>
      <c r="L3283">
        <v>19931.490000000002</v>
      </c>
      <c r="M3283">
        <v>19931.490000000002</v>
      </c>
      <c r="N3283" t="s">
        <v>86</v>
      </c>
      <c r="O3283">
        <v>2025</v>
      </c>
    </row>
    <row r="3284" spans="1:15" x14ac:dyDescent="0.3">
      <c r="A3284" t="s">
        <v>3369</v>
      </c>
      <c r="B3284" t="s">
        <v>23</v>
      </c>
      <c r="C3284" t="s">
        <v>62</v>
      </c>
      <c r="D3284" t="s">
        <v>95</v>
      </c>
      <c r="E3284" t="s">
        <v>56</v>
      </c>
      <c r="F3284" s="1">
        <v>45414</v>
      </c>
      <c r="G3284">
        <v>6</v>
      </c>
      <c r="H3284">
        <v>856.9</v>
      </c>
      <c r="I3284">
        <v>20</v>
      </c>
      <c r="J3284" t="s">
        <v>36</v>
      </c>
      <c r="K3284">
        <v>1028.28</v>
      </c>
      <c r="L3284">
        <v>5141.3999999999996</v>
      </c>
      <c r="M3284">
        <v>4113.12</v>
      </c>
      <c r="N3284" t="s">
        <v>101</v>
      </c>
      <c r="O3284">
        <v>2024</v>
      </c>
    </row>
    <row r="3285" spans="1:15" x14ac:dyDescent="0.3">
      <c r="A3285" t="s">
        <v>3370</v>
      </c>
      <c r="B3285" t="s">
        <v>23</v>
      </c>
      <c r="C3285" t="s">
        <v>34</v>
      </c>
      <c r="D3285" t="s">
        <v>35</v>
      </c>
      <c r="E3285" t="s">
        <v>81</v>
      </c>
      <c r="F3285" s="1">
        <v>45778</v>
      </c>
      <c r="G3285">
        <v>1</v>
      </c>
      <c r="H3285">
        <v>24976.34</v>
      </c>
      <c r="I3285">
        <v>5</v>
      </c>
      <c r="J3285" t="s">
        <v>20</v>
      </c>
      <c r="K3285">
        <v>1248.82</v>
      </c>
      <c r="L3285">
        <v>24976.34</v>
      </c>
      <c r="M3285">
        <v>23727.52</v>
      </c>
      <c r="N3285" t="s">
        <v>101</v>
      </c>
      <c r="O3285">
        <v>2025</v>
      </c>
    </row>
    <row r="3286" spans="1:15" x14ac:dyDescent="0.3">
      <c r="A3286" t="s">
        <v>3371</v>
      </c>
      <c r="B3286" t="s">
        <v>29</v>
      </c>
      <c r="C3286" t="s">
        <v>62</v>
      </c>
      <c r="D3286" t="s">
        <v>95</v>
      </c>
      <c r="E3286" t="s">
        <v>25</v>
      </c>
      <c r="F3286" s="1">
        <v>45892</v>
      </c>
      <c r="G3286">
        <v>3</v>
      </c>
      <c r="H3286">
        <v>820.02</v>
      </c>
      <c r="I3286">
        <v>10</v>
      </c>
      <c r="J3286" t="s">
        <v>20</v>
      </c>
      <c r="K3286">
        <v>246.01</v>
      </c>
      <c r="L3286">
        <v>2460.06</v>
      </c>
      <c r="M3286">
        <v>2214.0500000000002</v>
      </c>
      <c r="N3286" t="s">
        <v>21</v>
      </c>
      <c r="O3286">
        <v>2025</v>
      </c>
    </row>
    <row r="3287" spans="1:15" x14ac:dyDescent="0.3">
      <c r="A3287" t="s">
        <v>3372</v>
      </c>
      <c r="B3287" t="s">
        <v>109</v>
      </c>
      <c r="C3287" t="s">
        <v>54</v>
      </c>
      <c r="D3287" t="s">
        <v>137</v>
      </c>
      <c r="E3287" t="s">
        <v>50</v>
      </c>
      <c r="F3287" s="1">
        <v>45338</v>
      </c>
      <c r="G3287">
        <v>7</v>
      </c>
      <c r="H3287">
        <v>831.42</v>
      </c>
      <c r="I3287">
        <v>20</v>
      </c>
      <c r="J3287" t="s">
        <v>36</v>
      </c>
      <c r="K3287">
        <v>1163.99</v>
      </c>
      <c r="L3287">
        <v>5819.94</v>
      </c>
      <c r="M3287">
        <v>4655.95</v>
      </c>
      <c r="N3287" t="s">
        <v>41</v>
      </c>
      <c r="O3287">
        <v>2024</v>
      </c>
    </row>
    <row r="3288" spans="1:15" x14ac:dyDescent="0.3">
      <c r="A3288" t="s">
        <v>3373</v>
      </c>
      <c r="B3288" t="s">
        <v>93</v>
      </c>
      <c r="C3288" t="s">
        <v>17</v>
      </c>
      <c r="D3288" t="s">
        <v>18</v>
      </c>
      <c r="E3288" t="s">
        <v>50</v>
      </c>
      <c r="F3288" s="1">
        <v>45508</v>
      </c>
      <c r="G3288">
        <v>6</v>
      </c>
      <c r="H3288">
        <v>68558.67</v>
      </c>
      <c r="I3288">
        <v>15</v>
      </c>
      <c r="J3288" t="s">
        <v>20</v>
      </c>
      <c r="K3288">
        <v>61702.8</v>
      </c>
      <c r="L3288">
        <v>411352.02</v>
      </c>
      <c r="M3288">
        <v>349649.22</v>
      </c>
      <c r="N3288" t="s">
        <v>21</v>
      </c>
      <c r="O3288">
        <v>2024</v>
      </c>
    </row>
    <row r="3289" spans="1:15" x14ac:dyDescent="0.3">
      <c r="A3289" t="s">
        <v>3374</v>
      </c>
      <c r="B3289" t="s">
        <v>47</v>
      </c>
      <c r="C3289" t="s">
        <v>54</v>
      </c>
      <c r="D3289" t="s">
        <v>68</v>
      </c>
      <c r="E3289" t="s">
        <v>81</v>
      </c>
      <c r="F3289" s="1">
        <v>45294</v>
      </c>
      <c r="G3289">
        <v>1</v>
      </c>
      <c r="H3289">
        <v>4776.8900000000003</v>
      </c>
      <c r="I3289">
        <v>5</v>
      </c>
      <c r="J3289" t="s">
        <v>26</v>
      </c>
      <c r="K3289">
        <v>238.84</v>
      </c>
      <c r="L3289">
        <v>4776.8900000000003</v>
      </c>
      <c r="M3289">
        <v>4538.05</v>
      </c>
      <c r="N3289" t="s">
        <v>116</v>
      </c>
      <c r="O3289">
        <v>2024</v>
      </c>
    </row>
    <row r="3290" spans="1:15" x14ac:dyDescent="0.3">
      <c r="A3290" t="s">
        <v>3375</v>
      </c>
      <c r="B3290" t="s">
        <v>23</v>
      </c>
      <c r="C3290" t="s">
        <v>54</v>
      </c>
      <c r="D3290" t="s">
        <v>137</v>
      </c>
      <c r="E3290" t="s">
        <v>25</v>
      </c>
      <c r="F3290" s="1">
        <v>45441</v>
      </c>
      <c r="G3290">
        <v>3</v>
      </c>
      <c r="H3290">
        <v>999.38</v>
      </c>
      <c r="I3290">
        <v>15</v>
      </c>
      <c r="J3290" t="s">
        <v>31</v>
      </c>
      <c r="K3290">
        <v>449.72</v>
      </c>
      <c r="L3290">
        <v>2998.14</v>
      </c>
      <c r="M3290">
        <v>2548.42</v>
      </c>
      <c r="N3290" t="s">
        <v>101</v>
      </c>
      <c r="O3290">
        <v>2024</v>
      </c>
    </row>
    <row r="3291" spans="1:15" x14ac:dyDescent="0.3">
      <c r="A3291" t="s">
        <v>3376</v>
      </c>
      <c r="B3291" t="s">
        <v>47</v>
      </c>
      <c r="C3291" t="s">
        <v>62</v>
      </c>
      <c r="D3291" t="s">
        <v>99</v>
      </c>
      <c r="E3291" t="s">
        <v>81</v>
      </c>
      <c r="F3291" s="1">
        <v>45654</v>
      </c>
      <c r="G3291">
        <v>10</v>
      </c>
      <c r="H3291">
        <v>1612.51</v>
      </c>
      <c r="I3291">
        <v>15</v>
      </c>
      <c r="J3291" t="s">
        <v>45</v>
      </c>
      <c r="K3291">
        <v>2418.7600000000002</v>
      </c>
      <c r="L3291">
        <v>16125.1</v>
      </c>
      <c r="M3291">
        <v>13706.34</v>
      </c>
      <c r="N3291" t="s">
        <v>51</v>
      </c>
      <c r="O3291">
        <v>2024</v>
      </c>
    </row>
    <row r="3292" spans="1:15" x14ac:dyDescent="0.3">
      <c r="A3292" t="s">
        <v>3377</v>
      </c>
      <c r="B3292" t="s">
        <v>74</v>
      </c>
      <c r="C3292" t="s">
        <v>54</v>
      </c>
      <c r="D3292" t="s">
        <v>77</v>
      </c>
      <c r="E3292" t="s">
        <v>50</v>
      </c>
      <c r="F3292" s="1">
        <v>45292</v>
      </c>
      <c r="G3292">
        <v>5</v>
      </c>
      <c r="H3292">
        <v>5492.4</v>
      </c>
      <c r="I3292">
        <v>10</v>
      </c>
      <c r="J3292" t="s">
        <v>20</v>
      </c>
      <c r="K3292">
        <v>2746.2</v>
      </c>
      <c r="L3292">
        <v>27462</v>
      </c>
      <c r="M3292">
        <v>24715.8</v>
      </c>
      <c r="N3292" t="s">
        <v>116</v>
      </c>
      <c r="O3292">
        <v>2024</v>
      </c>
    </row>
    <row r="3293" spans="1:15" x14ac:dyDescent="0.3">
      <c r="A3293" t="s">
        <v>3378</v>
      </c>
      <c r="B3293" t="s">
        <v>16</v>
      </c>
      <c r="C3293" t="s">
        <v>34</v>
      </c>
      <c r="D3293" t="s">
        <v>85</v>
      </c>
      <c r="E3293" t="s">
        <v>50</v>
      </c>
      <c r="F3293" s="1">
        <v>45686</v>
      </c>
      <c r="G3293">
        <v>8</v>
      </c>
      <c r="H3293">
        <v>12196.42</v>
      </c>
      <c r="I3293">
        <v>20</v>
      </c>
      <c r="J3293" t="s">
        <v>82</v>
      </c>
      <c r="K3293">
        <v>19514.27</v>
      </c>
      <c r="L3293">
        <v>97571.36</v>
      </c>
      <c r="M3293">
        <v>78057.09</v>
      </c>
      <c r="N3293" t="s">
        <v>116</v>
      </c>
      <c r="O3293">
        <v>2025</v>
      </c>
    </row>
    <row r="3294" spans="1:15" x14ac:dyDescent="0.3">
      <c r="A3294" t="s">
        <v>3379</v>
      </c>
      <c r="B3294" t="s">
        <v>33</v>
      </c>
      <c r="C3294" t="s">
        <v>17</v>
      </c>
      <c r="D3294" t="s">
        <v>39</v>
      </c>
      <c r="E3294" t="s">
        <v>56</v>
      </c>
      <c r="F3294" s="1">
        <v>45743</v>
      </c>
      <c r="G3294">
        <v>5</v>
      </c>
      <c r="H3294">
        <v>19970.400000000001</v>
      </c>
      <c r="I3294">
        <v>15</v>
      </c>
      <c r="J3294" t="s">
        <v>40</v>
      </c>
      <c r="K3294">
        <v>14977.8</v>
      </c>
      <c r="L3294">
        <v>99852</v>
      </c>
      <c r="M3294">
        <v>84874.2</v>
      </c>
      <c r="N3294" t="s">
        <v>83</v>
      </c>
      <c r="O3294">
        <v>2025</v>
      </c>
    </row>
    <row r="3295" spans="1:15" x14ac:dyDescent="0.3">
      <c r="A3295" t="s">
        <v>3380</v>
      </c>
      <c r="B3295" t="s">
        <v>93</v>
      </c>
      <c r="C3295" t="s">
        <v>17</v>
      </c>
      <c r="D3295" t="s">
        <v>18</v>
      </c>
      <c r="E3295" t="s">
        <v>19</v>
      </c>
      <c r="F3295" s="1">
        <v>45492</v>
      </c>
      <c r="G3295">
        <v>10</v>
      </c>
      <c r="H3295">
        <v>69863.62</v>
      </c>
      <c r="I3295">
        <v>0</v>
      </c>
      <c r="J3295" t="s">
        <v>45</v>
      </c>
      <c r="K3295">
        <v>0</v>
      </c>
      <c r="L3295">
        <v>698636.2</v>
      </c>
      <c r="M3295">
        <v>698636.2</v>
      </c>
      <c r="N3295" t="s">
        <v>122</v>
      </c>
      <c r="O3295">
        <v>2024</v>
      </c>
    </row>
    <row r="3296" spans="1:15" x14ac:dyDescent="0.3">
      <c r="A3296" t="s">
        <v>3381</v>
      </c>
      <c r="B3296" t="s">
        <v>89</v>
      </c>
      <c r="C3296" t="s">
        <v>17</v>
      </c>
      <c r="D3296" t="s">
        <v>157</v>
      </c>
      <c r="E3296" t="s">
        <v>56</v>
      </c>
      <c r="F3296" s="1">
        <v>46020</v>
      </c>
      <c r="G3296">
        <v>7</v>
      </c>
      <c r="H3296">
        <v>7584.46</v>
      </c>
      <c r="I3296">
        <v>10</v>
      </c>
      <c r="J3296" t="s">
        <v>31</v>
      </c>
      <c r="K3296">
        <v>5309.12</v>
      </c>
      <c r="L3296">
        <v>53091.22</v>
      </c>
      <c r="M3296">
        <v>47782.1</v>
      </c>
      <c r="N3296" t="s">
        <v>51</v>
      </c>
      <c r="O3296">
        <v>2025</v>
      </c>
    </row>
    <row r="3297" spans="1:15" x14ac:dyDescent="0.3">
      <c r="A3297" t="s">
        <v>3382</v>
      </c>
      <c r="B3297" t="s">
        <v>61</v>
      </c>
      <c r="C3297" t="s">
        <v>34</v>
      </c>
      <c r="D3297" t="s">
        <v>35</v>
      </c>
      <c r="E3297" t="s">
        <v>44</v>
      </c>
      <c r="F3297" s="1">
        <v>45360</v>
      </c>
      <c r="G3297">
        <v>3</v>
      </c>
      <c r="H3297">
        <v>22665.64</v>
      </c>
      <c r="I3297">
        <v>20</v>
      </c>
      <c r="J3297" t="s">
        <v>31</v>
      </c>
      <c r="K3297">
        <v>13599.38</v>
      </c>
      <c r="L3297">
        <v>67996.92</v>
      </c>
      <c r="M3297">
        <v>54397.54</v>
      </c>
      <c r="N3297" t="s">
        <v>83</v>
      </c>
      <c r="O3297">
        <v>2024</v>
      </c>
    </row>
    <row r="3298" spans="1:15" x14ac:dyDescent="0.3">
      <c r="A3298" t="s">
        <v>3383</v>
      </c>
      <c r="B3298" t="s">
        <v>47</v>
      </c>
      <c r="C3298" t="s">
        <v>34</v>
      </c>
      <c r="D3298" t="s">
        <v>66</v>
      </c>
      <c r="E3298" t="s">
        <v>44</v>
      </c>
      <c r="F3298" s="1">
        <v>45780</v>
      </c>
      <c r="G3298">
        <v>9</v>
      </c>
      <c r="H3298">
        <v>36549.440000000002</v>
      </c>
      <c r="I3298">
        <v>0</v>
      </c>
      <c r="J3298" t="s">
        <v>45</v>
      </c>
      <c r="K3298">
        <v>0</v>
      </c>
      <c r="L3298">
        <v>328944.96000000002</v>
      </c>
      <c r="M3298">
        <v>328944.96000000002</v>
      </c>
      <c r="N3298" t="s">
        <v>101</v>
      </c>
      <c r="O3298">
        <v>2025</v>
      </c>
    </row>
    <row r="3299" spans="1:15" x14ac:dyDescent="0.3">
      <c r="A3299" t="s">
        <v>3384</v>
      </c>
      <c r="B3299" t="s">
        <v>53</v>
      </c>
      <c r="C3299" t="s">
        <v>54</v>
      </c>
      <c r="D3299" t="s">
        <v>70</v>
      </c>
      <c r="E3299" t="s">
        <v>50</v>
      </c>
      <c r="F3299" s="1">
        <v>45362</v>
      </c>
      <c r="G3299">
        <v>2</v>
      </c>
      <c r="H3299">
        <v>2494.2399999999998</v>
      </c>
      <c r="I3299">
        <v>20</v>
      </c>
      <c r="J3299" t="s">
        <v>20</v>
      </c>
      <c r="K3299">
        <v>997.7</v>
      </c>
      <c r="L3299">
        <v>4988.4799999999996</v>
      </c>
      <c r="M3299">
        <v>3990.78</v>
      </c>
      <c r="N3299" t="s">
        <v>83</v>
      </c>
      <c r="O3299">
        <v>2024</v>
      </c>
    </row>
    <row r="3300" spans="1:15" x14ac:dyDescent="0.3">
      <c r="A3300" t="s">
        <v>3385</v>
      </c>
      <c r="B3300" t="s">
        <v>23</v>
      </c>
      <c r="C3300" t="s">
        <v>90</v>
      </c>
      <c r="D3300" t="s">
        <v>105</v>
      </c>
      <c r="E3300" t="s">
        <v>30</v>
      </c>
      <c r="F3300" s="1">
        <v>45939</v>
      </c>
      <c r="G3300">
        <v>7</v>
      </c>
      <c r="H3300">
        <v>3661.83</v>
      </c>
      <c r="I3300">
        <v>5</v>
      </c>
      <c r="J3300" t="s">
        <v>71</v>
      </c>
      <c r="K3300">
        <v>1281.6400000000001</v>
      </c>
      <c r="L3300">
        <v>25632.81</v>
      </c>
      <c r="M3300">
        <v>24351.17</v>
      </c>
      <c r="N3300" t="s">
        <v>57</v>
      </c>
      <c r="O3300">
        <v>2025</v>
      </c>
    </row>
    <row r="3301" spans="1:15" x14ac:dyDescent="0.3">
      <c r="A3301" t="s">
        <v>3386</v>
      </c>
      <c r="B3301" t="s">
        <v>29</v>
      </c>
      <c r="C3301" t="s">
        <v>34</v>
      </c>
      <c r="D3301" t="s">
        <v>85</v>
      </c>
      <c r="E3301" t="s">
        <v>30</v>
      </c>
      <c r="F3301" s="1">
        <v>45418</v>
      </c>
      <c r="G3301">
        <v>9</v>
      </c>
      <c r="H3301">
        <v>11867.21</v>
      </c>
      <c r="I3301">
        <v>5</v>
      </c>
      <c r="J3301" t="s">
        <v>71</v>
      </c>
      <c r="K3301">
        <v>5340.24</v>
      </c>
      <c r="L3301">
        <v>106804.89</v>
      </c>
      <c r="M3301">
        <v>101464.65</v>
      </c>
      <c r="N3301" t="s">
        <v>101</v>
      </c>
      <c r="O3301">
        <v>2024</v>
      </c>
    </row>
    <row r="3302" spans="1:15" x14ac:dyDescent="0.3">
      <c r="A3302" t="s">
        <v>3387</v>
      </c>
      <c r="B3302" t="s">
        <v>23</v>
      </c>
      <c r="C3302" t="s">
        <v>17</v>
      </c>
      <c r="D3302" t="s">
        <v>59</v>
      </c>
      <c r="E3302" t="s">
        <v>44</v>
      </c>
      <c r="F3302" s="1">
        <v>45954</v>
      </c>
      <c r="G3302">
        <v>9</v>
      </c>
      <c r="H3302">
        <v>27277.49</v>
      </c>
      <c r="I3302">
        <v>5</v>
      </c>
      <c r="J3302" t="s">
        <v>40</v>
      </c>
      <c r="K3302">
        <v>12274.87</v>
      </c>
      <c r="L3302">
        <v>245497.41</v>
      </c>
      <c r="M3302">
        <v>233222.54</v>
      </c>
      <c r="N3302" t="s">
        <v>57</v>
      </c>
      <c r="O3302">
        <v>2025</v>
      </c>
    </row>
    <row r="3303" spans="1:15" x14ac:dyDescent="0.3">
      <c r="A3303" t="s">
        <v>3388</v>
      </c>
      <c r="B3303" t="s">
        <v>47</v>
      </c>
      <c r="C3303" t="s">
        <v>90</v>
      </c>
      <c r="D3303" t="s">
        <v>105</v>
      </c>
      <c r="E3303" t="s">
        <v>19</v>
      </c>
      <c r="F3303" s="1">
        <v>45912</v>
      </c>
      <c r="G3303">
        <v>5</v>
      </c>
      <c r="H3303">
        <v>3318.49</v>
      </c>
      <c r="I3303">
        <v>0</v>
      </c>
      <c r="J3303" t="s">
        <v>36</v>
      </c>
      <c r="K3303">
        <v>0</v>
      </c>
      <c r="L3303">
        <v>16592.45</v>
      </c>
      <c r="M3303">
        <v>16592.45</v>
      </c>
      <c r="N3303" t="s">
        <v>86</v>
      </c>
      <c r="O3303">
        <v>2025</v>
      </c>
    </row>
    <row r="3304" spans="1:15" x14ac:dyDescent="0.3">
      <c r="A3304" t="s">
        <v>3389</v>
      </c>
      <c r="B3304" t="s">
        <v>89</v>
      </c>
      <c r="C3304" t="s">
        <v>17</v>
      </c>
      <c r="D3304" t="s">
        <v>59</v>
      </c>
      <c r="E3304" t="s">
        <v>44</v>
      </c>
      <c r="F3304" s="1">
        <v>45543</v>
      </c>
      <c r="G3304">
        <v>10</v>
      </c>
      <c r="H3304">
        <v>27202.13</v>
      </c>
      <c r="I3304">
        <v>20</v>
      </c>
      <c r="J3304" t="s">
        <v>45</v>
      </c>
      <c r="K3304">
        <v>54404.26</v>
      </c>
      <c r="L3304">
        <v>272021.3</v>
      </c>
      <c r="M3304">
        <v>217617.04</v>
      </c>
      <c r="N3304" t="s">
        <v>86</v>
      </c>
      <c r="O3304">
        <v>2024</v>
      </c>
    </row>
    <row r="3305" spans="1:15" x14ac:dyDescent="0.3">
      <c r="A3305" t="s">
        <v>3390</v>
      </c>
      <c r="B3305" t="s">
        <v>16</v>
      </c>
      <c r="C3305" t="s">
        <v>34</v>
      </c>
      <c r="D3305" t="s">
        <v>85</v>
      </c>
      <c r="E3305" t="s">
        <v>30</v>
      </c>
      <c r="F3305" s="1">
        <v>45504</v>
      </c>
      <c r="G3305">
        <v>3</v>
      </c>
      <c r="H3305">
        <v>11578.96</v>
      </c>
      <c r="I3305">
        <v>10</v>
      </c>
      <c r="J3305" t="s">
        <v>82</v>
      </c>
      <c r="K3305">
        <v>3473.69</v>
      </c>
      <c r="L3305">
        <v>34736.879999999997</v>
      </c>
      <c r="M3305">
        <v>31263.19</v>
      </c>
      <c r="N3305" t="s">
        <v>122</v>
      </c>
      <c r="O3305">
        <v>2024</v>
      </c>
    </row>
    <row r="3306" spans="1:15" x14ac:dyDescent="0.3">
      <c r="A3306" t="s">
        <v>3391</v>
      </c>
      <c r="B3306" t="s">
        <v>38</v>
      </c>
      <c r="C3306" t="s">
        <v>54</v>
      </c>
      <c r="D3306" t="s">
        <v>77</v>
      </c>
      <c r="E3306" t="s">
        <v>56</v>
      </c>
      <c r="F3306" s="1">
        <v>45919</v>
      </c>
      <c r="G3306">
        <v>4</v>
      </c>
      <c r="H3306">
        <v>4658.51</v>
      </c>
      <c r="I3306">
        <v>15</v>
      </c>
      <c r="J3306" t="s">
        <v>31</v>
      </c>
      <c r="K3306">
        <v>2795.11</v>
      </c>
      <c r="L3306">
        <v>18634.04</v>
      </c>
      <c r="M3306">
        <v>15838.93</v>
      </c>
      <c r="N3306" t="s">
        <v>86</v>
      </c>
      <c r="O3306">
        <v>2025</v>
      </c>
    </row>
    <row r="3307" spans="1:15" x14ac:dyDescent="0.3">
      <c r="A3307" t="s">
        <v>3392</v>
      </c>
      <c r="B3307" t="s">
        <v>47</v>
      </c>
      <c r="C3307" t="s">
        <v>54</v>
      </c>
      <c r="D3307" t="s">
        <v>137</v>
      </c>
      <c r="E3307" t="s">
        <v>56</v>
      </c>
      <c r="F3307" s="1">
        <v>45991</v>
      </c>
      <c r="G3307">
        <v>8</v>
      </c>
      <c r="H3307">
        <v>993.15</v>
      </c>
      <c r="I3307">
        <v>20</v>
      </c>
      <c r="J3307" t="s">
        <v>20</v>
      </c>
      <c r="K3307">
        <v>1589.04</v>
      </c>
      <c r="L3307">
        <v>7945.2</v>
      </c>
      <c r="M3307">
        <v>6356.16</v>
      </c>
      <c r="N3307" t="s">
        <v>96</v>
      </c>
      <c r="O3307">
        <v>2025</v>
      </c>
    </row>
    <row r="3308" spans="1:15" x14ac:dyDescent="0.3">
      <c r="A3308" t="s">
        <v>3393</v>
      </c>
      <c r="B3308" t="s">
        <v>114</v>
      </c>
      <c r="C3308" t="s">
        <v>17</v>
      </c>
      <c r="D3308" t="s">
        <v>39</v>
      </c>
      <c r="E3308" t="s">
        <v>50</v>
      </c>
      <c r="F3308" s="1">
        <v>45334</v>
      </c>
      <c r="G3308">
        <v>2</v>
      </c>
      <c r="H3308">
        <v>16642.63</v>
      </c>
      <c r="I3308">
        <v>10</v>
      </c>
      <c r="J3308" t="s">
        <v>36</v>
      </c>
      <c r="K3308">
        <v>3328.53</v>
      </c>
      <c r="L3308">
        <v>33285.26</v>
      </c>
      <c r="M3308">
        <v>29956.73</v>
      </c>
      <c r="N3308" t="s">
        <v>41</v>
      </c>
      <c r="O3308">
        <v>2024</v>
      </c>
    </row>
    <row r="3309" spans="1:15" x14ac:dyDescent="0.3">
      <c r="A3309" t="s">
        <v>3394</v>
      </c>
      <c r="B3309" t="s">
        <v>74</v>
      </c>
      <c r="C3309" t="s">
        <v>17</v>
      </c>
      <c r="D3309" t="s">
        <v>157</v>
      </c>
      <c r="E3309" t="s">
        <v>19</v>
      </c>
      <c r="F3309" s="1">
        <v>46009</v>
      </c>
      <c r="G3309">
        <v>7</v>
      </c>
      <c r="H3309">
        <v>7686.37</v>
      </c>
      <c r="I3309">
        <v>5</v>
      </c>
      <c r="J3309" t="s">
        <v>36</v>
      </c>
      <c r="K3309">
        <v>2690.23</v>
      </c>
      <c r="L3309">
        <v>53804.59</v>
      </c>
      <c r="M3309">
        <v>51114.36</v>
      </c>
      <c r="N3309" t="s">
        <v>51</v>
      </c>
      <c r="O3309">
        <v>2025</v>
      </c>
    </row>
    <row r="3310" spans="1:15" x14ac:dyDescent="0.3">
      <c r="A3310" t="s">
        <v>3395</v>
      </c>
      <c r="B3310" t="s">
        <v>38</v>
      </c>
      <c r="C3310" t="s">
        <v>90</v>
      </c>
      <c r="D3310" t="s">
        <v>152</v>
      </c>
      <c r="E3310" t="s">
        <v>44</v>
      </c>
      <c r="F3310" s="1">
        <v>45669</v>
      </c>
      <c r="G3310">
        <v>2</v>
      </c>
      <c r="H3310">
        <v>11013.71</v>
      </c>
      <c r="I3310">
        <v>15</v>
      </c>
      <c r="J3310" t="s">
        <v>20</v>
      </c>
      <c r="K3310">
        <v>3304.11</v>
      </c>
      <c r="L3310">
        <v>22027.42</v>
      </c>
      <c r="M3310">
        <v>18723.310000000001</v>
      </c>
      <c r="N3310" t="s">
        <v>116</v>
      </c>
      <c r="O3310">
        <v>2025</v>
      </c>
    </row>
    <row r="3311" spans="1:15" x14ac:dyDescent="0.3">
      <c r="A3311" t="s">
        <v>3396</v>
      </c>
      <c r="B3311" t="s">
        <v>33</v>
      </c>
      <c r="C3311" t="s">
        <v>34</v>
      </c>
      <c r="D3311" t="s">
        <v>48</v>
      </c>
      <c r="E3311" t="s">
        <v>19</v>
      </c>
      <c r="F3311" s="1">
        <v>45546</v>
      </c>
      <c r="G3311">
        <v>8</v>
      </c>
      <c r="H3311">
        <v>9100.36</v>
      </c>
      <c r="I3311">
        <v>10</v>
      </c>
      <c r="J3311" t="s">
        <v>20</v>
      </c>
      <c r="K3311">
        <v>7280.29</v>
      </c>
      <c r="L3311">
        <v>72802.880000000005</v>
      </c>
      <c r="M3311">
        <v>65522.59</v>
      </c>
      <c r="N3311" t="s">
        <v>86</v>
      </c>
      <c r="O3311">
        <v>2024</v>
      </c>
    </row>
    <row r="3312" spans="1:15" x14ac:dyDescent="0.3">
      <c r="A3312" t="s">
        <v>3397</v>
      </c>
      <c r="B3312" t="s">
        <v>114</v>
      </c>
      <c r="C3312" t="s">
        <v>90</v>
      </c>
      <c r="D3312" t="s">
        <v>115</v>
      </c>
      <c r="E3312" t="s">
        <v>44</v>
      </c>
      <c r="F3312" s="1">
        <v>45920</v>
      </c>
      <c r="G3312">
        <v>8</v>
      </c>
      <c r="H3312">
        <v>9154.86</v>
      </c>
      <c r="I3312">
        <v>10</v>
      </c>
      <c r="J3312" t="s">
        <v>31</v>
      </c>
      <c r="K3312">
        <v>7323.89</v>
      </c>
      <c r="L3312">
        <v>73238.880000000005</v>
      </c>
      <c r="M3312">
        <v>65914.990000000005</v>
      </c>
      <c r="N3312" t="s">
        <v>86</v>
      </c>
      <c r="O3312">
        <v>2025</v>
      </c>
    </row>
    <row r="3313" spans="1:15" x14ac:dyDescent="0.3">
      <c r="A3313" t="s">
        <v>3398</v>
      </c>
      <c r="B3313" t="s">
        <v>65</v>
      </c>
      <c r="C3313" t="s">
        <v>54</v>
      </c>
      <c r="D3313" t="s">
        <v>68</v>
      </c>
      <c r="E3313" t="s">
        <v>19</v>
      </c>
      <c r="F3313" s="1">
        <v>45455</v>
      </c>
      <c r="G3313">
        <v>3</v>
      </c>
      <c r="H3313">
        <v>4363.5200000000004</v>
      </c>
      <c r="I3313">
        <v>20</v>
      </c>
      <c r="J3313" t="s">
        <v>31</v>
      </c>
      <c r="K3313">
        <v>2618.11</v>
      </c>
      <c r="L3313">
        <v>13090.56</v>
      </c>
      <c r="M3313">
        <v>10472.450000000001</v>
      </c>
      <c r="N3313" t="s">
        <v>72</v>
      </c>
      <c r="O3313">
        <v>2024</v>
      </c>
    </row>
    <row r="3314" spans="1:15" x14ac:dyDescent="0.3">
      <c r="A3314" t="s">
        <v>3399</v>
      </c>
      <c r="B3314" t="s">
        <v>38</v>
      </c>
      <c r="C3314" t="s">
        <v>62</v>
      </c>
      <c r="D3314" t="s">
        <v>119</v>
      </c>
      <c r="E3314" t="s">
        <v>25</v>
      </c>
      <c r="F3314" s="1">
        <v>45606</v>
      </c>
      <c r="G3314">
        <v>7</v>
      </c>
      <c r="H3314">
        <v>4067.02</v>
      </c>
      <c r="I3314">
        <v>10</v>
      </c>
      <c r="J3314" t="s">
        <v>26</v>
      </c>
      <c r="K3314">
        <v>2846.91</v>
      </c>
      <c r="L3314">
        <v>28469.14</v>
      </c>
      <c r="M3314">
        <v>25622.23</v>
      </c>
      <c r="N3314" t="s">
        <v>96</v>
      </c>
      <c r="O3314">
        <v>2024</v>
      </c>
    </row>
    <row r="3315" spans="1:15" x14ac:dyDescent="0.3">
      <c r="A3315" t="s">
        <v>3400</v>
      </c>
      <c r="B3315" t="s">
        <v>93</v>
      </c>
      <c r="C3315" t="s">
        <v>17</v>
      </c>
      <c r="D3315" t="s">
        <v>157</v>
      </c>
      <c r="E3315" t="s">
        <v>50</v>
      </c>
      <c r="F3315" s="1">
        <v>45626</v>
      </c>
      <c r="G3315">
        <v>7</v>
      </c>
      <c r="H3315">
        <v>7957.63</v>
      </c>
      <c r="I3315">
        <v>10</v>
      </c>
      <c r="J3315" t="s">
        <v>31</v>
      </c>
      <c r="K3315">
        <v>5570.34</v>
      </c>
      <c r="L3315">
        <v>55703.41</v>
      </c>
      <c r="M3315">
        <v>50133.07</v>
      </c>
      <c r="N3315" t="s">
        <v>96</v>
      </c>
      <c r="O3315">
        <v>2024</v>
      </c>
    </row>
    <row r="3316" spans="1:15" x14ac:dyDescent="0.3">
      <c r="A3316" t="s">
        <v>3401</v>
      </c>
      <c r="B3316" t="s">
        <v>38</v>
      </c>
      <c r="C3316" t="s">
        <v>17</v>
      </c>
      <c r="D3316" t="s">
        <v>59</v>
      </c>
      <c r="E3316" t="s">
        <v>30</v>
      </c>
      <c r="F3316" s="1">
        <v>45723</v>
      </c>
      <c r="G3316">
        <v>3</v>
      </c>
      <c r="H3316">
        <v>27191.84</v>
      </c>
      <c r="I3316">
        <v>15</v>
      </c>
      <c r="J3316" t="s">
        <v>26</v>
      </c>
      <c r="K3316">
        <v>12236.33</v>
      </c>
      <c r="L3316">
        <v>81575.520000000004</v>
      </c>
      <c r="M3316">
        <v>69339.19</v>
      </c>
      <c r="N3316" t="s">
        <v>83</v>
      </c>
      <c r="O3316">
        <v>2025</v>
      </c>
    </row>
    <row r="3317" spans="1:15" x14ac:dyDescent="0.3">
      <c r="A3317" t="s">
        <v>3402</v>
      </c>
      <c r="B3317" t="s">
        <v>93</v>
      </c>
      <c r="C3317" t="s">
        <v>90</v>
      </c>
      <c r="D3317" t="s">
        <v>107</v>
      </c>
      <c r="E3317" t="s">
        <v>50</v>
      </c>
      <c r="F3317" s="1">
        <v>46011</v>
      </c>
      <c r="G3317">
        <v>1</v>
      </c>
      <c r="H3317">
        <v>13905.83</v>
      </c>
      <c r="I3317">
        <v>20</v>
      </c>
      <c r="J3317" t="s">
        <v>45</v>
      </c>
      <c r="K3317">
        <v>2781.17</v>
      </c>
      <c r="L3317">
        <v>13905.83</v>
      </c>
      <c r="M3317">
        <v>11124.66</v>
      </c>
      <c r="N3317" t="s">
        <v>51</v>
      </c>
      <c r="O3317">
        <v>2025</v>
      </c>
    </row>
    <row r="3318" spans="1:15" x14ac:dyDescent="0.3">
      <c r="A3318" t="s">
        <v>3403</v>
      </c>
      <c r="B3318" t="s">
        <v>61</v>
      </c>
      <c r="C3318" t="s">
        <v>34</v>
      </c>
      <c r="D3318" t="s">
        <v>48</v>
      </c>
      <c r="E3318" t="s">
        <v>19</v>
      </c>
      <c r="F3318" s="1">
        <v>45366</v>
      </c>
      <c r="G3318">
        <v>3</v>
      </c>
      <c r="H3318">
        <v>8351.06</v>
      </c>
      <c r="I3318">
        <v>10</v>
      </c>
      <c r="J3318" t="s">
        <v>36</v>
      </c>
      <c r="K3318">
        <v>2505.3200000000002</v>
      </c>
      <c r="L3318">
        <v>25053.18</v>
      </c>
      <c r="M3318">
        <v>22547.86</v>
      </c>
      <c r="N3318" t="s">
        <v>83</v>
      </c>
      <c r="O3318">
        <v>2024</v>
      </c>
    </row>
    <row r="3319" spans="1:15" x14ac:dyDescent="0.3">
      <c r="A3319" t="s">
        <v>3404</v>
      </c>
      <c r="B3319" t="s">
        <v>114</v>
      </c>
      <c r="C3319" t="s">
        <v>90</v>
      </c>
      <c r="D3319" t="s">
        <v>115</v>
      </c>
      <c r="E3319" t="s">
        <v>25</v>
      </c>
      <c r="F3319" s="1">
        <v>45442</v>
      </c>
      <c r="G3319">
        <v>4</v>
      </c>
      <c r="H3319">
        <v>7785.41</v>
      </c>
      <c r="I3319">
        <v>15</v>
      </c>
      <c r="J3319" t="s">
        <v>36</v>
      </c>
      <c r="K3319">
        <v>4671.25</v>
      </c>
      <c r="L3319">
        <v>31141.64</v>
      </c>
      <c r="M3319">
        <v>26470.39</v>
      </c>
      <c r="N3319" t="s">
        <v>101</v>
      </c>
      <c r="O3319">
        <v>2024</v>
      </c>
    </row>
    <row r="3320" spans="1:15" x14ac:dyDescent="0.3">
      <c r="A3320" t="s">
        <v>3405</v>
      </c>
      <c r="B3320" t="s">
        <v>38</v>
      </c>
      <c r="C3320" t="s">
        <v>90</v>
      </c>
      <c r="D3320" t="s">
        <v>91</v>
      </c>
      <c r="E3320" t="s">
        <v>30</v>
      </c>
      <c r="F3320" s="1">
        <v>45585</v>
      </c>
      <c r="G3320">
        <v>6</v>
      </c>
      <c r="H3320">
        <v>1886.14</v>
      </c>
      <c r="I3320">
        <v>20</v>
      </c>
      <c r="J3320" t="s">
        <v>26</v>
      </c>
      <c r="K3320">
        <v>2263.37</v>
      </c>
      <c r="L3320">
        <v>11316.84</v>
      </c>
      <c r="M3320">
        <v>9053.4699999999993</v>
      </c>
      <c r="N3320" t="s">
        <v>57</v>
      </c>
      <c r="O3320">
        <v>2024</v>
      </c>
    </row>
    <row r="3321" spans="1:15" x14ac:dyDescent="0.3">
      <c r="A3321" t="s">
        <v>3406</v>
      </c>
      <c r="B3321" t="s">
        <v>33</v>
      </c>
      <c r="C3321" t="s">
        <v>90</v>
      </c>
      <c r="D3321" t="s">
        <v>107</v>
      </c>
      <c r="E3321" t="s">
        <v>25</v>
      </c>
      <c r="F3321" s="1">
        <v>46006</v>
      </c>
      <c r="G3321">
        <v>1</v>
      </c>
      <c r="H3321">
        <v>13394.55</v>
      </c>
      <c r="I3321">
        <v>5</v>
      </c>
      <c r="J3321" t="s">
        <v>40</v>
      </c>
      <c r="K3321">
        <v>669.73</v>
      </c>
      <c r="L3321">
        <v>13394.55</v>
      </c>
      <c r="M3321">
        <v>12724.82</v>
      </c>
      <c r="N3321" t="s">
        <v>51</v>
      </c>
      <c r="O3321">
        <v>2025</v>
      </c>
    </row>
    <row r="3322" spans="1:15" x14ac:dyDescent="0.3">
      <c r="A3322" t="s">
        <v>3407</v>
      </c>
      <c r="B3322" t="s">
        <v>65</v>
      </c>
      <c r="C3322" t="s">
        <v>34</v>
      </c>
      <c r="D3322" t="s">
        <v>66</v>
      </c>
      <c r="E3322" t="s">
        <v>50</v>
      </c>
      <c r="F3322" s="1">
        <v>45591</v>
      </c>
      <c r="G3322">
        <v>8</v>
      </c>
      <c r="H3322">
        <v>45710.51</v>
      </c>
      <c r="I3322">
        <v>5</v>
      </c>
      <c r="J3322" t="s">
        <v>82</v>
      </c>
      <c r="K3322">
        <v>18284.2</v>
      </c>
      <c r="L3322">
        <v>365684.08</v>
      </c>
      <c r="M3322">
        <v>347399.88</v>
      </c>
      <c r="N3322" t="s">
        <v>57</v>
      </c>
      <c r="O3322">
        <v>2024</v>
      </c>
    </row>
    <row r="3323" spans="1:15" x14ac:dyDescent="0.3">
      <c r="A3323" t="s">
        <v>3408</v>
      </c>
      <c r="B3323" t="s">
        <v>89</v>
      </c>
      <c r="C3323" t="s">
        <v>34</v>
      </c>
      <c r="D3323" t="s">
        <v>85</v>
      </c>
      <c r="E3323" t="s">
        <v>30</v>
      </c>
      <c r="F3323" s="1">
        <v>46002</v>
      </c>
      <c r="G3323">
        <v>1</v>
      </c>
      <c r="H3323">
        <v>14937.33</v>
      </c>
      <c r="I3323">
        <v>10</v>
      </c>
      <c r="J3323" t="s">
        <v>36</v>
      </c>
      <c r="K3323">
        <v>1493.73</v>
      </c>
      <c r="L3323">
        <v>14937.33</v>
      </c>
      <c r="M3323">
        <v>13443.6</v>
      </c>
      <c r="N3323" t="s">
        <v>51</v>
      </c>
      <c r="O3323">
        <v>2025</v>
      </c>
    </row>
    <row r="3324" spans="1:15" x14ac:dyDescent="0.3">
      <c r="A3324" t="s">
        <v>3409</v>
      </c>
      <c r="B3324" t="s">
        <v>16</v>
      </c>
      <c r="C3324" t="s">
        <v>62</v>
      </c>
      <c r="D3324" t="s">
        <v>95</v>
      </c>
      <c r="E3324" t="s">
        <v>56</v>
      </c>
      <c r="F3324" s="1">
        <v>45701</v>
      </c>
      <c r="G3324">
        <v>8</v>
      </c>
      <c r="H3324">
        <v>722.35</v>
      </c>
      <c r="I3324">
        <v>5</v>
      </c>
      <c r="J3324" t="s">
        <v>71</v>
      </c>
      <c r="K3324">
        <v>288.94</v>
      </c>
      <c r="L3324">
        <v>5778.8</v>
      </c>
      <c r="M3324">
        <v>5489.86</v>
      </c>
      <c r="N3324" t="s">
        <v>41</v>
      </c>
      <c r="O3324">
        <v>2025</v>
      </c>
    </row>
    <row r="3325" spans="1:15" x14ac:dyDescent="0.3">
      <c r="A3325" t="s">
        <v>3410</v>
      </c>
      <c r="B3325" t="s">
        <v>61</v>
      </c>
      <c r="C3325" t="s">
        <v>90</v>
      </c>
      <c r="D3325" t="s">
        <v>107</v>
      </c>
      <c r="E3325" t="s">
        <v>50</v>
      </c>
      <c r="F3325" s="1">
        <v>45497</v>
      </c>
      <c r="G3325">
        <v>1</v>
      </c>
      <c r="H3325">
        <v>11138.47</v>
      </c>
      <c r="I3325">
        <v>5</v>
      </c>
      <c r="J3325" t="s">
        <v>31</v>
      </c>
      <c r="K3325">
        <v>556.91999999999996</v>
      </c>
      <c r="L3325">
        <v>11138.47</v>
      </c>
      <c r="M3325">
        <v>10581.55</v>
      </c>
      <c r="N3325" t="s">
        <v>122</v>
      </c>
      <c r="O3325">
        <v>2024</v>
      </c>
    </row>
    <row r="3326" spans="1:15" x14ac:dyDescent="0.3">
      <c r="A3326" t="s">
        <v>3411</v>
      </c>
      <c r="B3326" t="s">
        <v>38</v>
      </c>
      <c r="C3326" t="s">
        <v>34</v>
      </c>
      <c r="D3326" t="s">
        <v>80</v>
      </c>
      <c r="E3326" t="s">
        <v>44</v>
      </c>
      <c r="F3326" s="1">
        <v>45984</v>
      </c>
      <c r="G3326">
        <v>9</v>
      </c>
      <c r="H3326">
        <v>6422.09</v>
      </c>
      <c r="I3326">
        <v>10</v>
      </c>
      <c r="J3326" t="s">
        <v>26</v>
      </c>
      <c r="K3326">
        <v>5779.88</v>
      </c>
      <c r="L3326">
        <v>57798.81</v>
      </c>
      <c r="M3326">
        <v>52018.93</v>
      </c>
      <c r="N3326" t="s">
        <v>96</v>
      </c>
      <c r="O3326">
        <v>2025</v>
      </c>
    </row>
    <row r="3327" spans="1:15" x14ac:dyDescent="0.3">
      <c r="A3327" t="s">
        <v>3412</v>
      </c>
      <c r="B3327" t="s">
        <v>38</v>
      </c>
      <c r="C3327" t="s">
        <v>34</v>
      </c>
      <c r="D3327" t="s">
        <v>35</v>
      </c>
      <c r="E3327" t="s">
        <v>19</v>
      </c>
      <c r="F3327" s="1">
        <v>45501</v>
      </c>
      <c r="G3327">
        <v>4</v>
      </c>
      <c r="H3327">
        <v>25142.87</v>
      </c>
      <c r="I3327">
        <v>15</v>
      </c>
      <c r="J3327" t="s">
        <v>20</v>
      </c>
      <c r="K3327">
        <v>15085.72</v>
      </c>
      <c r="L3327">
        <v>100571.48</v>
      </c>
      <c r="M3327">
        <v>85485.759999999995</v>
      </c>
      <c r="N3327" t="s">
        <v>122</v>
      </c>
      <c r="O3327">
        <v>2024</v>
      </c>
    </row>
    <row r="3328" spans="1:15" x14ac:dyDescent="0.3">
      <c r="A3328" t="s">
        <v>3413</v>
      </c>
      <c r="B3328" t="s">
        <v>109</v>
      </c>
      <c r="C3328" t="s">
        <v>54</v>
      </c>
      <c r="D3328" t="s">
        <v>68</v>
      </c>
      <c r="E3328" t="s">
        <v>44</v>
      </c>
      <c r="F3328" s="1">
        <v>45999</v>
      </c>
      <c r="G3328">
        <v>9</v>
      </c>
      <c r="H3328">
        <v>5204</v>
      </c>
      <c r="I3328">
        <v>15</v>
      </c>
      <c r="J3328" t="s">
        <v>36</v>
      </c>
      <c r="K3328">
        <v>7025.4</v>
      </c>
      <c r="L3328">
        <v>46836</v>
      </c>
      <c r="M3328">
        <v>39810.6</v>
      </c>
      <c r="N3328" t="s">
        <v>51</v>
      </c>
      <c r="O3328">
        <v>2025</v>
      </c>
    </row>
    <row r="3329" spans="1:15" x14ac:dyDescent="0.3">
      <c r="A3329" t="s">
        <v>3414</v>
      </c>
      <c r="B3329" t="s">
        <v>23</v>
      </c>
      <c r="C3329" t="s">
        <v>17</v>
      </c>
      <c r="D3329" t="s">
        <v>59</v>
      </c>
      <c r="E3329" t="s">
        <v>25</v>
      </c>
      <c r="F3329" s="1">
        <v>45947</v>
      </c>
      <c r="G3329">
        <v>5</v>
      </c>
      <c r="H3329">
        <v>28920.3</v>
      </c>
      <c r="I3329">
        <v>10</v>
      </c>
      <c r="J3329" t="s">
        <v>45</v>
      </c>
      <c r="K3329">
        <v>14460.15</v>
      </c>
      <c r="L3329">
        <v>144601.5</v>
      </c>
      <c r="M3329">
        <v>130141.35</v>
      </c>
      <c r="N3329" t="s">
        <v>57</v>
      </c>
      <c r="O3329">
        <v>2025</v>
      </c>
    </row>
    <row r="3330" spans="1:15" x14ac:dyDescent="0.3">
      <c r="A3330" t="s">
        <v>3415</v>
      </c>
      <c r="B3330" t="s">
        <v>53</v>
      </c>
      <c r="C3330" t="s">
        <v>90</v>
      </c>
      <c r="D3330" t="s">
        <v>91</v>
      </c>
      <c r="E3330" t="s">
        <v>25</v>
      </c>
      <c r="F3330" s="1">
        <v>45721</v>
      </c>
      <c r="G3330">
        <v>5</v>
      </c>
      <c r="H3330">
        <v>1563.1</v>
      </c>
      <c r="I3330">
        <v>0</v>
      </c>
      <c r="J3330" t="s">
        <v>45</v>
      </c>
      <c r="K3330">
        <v>0</v>
      </c>
      <c r="L3330">
        <v>7815.5</v>
      </c>
      <c r="M3330">
        <v>7815.5</v>
      </c>
      <c r="N3330" t="s">
        <v>83</v>
      </c>
      <c r="O3330">
        <v>2025</v>
      </c>
    </row>
    <row r="3331" spans="1:15" x14ac:dyDescent="0.3">
      <c r="A3331" t="s">
        <v>3416</v>
      </c>
      <c r="B3331" t="s">
        <v>53</v>
      </c>
      <c r="C3331" t="s">
        <v>17</v>
      </c>
      <c r="D3331" t="s">
        <v>59</v>
      </c>
      <c r="E3331" t="s">
        <v>19</v>
      </c>
      <c r="F3331" s="1">
        <v>45387</v>
      </c>
      <c r="G3331">
        <v>10</v>
      </c>
      <c r="H3331">
        <v>28315.8</v>
      </c>
      <c r="I3331">
        <v>10</v>
      </c>
      <c r="J3331" t="s">
        <v>45</v>
      </c>
      <c r="K3331">
        <v>28315.8</v>
      </c>
      <c r="L3331">
        <v>283158</v>
      </c>
      <c r="M3331">
        <v>254842.2</v>
      </c>
      <c r="N3331" t="s">
        <v>27</v>
      </c>
      <c r="O3331">
        <v>2024</v>
      </c>
    </row>
    <row r="3332" spans="1:15" x14ac:dyDescent="0.3">
      <c r="A3332" t="s">
        <v>3417</v>
      </c>
      <c r="B3332" t="s">
        <v>47</v>
      </c>
      <c r="C3332" t="s">
        <v>17</v>
      </c>
      <c r="D3332" t="s">
        <v>18</v>
      </c>
      <c r="E3332" t="s">
        <v>25</v>
      </c>
      <c r="F3332" s="1">
        <v>45590</v>
      </c>
      <c r="G3332">
        <v>7</v>
      </c>
      <c r="H3332">
        <v>66311.320000000007</v>
      </c>
      <c r="I3332">
        <v>10</v>
      </c>
      <c r="J3332" t="s">
        <v>45</v>
      </c>
      <c r="K3332">
        <v>46417.919999999998</v>
      </c>
      <c r="L3332">
        <v>464179.24</v>
      </c>
      <c r="M3332">
        <v>417761.32</v>
      </c>
      <c r="N3332" t="s">
        <v>57</v>
      </c>
      <c r="O3332">
        <v>2024</v>
      </c>
    </row>
    <row r="3333" spans="1:15" x14ac:dyDescent="0.3">
      <c r="A3333" t="s">
        <v>3418</v>
      </c>
      <c r="B3333" t="s">
        <v>65</v>
      </c>
      <c r="C3333" t="s">
        <v>54</v>
      </c>
      <c r="D3333" t="s">
        <v>70</v>
      </c>
      <c r="E3333" t="s">
        <v>25</v>
      </c>
      <c r="F3333" s="1">
        <v>45828</v>
      </c>
      <c r="G3333">
        <v>9</v>
      </c>
      <c r="H3333">
        <v>2610.67</v>
      </c>
      <c r="I3333">
        <v>0</v>
      </c>
      <c r="J3333" t="s">
        <v>20</v>
      </c>
      <c r="K3333">
        <v>0</v>
      </c>
      <c r="L3333">
        <v>23496.03</v>
      </c>
      <c r="M3333">
        <v>23496.03</v>
      </c>
      <c r="N3333" t="s">
        <v>72</v>
      </c>
      <c r="O3333">
        <v>2025</v>
      </c>
    </row>
    <row r="3334" spans="1:15" x14ac:dyDescent="0.3">
      <c r="A3334" t="s">
        <v>3419</v>
      </c>
      <c r="B3334" t="s">
        <v>61</v>
      </c>
      <c r="C3334" t="s">
        <v>62</v>
      </c>
      <c r="D3334" t="s">
        <v>119</v>
      </c>
      <c r="E3334" t="s">
        <v>25</v>
      </c>
      <c r="F3334" s="1">
        <v>45580</v>
      </c>
      <c r="G3334">
        <v>1</v>
      </c>
      <c r="H3334">
        <v>3726.74</v>
      </c>
      <c r="I3334">
        <v>0</v>
      </c>
      <c r="J3334" t="s">
        <v>26</v>
      </c>
      <c r="K3334">
        <v>0</v>
      </c>
      <c r="L3334">
        <v>3726.74</v>
      </c>
      <c r="M3334">
        <v>3726.74</v>
      </c>
      <c r="N3334" t="s">
        <v>57</v>
      </c>
      <c r="O3334">
        <v>2024</v>
      </c>
    </row>
    <row r="3335" spans="1:15" x14ac:dyDescent="0.3">
      <c r="A3335" t="s">
        <v>3420</v>
      </c>
      <c r="B3335" t="s">
        <v>23</v>
      </c>
      <c r="C3335" t="s">
        <v>62</v>
      </c>
      <c r="D3335" t="s">
        <v>99</v>
      </c>
      <c r="E3335" t="s">
        <v>81</v>
      </c>
      <c r="F3335" s="1">
        <v>45369</v>
      </c>
      <c r="G3335">
        <v>4</v>
      </c>
      <c r="H3335">
        <v>1662.61</v>
      </c>
      <c r="I3335">
        <v>5</v>
      </c>
      <c r="J3335" t="s">
        <v>45</v>
      </c>
      <c r="K3335">
        <v>332.52</v>
      </c>
      <c r="L3335">
        <v>6650.44</v>
      </c>
      <c r="M3335">
        <v>6317.92</v>
      </c>
      <c r="N3335" t="s">
        <v>83</v>
      </c>
      <c r="O3335">
        <v>2024</v>
      </c>
    </row>
    <row r="3336" spans="1:15" x14ac:dyDescent="0.3">
      <c r="A3336" t="s">
        <v>3421</v>
      </c>
      <c r="B3336" t="s">
        <v>43</v>
      </c>
      <c r="C3336" t="s">
        <v>54</v>
      </c>
      <c r="D3336" t="s">
        <v>70</v>
      </c>
      <c r="E3336" t="s">
        <v>81</v>
      </c>
      <c r="F3336" s="1">
        <v>45780</v>
      </c>
      <c r="G3336">
        <v>5</v>
      </c>
      <c r="H3336">
        <v>2536.3000000000002</v>
      </c>
      <c r="I3336">
        <v>10</v>
      </c>
      <c r="J3336" t="s">
        <v>20</v>
      </c>
      <c r="K3336">
        <v>1268.1500000000001</v>
      </c>
      <c r="L3336">
        <v>12681.5</v>
      </c>
      <c r="M3336">
        <v>11413.35</v>
      </c>
      <c r="N3336" t="s">
        <v>101</v>
      </c>
      <c r="O3336">
        <v>2025</v>
      </c>
    </row>
    <row r="3337" spans="1:15" x14ac:dyDescent="0.3">
      <c r="A3337" t="s">
        <v>3422</v>
      </c>
      <c r="B3337" t="s">
        <v>29</v>
      </c>
      <c r="C3337" t="s">
        <v>54</v>
      </c>
      <c r="D3337" t="s">
        <v>70</v>
      </c>
      <c r="E3337" t="s">
        <v>25</v>
      </c>
      <c r="F3337" s="1">
        <v>45397</v>
      </c>
      <c r="G3337">
        <v>7</v>
      </c>
      <c r="H3337">
        <v>2572.6999999999998</v>
      </c>
      <c r="I3337">
        <v>10</v>
      </c>
      <c r="J3337" t="s">
        <v>26</v>
      </c>
      <c r="K3337">
        <v>1800.89</v>
      </c>
      <c r="L3337">
        <v>18008.900000000001</v>
      </c>
      <c r="M3337">
        <v>16208.01</v>
      </c>
      <c r="N3337" t="s">
        <v>27</v>
      </c>
      <c r="O3337">
        <v>2024</v>
      </c>
    </row>
    <row r="3338" spans="1:15" x14ac:dyDescent="0.3">
      <c r="A3338" t="s">
        <v>3423</v>
      </c>
      <c r="B3338" t="s">
        <v>89</v>
      </c>
      <c r="C3338" t="s">
        <v>90</v>
      </c>
      <c r="D3338" t="s">
        <v>115</v>
      </c>
      <c r="E3338" t="s">
        <v>25</v>
      </c>
      <c r="F3338" s="1">
        <v>45753</v>
      </c>
      <c r="G3338">
        <v>9</v>
      </c>
      <c r="H3338">
        <v>7724.53</v>
      </c>
      <c r="I3338">
        <v>0</v>
      </c>
      <c r="J3338" t="s">
        <v>71</v>
      </c>
      <c r="K3338">
        <v>0</v>
      </c>
      <c r="L3338">
        <v>69520.77</v>
      </c>
      <c r="M3338">
        <v>69520.77</v>
      </c>
      <c r="N3338" t="s">
        <v>27</v>
      </c>
      <c r="O3338">
        <v>2025</v>
      </c>
    </row>
    <row r="3339" spans="1:15" x14ac:dyDescent="0.3">
      <c r="A3339" t="s">
        <v>3424</v>
      </c>
      <c r="B3339" t="s">
        <v>53</v>
      </c>
      <c r="C3339" t="s">
        <v>54</v>
      </c>
      <c r="D3339" t="s">
        <v>70</v>
      </c>
      <c r="E3339" t="s">
        <v>56</v>
      </c>
      <c r="F3339" s="1">
        <v>45706</v>
      </c>
      <c r="G3339">
        <v>10</v>
      </c>
      <c r="H3339">
        <v>2579.4499999999998</v>
      </c>
      <c r="I3339">
        <v>20</v>
      </c>
      <c r="J3339" t="s">
        <v>82</v>
      </c>
      <c r="K3339">
        <v>5158.8999999999996</v>
      </c>
      <c r="L3339">
        <v>25794.5</v>
      </c>
      <c r="M3339">
        <v>20635.599999999999</v>
      </c>
      <c r="N3339" t="s">
        <v>41</v>
      </c>
      <c r="O3339">
        <v>2025</v>
      </c>
    </row>
    <row r="3340" spans="1:15" x14ac:dyDescent="0.3">
      <c r="A3340" t="s">
        <v>3425</v>
      </c>
      <c r="B3340" t="s">
        <v>16</v>
      </c>
      <c r="C3340" t="s">
        <v>34</v>
      </c>
      <c r="D3340" t="s">
        <v>35</v>
      </c>
      <c r="E3340" t="s">
        <v>25</v>
      </c>
      <c r="F3340" s="1">
        <v>45387</v>
      </c>
      <c r="G3340">
        <v>2</v>
      </c>
      <c r="H3340">
        <v>24786.34</v>
      </c>
      <c r="I3340">
        <v>15</v>
      </c>
      <c r="J3340" t="s">
        <v>31</v>
      </c>
      <c r="K3340">
        <v>7435.9</v>
      </c>
      <c r="L3340">
        <v>49572.68</v>
      </c>
      <c r="M3340">
        <v>42136.78</v>
      </c>
      <c r="N3340" t="s">
        <v>27</v>
      </c>
      <c r="O3340">
        <v>2024</v>
      </c>
    </row>
    <row r="3341" spans="1:15" x14ac:dyDescent="0.3">
      <c r="A3341" t="s">
        <v>3426</v>
      </c>
      <c r="B3341" t="s">
        <v>23</v>
      </c>
      <c r="C3341" t="s">
        <v>90</v>
      </c>
      <c r="D3341" t="s">
        <v>91</v>
      </c>
      <c r="E3341" t="s">
        <v>25</v>
      </c>
      <c r="F3341" s="1">
        <v>45874</v>
      </c>
      <c r="G3341">
        <v>10</v>
      </c>
      <c r="H3341">
        <v>1526.26</v>
      </c>
      <c r="I3341">
        <v>15</v>
      </c>
      <c r="J3341" t="s">
        <v>82</v>
      </c>
      <c r="K3341">
        <v>2289.39</v>
      </c>
      <c r="L3341">
        <v>15262.6</v>
      </c>
      <c r="M3341">
        <v>12973.21</v>
      </c>
      <c r="N3341" t="s">
        <v>21</v>
      </c>
      <c r="O3341">
        <v>2025</v>
      </c>
    </row>
    <row r="3342" spans="1:15" x14ac:dyDescent="0.3">
      <c r="A3342" t="s">
        <v>3427</v>
      </c>
      <c r="B3342" t="s">
        <v>93</v>
      </c>
      <c r="C3342" t="s">
        <v>90</v>
      </c>
      <c r="D3342" t="s">
        <v>115</v>
      </c>
      <c r="E3342" t="s">
        <v>30</v>
      </c>
      <c r="F3342" s="1">
        <v>45971</v>
      </c>
      <c r="G3342">
        <v>4</v>
      </c>
      <c r="H3342">
        <v>8271.6299999999992</v>
      </c>
      <c r="I3342">
        <v>0</v>
      </c>
      <c r="J3342" t="s">
        <v>20</v>
      </c>
      <c r="K3342">
        <v>0</v>
      </c>
      <c r="L3342">
        <v>33086.519999999997</v>
      </c>
      <c r="M3342">
        <v>33086.519999999997</v>
      </c>
      <c r="N3342" t="s">
        <v>96</v>
      </c>
      <c r="O3342">
        <v>2025</v>
      </c>
    </row>
    <row r="3343" spans="1:15" x14ac:dyDescent="0.3">
      <c r="A3343" t="s">
        <v>3428</v>
      </c>
      <c r="B3343" t="s">
        <v>16</v>
      </c>
      <c r="C3343" t="s">
        <v>90</v>
      </c>
      <c r="D3343" t="s">
        <v>105</v>
      </c>
      <c r="E3343" t="s">
        <v>19</v>
      </c>
      <c r="F3343" s="1">
        <v>45632</v>
      </c>
      <c r="G3343">
        <v>9</v>
      </c>
      <c r="H3343">
        <v>3664.6</v>
      </c>
      <c r="I3343">
        <v>5</v>
      </c>
      <c r="J3343" t="s">
        <v>26</v>
      </c>
      <c r="K3343">
        <v>1649.07</v>
      </c>
      <c r="L3343">
        <v>32981.4</v>
      </c>
      <c r="M3343">
        <v>31332.33</v>
      </c>
      <c r="N3343" t="s">
        <v>51</v>
      </c>
      <c r="O3343">
        <v>2024</v>
      </c>
    </row>
    <row r="3344" spans="1:15" x14ac:dyDescent="0.3">
      <c r="A3344" t="s">
        <v>3429</v>
      </c>
      <c r="B3344" t="s">
        <v>61</v>
      </c>
      <c r="C3344" t="s">
        <v>62</v>
      </c>
      <c r="D3344" t="s">
        <v>119</v>
      </c>
      <c r="E3344" t="s">
        <v>81</v>
      </c>
      <c r="F3344" s="1">
        <v>45894</v>
      </c>
      <c r="G3344">
        <v>6</v>
      </c>
      <c r="H3344">
        <v>3519.23</v>
      </c>
      <c r="I3344">
        <v>15</v>
      </c>
      <c r="J3344" t="s">
        <v>82</v>
      </c>
      <c r="K3344">
        <v>3167.31</v>
      </c>
      <c r="L3344">
        <v>21115.38</v>
      </c>
      <c r="M3344">
        <v>17948.07</v>
      </c>
      <c r="N3344" t="s">
        <v>21</v>
      </c>
      <c r="O3344">
        <v>2025</v>
      </c>
    </row>
    <row r="3345" spans="1:15" x14ac:dyDescent="0.3">
      <c r="A3345" t="s">
        <v>3430</v>
      </c>
      <c r="B3345" t="s">
        <v>33</v>
      </c>
      <c r="C3345" t="s">
        <v>34</v>
      </c>
      <c r="D3345" t="s">
        <v>66</v>
      </c>
      <c r="E3345" t="s">
        <v>50</v>
      </c>
      <c r="F3345" s="1">
        <v>45537</v>
      </c>
      <c r="G3345">
        <v>4</v>
      </c>
      <c r="H3345">
        <v>41785.019999999997</v>
      </c>
      <c r="I3345">
        <v>20</v>
      </c>
      <c r="J3345" t="s">
        <v>45</v>
      </c>
      <c r="K3345">
        <v>33428.019999999997</v>
      </c>
      <c r="L3345">
        <v>167140.07999999999</v>
      </c>
      <c r="M3345">
        <v>133712.06</v>
      </c>
      <c r="N3345" t="s">
        <v>86</v>
      </c>
      <c r="O3345">
        <v>2024</v>
      </c>
    </row>
    <row r="3346" spans="1:15" x14ac:dyDescent="0.3">
      <c r="A3346" t="s">
        <v>3431</v>
      </c>
      <c r="B3346" t="s">
        <v>43</v>
      </c>
      <c r="C3346" t="s">
        <v>54</v>
      </c>
      <c r="D3346" t="s">
        <v>55</v>
      </c>
      <c r="E3346" t="s">
        <v>50</v>
      </c>
      <c r="F3346" s="1">
        <v>45701</v>
      </c>
      <c r="G3346">
        <v>3</v>
      </c>
      <c r="H3346">
        <v>1108.28</v>
      </c>
      <c r="I3346">
        <v>15</v>
      </c>
      <c r="J3346" t="s">
        <v>31</v>
      </c>
      <c r="K3346">
        <v>498.73</v>
      </c>
      <c r="L3346">
        <v>3324.84</v>
      </c>
      <c r="M3346">
        <v>2826.11</v>
      </c>
      <c r="N3346" t="s">
        <v>41</v>
      </c>
      <c r="O3346">
        <v>2025</v>
      </c>
    </row>
    <row r="3347" spans="1:15" x14ac:dyDescent="0.3">
      <c r="A3347" t="s">
        <v>3432</v>
      </c>
      <c r="B3347" t="s">
        <v>109</v>
      </c>
      <c r="C3347" t="s">
        <v>62</v>
      </c>
      <c r="D3347" t="s">
        <v>132</v>
      </c>
      <c r="E3347" t="s">
        <v>25</v>
      </c>
      <c r="F3347" s="1">
        <v>45844</v>
      </c>
      <c r="G3347">
        <v>5</v>
      </c>
      <c r="H3347">
        <v>2830.64</v>
      </c>
      <c r="I3347">
        <v>15</v>
      </c>
      <c r="J3347" t="s">
        <v>45</v>
      </c>
      <c r="K3347">
        <v>2122.98</v>
      </c>
      <c r="L3347">
        <v>14153.2</v>
      </c>
      <c r="M3347">
        <v>12030.22</v>
      </c>
      <c r="N3347" t="s">
        <v>122</v>
      </c>
      <c r="O3347">
        <v>2025</v>
      </c>
    </row>
    <row r="3348" spans="1:15" x14ac:dyDescent="0.3">
      <c r="A3348" t="s">
        <v>3433</v>
      </c>
      <c r="B3348" t="s">
        <v>93</v>
      </c>
      <c r="C3348" t="s">
        <v>54</v>
      </c>
      <c r="D3348" t="s">
        <v>68</v>
      </c>
      <c r="E3348" t="s">
        <v>44</v>
      </c>
      <c r="F3348" s="1">
        <v>45296</v>
      </c>
      <c r="G3348">
        <v>4</v>
      </c>
      <c r="H3348">
        <v>4057.27</v>
      </c>
      <c r="I3348">
        <v>20</v>
      </c>
      <c r="J3348" t="s">
        <v>20</v>
      </c>
      <c r="K3348">
        <v>3245.82</v>
      </c>
      <c r="L3348">
        <v>16229.08</v>
      </c>
      <c r="M3348">
        <v>12983.26</v>
      </c>
      <c r="N3348" t="s">
        <v>116</v>
      </c>
      <c r="O3348">
        <v>2024</v>
      </c>
    </row>
    <row r="3349" spans="1:15" x14ac:dyDescent="0.3">
      <c r="A3349" t="s">
        <v>3434</v>
      </c>
      <c r="B3349" t="s">
        <v>53</v>
      </c>
      <c r="C3349" t="s">
        <v>62</v>
      </c>
      <c r="D3349" t="s">
        <v>63</v>
      </c>
      <c r="E3349" t="s">
        <v>44</v>
      </c>
      <c r="F3349" s="1">
        <v>45475</v>
      </c>
      <c r="G3349">
        <v>8</v>
      </c>
      <c r="H3349">
        <v>1959.28</v>
      </c>
      <c r="I3349">
        <v>15</v>
      </c>
      <c r="J3349" t="s">
        <v>71</v>
      </c>
      <c r="K3349">
        <v>2351.14</v>
      </c>
      <c r="L3349">
        <v>15674.24</v>
      </c>
      <c r="M3349">
        <v>13323.1</v>
      </c>
      <c r="N3349" t="s">
        <v>122</v>
      </c>
      <c r="O3349">
        <v>2024</v>
      </c>
    </row>
    <row r="3350" spans="1:15" x14ac:dyDescent="0.3">
      <c r="A3350" t="s">
        <v>3435</v>
      </c>
      <c r="B3350" t="s">
        <v>74</v>
      </c>
      <c r="C3350" t="s">
        <v>54</v>
      </c>
      <c r="D3350" t="s">
        <v>77</v>
      </c>
      <c r="E3350" t="s">
        <v>30</v>
      </c>
      <c r="F3350" s="1">
        <v>45553</v>
      </c>
      <c r="G3350">
        <v>6</v>
      </c>
      <c r="H3350">
        <v>4587.04</v>
      </c>
      <c r="I3350">
        <v>10</v>
      </c>
      <c r="J3350" t="s">
        <v>20</v>
      </c>
      <c r="K3350">
        <v>2752.22</v>
      </c>
      <c r="L3350">
        <v>27522.240000000002</v>
      </c>
      <c r="M3350">
        <v>24770.02</v>
      </c>
      <c r="N3350" t="s">
        <v>86</v>
      </c>
      <c r="O3350">
        <v>2024</v>
      </c>
    </row>
    <row r="3351" spans="1:15" x14ac:dyDescent="0.3">
      <c r="A3351" t="s">
        <v>3436</v>
      </c>
      <c r="B3351" t="s">
        <v>33</v>
      </c>
      <c r="C3351" t="s">
        <v>17</v>
      </c>
      <c r="D3351" t="s">
        <v>59</v>
      </c>
      <c r="E3351" t="s">
        <v>50</v>
      </c>
      <c r="F3351" s="1">
        <v>45599</v>
      </c>
      <c r="G3351">
        <v>7</v>
      </c>
      <c r="H3351">
        <v>25482.16</v>
      </c>
      <c r="I3351">
        <v>5</v>
      </c>
      <c r="J3351" t="s">
        <v>45</v>
      </c>
      <c r="K3351">
        <v>8918.76</v>
      </c>
      <c r="L3351">
        <v>178375.12</v>
      </c>
      <c r="M3351">
        <v>169456.36</v>
      </c>
      <c r="N3351" t="s">
        <v>96</v>
      </c>
      <c r="O3351">
        <v>2024</v>
      </c>
    </row>
    <row r="3352" spans="1:15" x14ac:dyDescent="0.3">
      <c r="A3352" t="s">
        <v>3437</v>
      </c>
      <c r="B3352" t="s">
        <v>89</v>
      </c>
      <c r="C3352" t="s">
        <v>17</v>
      </c>
      <c r="D3352" t="s">
        <v>24</v>
      </c>
      <c r="E3352" t="s">
        <v>44</v>
      </c>
      <c r="F3352" s="1">
        <v>45299</v>
      </c>
      <c r="G3352">
        <v>9</v>
      </c>
      <c r="H3352">
        <v>3387.07</v>
      </c>
      <c r="I3352">
        <v>15</v>
      </c>
      <c r="J3352" t="s">
        <v>20</v>
      </c>
      <c r="K3352">
        <v>4572.54</v>
      </c>
      <c r="L3352">
        <v>30483.63</v>
      </c>
      <c r="M3352">
        <v>25911.09</v>
      </c>
      <c r="N3352" t="s">
        <v>116</v>
      </c>
      <c r="O3352">
        <v>2024</v>
      </c>
    </row>
    <row r="3353" spans="1:15" x14ac:dyDescent="0.3">
      <c r="A3353" t="s">
        <v>3438</v>
      </c>
      <c r="B3353" t="s">
        <v>61</v>
      </c>
      <c r="C3353" t="s">
        <v>34</v>
      </c>
      <c r="D3353" t="s">
        <v>80</v>
      </c>
      <c r="E3353" t="s">
        <v>56</v>
      </c>
      <c r="F3353" s="1">
        <v>45860</v>
      </c>
      <c r="G3353">
        <v>3</v>
      </c>
      <c r="H3353">
        <v>6825.2</v>
      </c>
      <c r="I3353">
        <v>15</v>
      </c>
      <c r="J3353" t="s">
        <v>20</v>
      </c>
      <c r="K3353">
        <v>3071.34</v>
      </c>
      <c r="L3353">
        <v>20475.599999999999</v>
      </c>
      <c r="M3353">
        <v>17404.259999999998</v>
      </c>
      <c r="N3353" t="s">
        <v>122</v>
      </c>
      <c r="O3353">
        <v>2025</v>
      </c>
    </row>
    <row r="3354" spans="1:15" x14ac:dyDescent="0.3">
      <c r="A3354" t="s">
        <v>3439</v>
      </c>
      <c r="B3354" t="s">
        <v>114</v>
      </c>
      <c r="C3354" t="s">
        <v>90</v>
      </c>
      <c r="D3354" t="s">
        <v>152</v>
      </c>
      <c r="E3354" t="s">
        <v>30</v>
      </c>
      <c r="F3354" s="1">
        <v>45415</v>
      </c>
      <c r="G3354">
        <v>9</v>
      </c>
      <c r="H3354">
        <v>9731.2199999999993</v>
      </c>
      <c r="I3354">
        <v>10</v>
      </c>
      <c r="J3354" t="s">
        <v>82</v>
      </c>
      <c r="K3354">
        <v>8758.1</v>
      </c>
      <c r="L3354">
        <v>87580.98</v>
      </c>
      <c r="M3354">
        <v>78822.880000000005</v>
      </c>
      <c r="N3354" t="s">
        <v>101</v>
      </c>
      <c r="O3354">
        <v>2024</v>
      </c>
    </row>
    <row r="3355" spans="1:15" x14ac:dyDescent="0.3">
      <c r="A3355" t="s">
        <v>3440</v>
      </c>
      <c r="B3355" t="s">
        <v>61</v>
      </c>
      <c r="C3355" t="s">
        <v>34</v>
      </c>
      <c r="D3355" t="s">
        <v>35</v>
      </c>
      <c r="E3355" t="s">
        <v>81</v>
      </c>
      <c r="F3355" s="1">
        <v>45495</v>
      </c>
      <c r="G3355">
        <v>1</v>
      </c>
      <c r="H3355">
        <v>27376.45</v>
      </c>
      <c r="I3355">
        <v>0</v>
      </c>
      <c r="J3355" t="s">
        <v>31</v>
      </c>
      <c r="K3355">
        <v>0</v>
      </c>
      <c r="L3355">
        <v>27376.45</v>
      </c>
      <c r="M3355">
        <v>27376.45</v>
      </c>
      <c r="N3355" t="s">
        <v>122</v>
      </c>
      <c r="O3355">
        <v>2024</v>
      </c>
    </row>
    <row r="3356" spans="1:15" x14ac:dyDescent="0.3">
      <c r="A3356" t="s">
        <v>3441</v>
      </c>
      <c r="B3356" t="s">
        <v>114</v>
      </c>
      <c r="C3356" t="s">
        <v>17</v>
      </c>
      <c r="D3356" t="s">
        <v>157</v>
      </c>
      <c r="E3356" t="s">
        <v>25</v>
      </c>
      <c r="F3356" s="1">
        <v>45366</v>
      </c>
      <c r="G3356">
        <v>1</v>
      </c>
      <c r="H3356">
        <v>7747.74</v>
      </c>
      <c r="I3356">
        <v>10</v>
      </c>
      <c r="J3356" t="s">
        <v>36</v>
      </c>
      <c r="K3356">
        <v>774.77</v>
      </c>
      <c r="L3356">
        <v>7747.74</v>
      </c>
      <c r="M3356">
        <v>6972.97</v>
      </c>
      <c r="N3356" t="s">
        <v>83</v>
      </c>
      <c r="O3356">
        <v>2024</v>
      </c>
    </row>
    <row r="3357" spans="1:15" x14ac:dyDescent="0.3">
      <c r="A3357" t="s">
        <v>3442</v>
      </c>
      <c r="B3357" t="s">
        <v>43</v>
      </c>
      <c r="C3357" t="s">
        <v>34</v>
      </c>
      <c r="D3357" t="s">
        <v>85</v>
      </c>
      <c r="E3357" t="s">
        <v>30</v>
      </c>
      <c r="F3357" s="1">
        <v>45792</v>
      </c>
      <c r="G3357">
        <v>4</v>
      </c>
      <c r="H3357">
        <v>13465.34</v>
      </c>
      <c r="I3357">
        <v>0</v>
      </c>
      <c r="J3357" t="s">
        <v>40</v>
      </c>
      <c r="K3357">
        <v>0</v>
      </c>
      <c r="L3357">
        <v>53861.36</v>
      </c>
      <c r="M3357">
        <v>53861.36</v>
      </c>
      <c r="N3357" t="s">
        <v>101</v>
      </c>
      <c r="O3357">
        <v>2025</v>
      </c>
    </row>
    <row r="3358" spans="1:15" x14ac:dyDescent="0.3">
      <c r="A3358" t="s">
        <v>3443</v>
      </c>
      <c r="B3358" t="s">
        <v>38</v>
      </c>
      <c r="C3358" t="s">
        <v>62</v>
      </c>
      <c r="D3358" t="s">
        <v>99</v>
      </c>
      <c r="E3358" t="s">
        <v>44</v>
      </c>
      <c r="F3358" s="1">
        <v>45772</v>
      </c>
      <c r="G3358">
        <v>2</v>
      </c>
      <c r="H3358">
        <v>1634.02</v>
      </c>
      <c r="I3358">
        <v>15</v>
      </c>
      <c r="J3358" t="s">
        <v>71</v>
      </c>
      <c r="K3358">
        <v>490.21</v>
      </c>
      <c r="L3358">
        <v>3268.04</v>
      </c>
      <c r="M3358">
        <v>2777.83</v>
      </c>
      <c r="N3358" t="s">
        <v>27</v>
      </c>
      <c r="O3358">
        <v>2025</v>
      </c>
    </row>
    <row r="3359" spans="1:15" x14ac:dyDescent="0.3">
      <c r="A3359" t="s">
        <v>3444</v>
      </c>
      <c r="B3359" t="s">
        <v>93</v>
      </c>
      <c r="C3359" t="s">
        <v>17</v>
      </c>
      <c r="D3359" t="s">
        <v>24</v>
      </c>
      <c r="E3359" t="s">
        <v>30</v>
      </c>
      <c r="F3359" s="1">
        <v>45402</v>
      </c>
      <c r="G3359">
        <v>7</v>
      </c>
      <c r="H3359">
        <v>2973.57</v>
      </c>
      <c r="I3359">
        <v>20</v>
      </c>
      <c r="J3359" t="s">
        <v>71</v>
      </c>
      <c r="K3359">
        <v>4163</v>
      </c>
      <c r="L3359">
        <v>20814.990000000002</v>
      </c>
      <c r="M3359">
        <v>16651.990000000002</v>
      </c>
      <c r="N3359" t="s">
        <v>27</v>
      </c>
      <c r="O3359">
        <v>2024</v>
      </c>
    </row>
    <row r="3360" spans="1:15" x14ac:dyDescent="0.3">
      <c r="A3360" t="s">
        <v>3445</v>
      </c>
      <c r="B3360" t="s">
        <v>74</v>
      </c>
      <c r="C3360" t="s">
        <v>90</v>
      </c>
      <c r="D3360" t="s">
        <v>115</v>
      </c>
      <c r="E3360" t="s">
        <v>56</v>
      </c>
      <c r="F3360" s="1">
        <v>45758</v>
      </c>
      <c r="G3360">
        <v>7</v>
      </c>
      <c r="H3360">
        <v>7791.99</v>
      </c>
      <c r="I3360">
        <v>20</v>
      </c>
      <c r="J3360" t="s">
        <v>31</v>
      </c>
      <c r="K3360">
        <v>10908.79</v>
      </c>
      <c r="L3360">
        <v>54543.93</v>
      </c>
      <c r="M3360">
        <v>43635.14</v>
      </c>
      <c r="N3360" t="s">
        <v>27</v>
      </c>
      <c r="O3360">
        <v>2025</v>
      </c>
    </row>
    <row r="3361" spans="1:15" x14ac:dyDescent="0.3">
      <c r="A3361" t="s">
        <v>3446</v>
      </c>
      <c r="B3361" t="s">
        <v>65</v>
      </c>
      <c r="C3361" t="s">
        <v>54</v>
      </c>
      <c r="D3361" t="s">
        <v>68</v>
      </c>
      <c r="E3361" t="s">
        <v>44</v>
      </c>
      <c r="F3361" s="1">
        <v>45491</v>
      </c>
      <c r="G3361">
        <v>5</v>
      </c>
      <c r="H3361">
        <v>4926.3500000000004</v>
      </c>
      <c r="I3361">
        <v>0</v>
      </c>
      <c r="J3361" t="s">
        <v>20</v>
      </c>
      <c r="K3361">
        <v>0</v>
      </c>
      <c r="L3361">
        <v>24631.75</v>
      </c>
      <c r="M3361">
        <v>24631.75</v>
      </c>
      <c r="N3361" t="s">
        <v>122</v>
      </c>
      <c r="O3361">
        <v>2024</v>
      </c>
    </row>
    <row r="3362" spans="1:15" x14ac:dyDescent="0.3">
      <c r="A3362" t="s">
        <v>3447</v>
      </c>
      <c r="B3362" t="s">
        <v>16</v>
      </c>
      <c r="C3362" t="s">
        <v>17</v>
      </c>
      <c r="D3362" t="s">
        <v>24</v>
      </c>
      <c r="E3362" t="s">
        <v>19</v>
      </c>
      <c r="F3362" s="1">
        <v>45457</v>
      </c>
      <c r="G3362">
        <v>5</v>
      </c>
      <c r="H3362">
        <v>3408.73</v>
      </c>
      <c r="I3362">
        <v>15</v>
      </c>
      <c r="J3362" t="s">
        <v>36</v>
      </c>
      <c r="K3362">
        <v>2556.5500000000002</v>
      </c>
      <c r="L3362">
        <v>17043.650000000001</v>
      </c>
      <c r="M3362">
        <v>14487.1</v>
      </c>
      <c r="N3362" t="s">
        <v>72</v>
      </c>
      <c r="O3362">
        <v>2024</v>
      </c>
    </row>
    <row r="3363" spans="1:15" x14ac:dyDescent="0.3">
      <c r="A3363" t="s">
        <v>3448</v>
      </c>
      <c r="B3363" t="s">
        <v>74</v>
      </c>
      <c r="C3363" t="s">
        <v>62</v>
      </c>
      <c r="D3363" t="s">
        <v>63</v>
      </c>
      <c r="E3363" t="s">
        <v>56</v>
      </c>
      <c r="F3363" s="1">
        <v>46003</v>
      </c>
      <c r="G3363">
        <v>3</v>
      </c>
      <c r="H3363">
        <v>1844.96</v>
      </c>
      <c r="I3363">
        <v>0</v>
      </c>
      <c r="J3363" t="s">
        <v>20</v>
      </c>
      <c r="K3363">
        <v>0</v>
      </c>
      <c r="L3363">
        <v>5534.88</v>
      </c>
      <c r="M3363">
        <v>5534.88</v>
      </c>
      <c r="N3363" t="s">
        <v>51</v>
      </c>
      <c r="O3363">
        <v>2025</v>
      </c>
    </row>
    <row r="3364" spans="1:15" x14ac:dyDescent="0.3">
      <c r="A3364" t="s">
        <v>3449</v>
      </c>
      <c r="B3364" t="s">
        <v>74</v>
      </c>
      <c r="C3364" t="s">
        <v>54</v>
      </c>
      <c r="D3364" t="s">
        <v>70</v>
      </c>
      <c r="E3364" t="s">
        <v>19</v>
      </c>
      <c r="F3364" s="1">
        <v>45930</v>
      </c>
      <c r="G3364">
        <v>1</v>
      </c>
      <c r="H3364">
        <v>2536.66</v>
      </c>
      <c r="I3364">
        <v>10</v>
      </c>
      <c r="J3364" t="s">
        <v>20</v>
      </c>
      <c r="K3364">
        <v>253.67</v>
      </c>
      <c r="L3364">
        <v>2536.66</v>
      </c>
      <c r="M3364">
        <v>2282.9899999999998</v>
      </c>
      <c r="N3364" t="s">
        <v>86</v>
      </c>
      <c r="O3364">
        <v>2025</v>
      </c>
    </row>
    <row r="3365" spans="1:15" x14ac:dyDescent="0.3">
      <c r="A3365" t="s">
        <v>3450</v>
      </c>
      <c r="B3365" t="s">
        <v>61</v>
      </c>
      <c r="C3365" t="s">
        <v>62</v>
      </c>
      <c r="D3365" t="s">
        <v>99</v>
      </c>
      <c r="E3365" t="s">
        <v>50</v>
      </c>
      <c r="F3365" s="1">
        <v>45343</v>
      </c>
      <c r="G3365">
        <v>2</v>
      </c>
      <c r="H3365">
        <v>1475.47</v>
      </c>
      <c r="I3365">
        <v>20</v>
      </c>
      <c r="J3365" t="s">
        <v>31</v>
      </c>
      <c r="K3365">
        <v>590.19000000000005</v>
      </c>
      <c r="L3365">
        <v>2950.94</v>
      </c>
      <c r="M3365">
        <v>2360.75</v>
      </c>
      <c r="N3365" t="s">
        <v>41</v>
      </c>
      <c r="O3365">
        <v>2024</v>
      </c>
    </row>
    <row r="3366" spans="1:15" x14ac:dyDescent="0.3">
      <c r="A3366" t="s">
        <v>3451</v>
      </c>
      <c r="B3366" t="s">
        <v>114</v>
      </c>
      <c r="C3366" t="s">
        <v>17</v>
      </c>
      <c r="D3366" t="s">
        <v>18</v>
      </c>
      <c r="E3366" t="s">
        <v>19</v>
      </c>
      <c r="F3366" s="1">
        <v>46010</v>
      </c>
      <c r="G3366">
        <v>2</v>
      </c>
      <c r="H3366">
        <v>65133.93</v>
      </c>
      <c r="I3366">
        <v>15</v>
      </c>
      <c r="J3366" t="s">
        <v>26</v>
      </c>
      <c r="K3366">
        <v>19540.18</v>
      </c>
      <c r="L3366">
        <v>130267.86</v>
      </c>
      <c r="M3366">
        <v>110727.67999999999</v>
      </c>
      <c r="N3366" t="s">
        <v>51</v>
      </c>
      <c r="O3366">
        <v>2025</v>
      </c>
    </row>
    <row r="3367" spans="1:15" x14ac:dyDescent="0.3">
      <c r="A3367" t="s">
        <v>3452</v>
      </c>
      <c r="B3367" t="s">
        <v>109</v>
      </c>
      <c r="C3367" t="s">
        <v>34</v>
      </c>
      <c r="D3367" t="s">
        <v>35</v>
      </c>
      <c r="E3367" t="s">
        <v>25</v>
      </c>
      <c r="F3367" s="1">
        <v>45429</v>
      </c>
      <c r="G3367">
        <v>7</v>
      </c>
      <c r="H3367">
        <v>24679.06</v>
      </c>
      <c r="I3367">
        <v>20</v>
      </c>
      <c r="J3367" t="s">
        <v>26</v>
      </c>
      <c r="K3367">
        <v>34550.68</v>
      </c>
      <c r="L3367">
        <v>172753.42</v>
      </c>
      <c r="M3367">
        <v>138202.74</v>
      </c>
      <c r="N3367" t="s">
        <v>101</v>
      </c>
      <c r="O3367">
        <v>2024</v>
      </c>
    </row>
    <row r="3368" spans="1:15" x14ac:dyDescent="0.3">
      <c r="A3368" t="s">
        <v>3453</v>
      </c>
      <c r="B3368" t="s">
        <v>38</v>
      </c>
      <c r="C3368" t="s">
        <v>34</v>
      </c>
      <c r="D3368" t="s">
        <v>48</v>
      </c>
      <c r="E3368" t="s">
        <v>56</v>
      </c>
      <c r="F3368" s="1">
        <v>45904</v>
      </c>
      <c r="G3368">
        <v>8</v>
      </c>
      <c r="H3368">
        <v>8927.0300000000007</v>
      </c>
      <c r="I3368">
        <v>5</v>
      </c>
      <c r="J3368" t="s">
        <v>45</v>
      </c>
      <c r="K3368">
        <v>3570.81</v>
      </c>
      <c r="L3368">
        <v>71416.240000000005</v>
      </c>
      <c r="M3368">
        <v>67845.429999999993</v>
      </c>
      <c r="N3368" t="s">
        <v>86</v>
      </c>
      <c r="O3368">
        <v>2025</v>
      </c>
    </row>
    <row r="3369" spans="1:15" x14ac:dyDescent="0.3">
      <c r="A3369" t="s">
        <v>3454</v>
      </c>
      <c r="B3369" t="s">
        <v>43</v>
      </c>
      <c r="C3369" t="s">
        <v>34</v>
      </c>
      <c r="D3369" t="s">
        <v>48</v>
      </c>
      <c r="E3369" t="s">
        <v>81</v>
      </c>
      <c r="F3369" s="1">
        <v>45658</v>
      </c>
      <c r="G3369">
        <v>8</v>
      </c>
      <c r="H3369">
        <v>8988.86</v>
      </c>
      <c r="I3369">
        <v>20</v>
      </c>
      <c r="J3369" t="s">
        <v>20</v>
      </c>
      <c r="K3369">
        <v>14382.18</v>
      </c>
      <c r="L3369">
        <v>71910.880000000005</v>
      </c>
      <c r="M3369">
        <v>57528.7</v>
      </c>
      <c r="N3369" t="s">
        <v>116</v>
      </c>
      <c r="O3369">
        <v>2025</v>
      </c>
    </row>
    <row r="3370" spans="1:15" x14ac:dyDescent="0.3">
      <c r="A3370" t="s">
        <v>3455</v>
      </c>
      <c r="B3370" t="s">
        <v>43</v>
      </c>
      <c r="C3370" t="s">
        <v>34</v>
      </c>
      <c r="D3370" t="s">
        <v>80</v>
      </c>
      <c r="E3370" t="s">
        <v>81</v>
      </c>
      <c r="F3370" s="1">
        <v>45775</v>
      </c>
      <c r="G3370">
        <v>10</v>
      </c>
      <c r="H3370">
        <v>5536.93</v>
      </c>
      <c r="I3370">
        <v>10</v>
      </c>
      <c r="J3370" t="s">
        <v>31</v>
      </c>
      <c r="K3370">
        <v>5536.93</v>
      </c>
      <c r="L3370">
        <v>55369.3</v>
      </c>
      <c r="M3370">
        <v>49832.37</v>
      </c>
      <c r="N3370" t="s">
        <v>27</v>
      </c>
      <c r="O3370">
        <v>2025</v>
      </c>
    </row>
    <row r="3371" spans="1:15" x14ac:dyDescent="0.3">
      <c r="A3371" t="s">
        <v>3456</v>
      </c>
      <c r="B3371" t="s">
        <v>114</v>
      </c>
      <c r="C3371" t="s">
        <v>90</v>
      </c>
      <c r="D3371" t="s">
        <v>107</v>
      </c>
      <c r="E3371" t="s">
        <v>30</v>
      </c>
      <c r="F3371" s="1">
        <v>45940</v>
      </c>
      <c r="G3371">
        <v>7</v>
      </c>
      <c r="H3371">
        <v>14695.11</v>
      </c>
      <c r="I3371">
        <v>5</v>
      </c>
      <c r="J3371" t="s">
        <v>31</v>
      </c>
      <c r="K3371">
        <v>5143.29</v>
      </c>
      <c r="L3371">
        <v>102865.77</v>
      </c>
      <c r="M3371">
        <v>97722.48</v>
      </c>
      <c r="N3371" t="s">
        <v>57</v>
      </c>
      <c r="O3371">
        <v>2025</v>
      </c>
    </row>
    <row r="3372" spans="1:15" x14ac:dyDescent="0.3">
      <c r="A3372" t="s">
        <v>3457</v>
      </c>
      <c r="B3372" t="s">
        <v>114</v>
      </c>
      <c r="C3372" t="s">
        <v>34</v>
      </c>
      <c r="D3372" t="s">
        <v>80</v>
      </c>
      <c r="E3372" t="s">
        <v>50</v>
      </c>
      <c r="F3372" s="1">
        <v>45798</v>
      </c>
      <c r="G3372">
        <v>3</v>
      </c>
      <c r="H3372">
        <v>6625.93</v>
      </c>
      <c r="I3372">
        <v>15</v>
      </c>
      <c r="J3372" t="s">
        <v>82</v>
      </c>
      <c r="K3372">
        <v>2981.67</v>
      </c>
      <c r="L3372">
        <v>19877.79</v>
      </c>
      <c r="M3372">
        <v>16896.12</v>
      </c>
      <c r="N3372" t="s">
        <v>101</v>
      </c>
      <c r="O3372">
        <v>2025</v>
      </c>
    </row>
    <row r="3373" spans="1:15" x14ac:dyDescent="0.3">
      <c r="A3373" t="s">
        <v>3458</v>
      </c>
      <c r="B3373" t="s">
        <v>53</v>
      </c>
      <c r="C3373" t="s">
        <v>90</v>
      </c>
      <c r="D3373" t="s">
        <v>115</v>
      </c>
      <c r="E3373" t="s">
        <v>44</v>
      </c>
      <c r="F3373" s="1">
        <v>45609</v>
      </c>
      <c r="G3373">
        <v>7</v>
      </c>
      <c r="H3373">
        <v>9105.2000000000007</v>
      </c>
      <c r="I3373">
        <v>10</v>
      </c>
      <c r="J3373" t="s">
        <v>36</v>
      </c>
      <c r="K3373">
        <v>6373.64</v>
      </c>
      <c r="L3373">
        <v>63736.4</v>
      </c>
      <c r="M3373">
        <v>57362.76</v>
      </c>
      <c r="N3373" t="s">
        <v>96</v>
      </c>
      <c r="O3373">
        <v>2024</v>
      </c>
    </row>
    <row r="3374" spans="1:15" x14ac:dyDescent="0.3">
      <c r="A3374" t="s">
        <v>3459</v>
      </c>
      <c r="B3374" t="s">
        <v>16</v>
      </c>
      <c r="C3374" t="s">
        <v>54</v>
      </c>
      <c r="D3374" t="s">
        <v>55</v>
      </c>
      <c r="E3374" t="s">
        <v>56</v>
      </c>
      <c r="F3374" s="1">
        <v>45589</v>
      </c>
      <c r="G3374">
        <v>1</v>
      </c>
      <c r="H3374">
        <v>1201</v>
      </c>
      <c r="I3374">
        <v>0</v>
      </c>
      <c r="J3374" t="s">
        <v>36</v>
      </c>
      <c r="K3374">
        <v>0</v>
      </c>
      <c r="L3374">
        <v>1201</v>
      </c>
      <c r="M3374">
        <v>1201</v>
      </c>
      <c r="N3374" t="s">
        <v>57</v>
      </c>
      <c r="O3374">
        <v>2024</v>
      </c>
    </row>
    <row r="3375" spans="1:15" x14ac:dyDescent="0.3">
      <c r="A3375" t="s">
        <v>3460</v>
      </c>
      <c r="B3375" t="s">
        <v>65</v>
      </c>
      <c r="C3375" t="s">
        <v>34</v>
      </c>
      <c r="D3375" t="s">
        <v>80</v>
      </c>
      <c r="E3375" t="s">
        <v>56</v>
      </c>
      <c r="F3375" s="1">
        <v>45380</v>
      </c>
      <c r="G3375">
        <v>5</v>
      </c>
      <c r="H3375">
        <v>6399.81</v>
      </c>
      <c r="I3375">
        <v>15</v>
      </c>
      <c r="J3375" t="s">
        <v>26</v>
      </c>
      <c r="K3375">
        <v>4799.8599999999997</v>
      </c>
      <c r="L3375">
        <v>31999.05</v>
      </c>
      <c r="M3375">
        <v>27199.19</v>
      </c>
      <c r="N3375" t="s">
        <v>83</v>
      </c>
      <c r="O3375">
        <v>2024</v>
      </c>
    </row>
    <row r="3376" spans="1:15" x14ac:dyDescent="0.3">
      <c r="A3376" t="s">
        <v>3461</v>
      </c>
      <c r="B3376" t="s">
        <v>47</v>
      </c>
      <c r="C3376" t="s">
        <v>17</v>
      </c>
      <c r="D3376" t="s">
        <v>39</v>
      </c>
      <c r="E3376" t="s">
        <v>81</v>
      </c>
      <c r="F3376" s="1">
        <v>45864</v>
      </c>
      <c r="G3376">
        <v>6</v>
      </c>
      <c r="H3376">
        <v>17459.12</v>
      </c>
      <c r="I3376">
        <v>5</v>
      </c>
      <c r="J3376" t="s">
        <v>26</v>
      </c>
      <c r="K3376">
        <v>5237.74</v>
      </c>
      <c r="L3376">
        <v>104754.72</v>
      </c>
      <c r="M3376">
        <v>99516.98</v>
      </c>
      <c r="N3376" t="s">
        <v>122</v>
      </c>
      <c r="O3376">
        <v>2025</v>
      </c>
    </row>
    <row r="3377" spans="1:15" x14ac:dyDescent="0.3">
      <c r="A3377" t="s">
        <v>3462</v>
      </c>
      <c r="B3377" t="s">
        <v>23</v>
      </c>
      <c r="C3377" t="s">
        <v>90</v>
      </c>
      <c r="D3377" t="s">
        <v>105</v>
      </c>
      <c r="E3377" t="s">
        <v>30</v>
      </c>
      <c r="F3377" s="1">
        <v>45350</v>
      </c>
      <c r="G3377">
        <v>4</v>
      </c>
      <c r="H3377">
        <v>4014.81</v>
      </c>
      <c r="I3377">
        <v>10</v>
      </c>
      <c r="J3377" t="s">
        <v>20</v>
      </c>
      <c r="K3377">
        <v>1605.92</v>
      </c>
      <c r="L3377">
        <v>16059.24</v>
      </c>
      <c r="M3377">
        <v>14453.32</v>
      </c>
      <c r="N3377" t="s">
        <v>41</v>
      </c>
      <c r="O3377">
        <v>2024</v>
      </c>
    </row>
    <row r="3378" spans="1:15" x14ac:dyDescent="0.3">
      <c r="A3378" t="s">
        <v>3463</v>
      </c>
      <c r="B3378" t="s">
        <v>23</v>
      </c>
      <c r="C3378" t="s">
        <v>90</v>
      </c>
      <c r="D3378" t="s">
        <v>107</v>
      </c>
      <c r="E3378" t="s">
        <v>81</v>
      </c>
      <c r="F3378" s="1">
        <v>45305</v>
      </c>
      <c r="G3378">
        <v>2</v>
      </c>
      <c r="H3378">
        <v>13521.22</v>
      </c>
      <c r="I3378">
        <v>0</v>
      </c>
      <c r="J3378" t="s">
        <v>20</v>
      </c>
      <c r="K3378">
        <v>0</v>
      </c>
      <c r="L3378">
        <v>27042.44</v>
      </c>
      <c r="M3378">
        <v>27042.44</v>
      </c>
      <c r="N3378" t="s">
        <v>116</v>
      </c>
      <c r="O3378">
        <v>2024</v>
      </c>
    </row>
    <row r="3379" spans="1:15" x14ac:dyDescent="0.3">
      <c r="A3379" t="s">
        <v>3464</v>
      </c>
      <c r="B3379" t="s">
        <v>109</v>
      </c>
      <c r="C3379" t="s">
        <v>17</v>
      </c>
      <c r="D3379" t="s">
        <v>24</v>
      </c>
      <c r="E3379" t="s">
        <v>81</v>
      </c>
      <c r="F3379" s="1">
        <v>45359</v>
      </c>
      <c r="G3379">
        <v>9</v>
      </c>
      <c r="H3379">
        <v>3032.53</v>
      </c>
      <c r="I3379">
        <v>0</v>
      </c>
      <c r="J3379" t="s">
        <v>20</v>
      </c>
      <c r="K3379">
        <v>0</v>
      </c>
      <c r="L3379">
        <v>27292.77</v>
      </c>
      <c r="M3379">
        <v>27292.77</v>
      </c>
      <c r="N3379" t="s">
        <v>83</v>
      </c>
      <c r="O3379">
        <v>2024</v>
      </c>
    </row>
    <row r="3380" spans="1:15" x14ac:dyDescent="0.3">
      <c r="A3380" t="s">
        <v>3465</v>
      </c>
      <c r="B3380" t="s">
        <v>38</v>
      </c>
      <c r="C3380" t="s">
        <v>17</v>
      </c>
      <c r="D3380" t="s">
        <v>39</v>
      </c>
      <c r="E3380" t="s">
        <v>44</v>
      </c>
      <c r="F3380" s="1">
        <v>45469</v>
      </c>
      <c r="G3380">
        <v>9</v>
      </c>
      <c r="H3380">
        <v>19096.64</v>
      </c>
      <c r="I3380">
        <v>5</v>
      </c>
      <c r="J3380" t="s">
        <v>26</v>
      </c>
      <c r="K3380">
        <v>8593.49</v>
      </c>
      <c r="L3380">
        <v>171869.76</v>
      </c>
      <c r="M3380">
        <v>163276.26999999999</v>
      </c>
      <c r="N3380" t="s">
        <v>72</v>
      </c>
      <c r="O3380">
        <v>2024</v>
      </c>
    </row>
    <row r="3381" spans="1:15" x14ac:dyDescent="0.3">
      <c r="A3381" t="s">
        <v>3466</v>
      </c>
      <c r="B3381" t="s">
        <v>47</v>
      </c>
      <c r="C3381" t="s">
        <v>62</v>
      </c>
      <c r="D3381" t="s">
        <v>119</v>
      </c>
      <c r="E3381" t="s">
        <v>19</v>
      </c>
      <c r="F3381" s="1">
        <v>45931</v>
      </c>
      <c r="G3381">
        <v>1</v>
      </c>
      <c r="H3381">
        <v>4063.33</v>
      </c>
      <c r="I3381">
        <v>5</v>
      </c>
      <c r="J3381" t="s">
        <v>36</v>
      </c>
      <c r="K3381">
        <v>203.17</v>
      </c>
      <c r="L3381">
        <v>4063.33</v>
      </c>
      <c r="M3381">
        <v>3860.16</v>
      </c>
      <c r="N3381" t="s">
        <v>57</v>
      </c>
      <c r="O3381">
        <v>2025</v>
      </c>
    </row>
    <row r="3382" spans="1:15" x14ac:dyDescent="0.3">
      <c r="A3382" t="s">
        <v>3467</v>
      </c>
      <c r="B3382" t="s">
        <v>16</v>
      </c>
      <c r="C3382" t="s">
        <v>17</v>
      </c>
      <c r="D3382" t="s">
        <v>39</v>
      </c>
      <c r="E3382" t="s">
        <v>50</v>
      </c>
      <c r="F3382" s="1">
        <v>45719</v>
      </c>
      <c r="G3382">
        <v>7</v>
      </c>
      <c r="H3382">
        <v>16598.34</v>
      </c>
      <c r="I3382">
        <v>15</v>
      </c>
      <c r="J3382" t="s">
        <v>71</v>
      </c>
      <c r="K3382">
        <v>17428.259999999998</v>
      </c>
      <c r="L3382">
        <v>116188.38</v>
      </c>
      <c r="M3382">
        <v>98760.12</v>
      </c>
      <c r="N3382" t="s">
        <v>83</v>
      </c>
      <c r="O3382">
        <v>2025</v>
      </c>
    </row>
    <row r="3383" spans="1:15" x14ac:dyDescent="0.3">
      <c r="A3383" t="s">
        <v>3468</v>
      </c>
      <c r="B3383" t="s">
        <v>65</v>
      </c>
      <c r="C3383" t="s">
        <v>90</v>
      </c>
      <c r="D3383" t="s">
        <v>107</v>
      </c>
      <c r="E3383" t="s">
        <v>30</v>
      </c>
      <c r="F3383" s="1">
        <v>45816</v>
      </c>
      <c r="G3383">
        <v>2</v>
      </c>
      <c r="H3383">
        <v>11220.99</v>
      </c>
      <c r="I3383">
        <v>5</v>
      </c>
      <c r="J3383" t="s">
        <v>26</v>
      </c>
      <c r="K3383">
        <v>1122.0999999999999</v>
      </c>
      <c r="L3383">
        <v>22441.98</v>
      </c>
      <c r="M3383">
        <v>21319.88</v>
      </c>
      <c r="N3383" t="s">
        <v>72</v>
      </c>
      <c r="O3383">
        <v>2025</v>
      </c>
    </row>
    <row r="3384" spans="1:15" x14ac:dyDescent="0.3">
      <c r="A3384" t="s">
        <v>3469</v>
      </c>
      <c r="B3384" t="s">
        <v>47</v>
      </c>
      <c r="C3384" t="s">
        <v>90</v>
      </c>
      <c r="D3384" t="s">
        <v>91</v>
      </c>
      <c r="E3384" t="s">
        <v>19</v>
      </c>
      <c r="F3384" s="1">
        <v>45761</v>
      </c>
      <c r="G3384">
        <v>5</v>
      </c>
      <c r="H3384">
        <v>1638.41</v>
      </c>
      <c r="I3384">
        <v>0</v>
      </c>
      <c r="J3384" t="s">
        <v>40</v>
      </c>
      <c r="K3384">
        <v>0</v>
      </c>
      <c r="L3384">
        <v>8192.0499999999993</v>
      </c>
      <c r="M3384">
        <v>8192.0499999999993</v>
      </c>
      <c r="N3384" t="s">
        <v>27</v>
      </c>
      <c r="O3384">
        <v>2025</v>
      </c>
    </row>
    <row r="3385" spans="1:15" x14ac:dyDescent="0.3">
      <c r="A3385" t="s">
        <v>3470</v>
      </c>
      <c r="B3385" t="s">
        <v>47</v>
      </c>
      <c r="C3385" t="s">
        <v>62</v>
      </c>
      <c r="D3385" t="s">
        <v>63</v>
      </c>
      <c r="E3385" t="s">
        <v>44</v>
      </c>
      <c r="F3385" s="1">
        <v>45329</v>
      </c>
      <c r="G3385">
        <v>6</v>
      </c>
      <c r="H3385">
        <v>1926.4</v>
      </c>
      <c r="I3385">
        <v>5</v>
      </c>
      <c r="J3385" t="s">
        <v>82</v>
      </c>
      <c r="K3385">
        <v>577.91999999999996</v>
      </c>
      <c r="L3385">
        <v>11558.4</v>
      </c>
      <c r="M3385">
        <v>10980.48</v>
      </c>
      <c r="N3385" t="s">
        <v>41</v>
      </c>
      <c r="O3385">
        <v>2024</v>
      </c>
    </row>
    <row r="3386" spans="1:15" x14ac:dyDescent="0.3">
      <c r="A3386" t="s">
        <v>3471</v>
      </c>
      <c r="B3386" t="s">
        <v>38</v>
      </c>
      <c r="C3386" t="s">
        <v>34</v>
      </c>
      <c r="D3386" t="s">
        <v>80</v>
      </c>
      <c r="E3386" t="s">
        <v>81</v>
      </c>
      <c r="F3386" s="1">
        <v>45801</v>
      </c>
      <c r="G3386">
        <v>4</v>
      </c>
      <c r="H3386">
        <v>6306.99</v>
      </c>
      <c r="I3386">
        <v>20</v>
      </c>
      <c r="J3386" t="s">
        <v>31</v>
      </c>
      <c r="K3386">
        <v>5045.59</v>
      </c>
      <c r="L3386">
        <v>25227.96</v>
      </c>
      <c r="M3386">
        <v>20182.37</v>
      </c>
      <c r="N3386" t="s">
        <v>101</v>
      </c>
      <c r="O3386">
        <v>2025</v>
      </c>
    </row>
    <row r="3387" spans="1:15" x14ac:dyDescent="0.3">
      <c r="A3387" t="s">
        <v>3472</v>
      </c>
      <c r="B3387" t="s">
        <v>53</v>
      </c>
      <c r="C3387" t="s">
        <v>54</v>
      </c>
      <c r="D3387" t="s">
        <v>137</v>
      </c>
      <c r="E3387" t="s">
        <v>25</v>
      </c>
      <c r="F3387" s="1">
        <v>45607</v>
      </c>
      <c r="G3387">
        <v>3</v>
      </c>
      <c r="H3387">
        <v>1056.1500000000001</v>
      </c>
      <c r="I3387">
        <v>20</v>
      </c>
      <c r="J3387" t="s">
        <v>82</v>
      </c>
      <c r="K3387">
        <v>633.69000000000005</v>
      </c>
      <c r="L3387">
        <v>3168.45</v>
      </c>
      <c r="M3387">
        <v>2534.7600000000002</v>
      </c>
      <c r="N3387" t="s">
        <v>96</v>
      </c>
      <c r="O3387">
        <v>2024</v>
      </c>
    </row>
    <row r="3388" spans="1:15" x14ac:dyDescent="0.3">
      <c r="A3388" t="s">
        <v>3473</v>
      </c>
      <c r="B3388" t="s">
        <v>23</v>
      </c>
      <c r="C3388" t="s">
        <v>34</v>
      </c>
      <c r="D3388" t="s">
        <v>35</v>
      </c>
      <c r="E3388" t="s">
        <v>30</v>
      </c>
      <c r="F3388" s="1">
        <v>45955</v>
      </c>
      <c r="G3388">
        <v>1</v>
      </c>
      <c r="H3388">
        <v>29957.59</v>
      </c>
      <c r="I3388">
        <v>0</v>
      </c>
      <c r="J3388" t="s">
        <v>45</v>
      </c>
      <c r="K3388">
        <v>0</v>
      </c>
      <c r="L3388">
        <v>29957.59</v>
      </c>
      <c r="M3388">
        <v>29957.59</v>
      </c>
      <c r="N3388" t="s">
        <v>57</v>
      </c>
      <c r="O3388">
        <v>2025</v>
      </c>
    </row>
    <row r="3389" spans="1:15" x14ac:dyDescent="0.3">
      <c r="A3389" t="s">
        <v>3474</v>
      </c>
      <c r="B3389" t="s">
        <v>23</v>
      </c>
      <c r="C3389" t="s">
        <v>90</v>
      </c>
      <c r="D3389" t="s">
        <v>152</v>
      </c>
      <c r="E3389" t="s">
        <v>56</v>
      </c>
      <c r="F3389" s="1">
        <v>45813</v>
      </c>
      <c r="G3389">
        <v>8</v>
      </c>
      <c r="H3389">
        <v>10196.790000000001</v>
      </c>
      <c r="I3389">
        <v>5</v>
      </c>
      <c r="J3389" t="s">
        <v>82</v>
      </c>
      <c r="K3389">
        <v>4078.72</v>
      </c>
      <c r="L3389">
        <v>81574.320000000007</v>
      </c>
      <c r="M3389">
        <v>77495.600000000006</v>
      </c>
      <c r="N3389" t="s">
        <v>72</v>
      </c>
      <c r="O3389">
        <v>2025</v>
      </c>
    </row>
    <row r="3390" spans="1:15" x14ac:dyDescent="0.3">
      <c r="A3390" t="s">
        <v>3475</v>
      </c>
      <c r="B3390" t="s">
        <v>74</v>
      </c>
      <c r="C3390" t="s">
        <v>54</v>
      </c>
      <c r="D3390" t="s">
        <v>77</v>
      </c>
      <c r="E3390" t="s">
        <v>50</v>
      </c>
      <c r="F3390" s="1">
        <v>45533</v>
      </c>
      <c r="G3390">
        <v>7</v>
      </c>
      <c r="H3390">
        <v>5180.93</v>
      </c>
      <c r="I3390">
        <v>10</v>
      </c>
      <c r="J3390" t="s">
        <v>31</v>
      </c>
      <c r="K3390">
        <v>3626.65</v>
      </c>
      <c r="L3390">
        <v>36266.51</v>
      </c>
      <c r="M3390">
        <v>32639.86</v>
      </c>
      <c r="N3390" t="s">
        <v>21</v>
      </c>
      <c r="O3390">
        <v>2024</v>
      </c>
    </row>
    <row r="3391" spans="1:15" x14ac:dyDescent="0.3">
      <c r="A3391" t="s">
        <v>3476</v>
      </c>
      <c r="B3391" t="s">
        <v>16</v>
      </c>
      <c r="C3391" t="s">
        <v>17</v>
      </c>
      <c r="D3391" t="s">
        <v>18</v>
      </c>
      <c r="E3391" t="s">
        <v>30</v>
      </c>
      <c r="F3391" s="1">
        <v>45947</v>
      </c>
      <c r="G3391">
        <v>3</v>
      </c>
      <c r="H3391">
        <v>72570.539999999994</v>
      </c>
      <c r="I3391">
        <v>15</v>
      </c>
      <c r="J3391" t="s">
        <v>31</v>
      </c>
      <c r="K3391">
        <v>32656.74</v>
      </c>
      <c r="L3391">
        <v>217711.62</v>
      </c>
      <c r="M3391">
        <v>185054.88</v>
      </c>
      <c r="N3391" t="s">
        <v>57</v>
      </c>
      <c r="O3391">
        <v>2025</v>
      </c>
    </row>
    <row r="3392" spans="1:15" x14ac:dyDescent="0.3">
      <c r="A3392" t="s">
        <v>3477</v>
      </c>
      <c r="B3392" t="s">
        <v>53</v>
      </c>
      <c r="C3392" t="s">
        <v>34</v>
      </c>
      <c r="D3392" t="s">
        <v>66</v>
      </c>
      <c r="E3392" t="s">
        <v>50</v>
      </c>
      <c r="F3392" s="1">
        <v>45734</v>
      </c>
      <c r="G3392">
        <v>7</v>
      </c>
      <c r="H3392">
        <v>40438.53</v>
      </c>
      <c r="I3392">
        <v>20</v>
      </c>
      <c r="J3392" t="s">
        <v>31</v>
      </c>
      <c r="K3392">
        <v>56613.94</v>
      </c>
      <c r="L3392">
        <v>283069.71000000002</v>
      </c>
      <c r="M3392">
        <v>226455.77</v>
      </c>
      <c r="N3392" t="s">
        <v>83</v>
      </c>
      <c r="O3392">
        <v>2025</v>
      </c>
    </row>
    <row r="3393" spans="1:15" x14ac:dyDescent="0.3">
      <c r="A3393" t="s">
        <v>3478</v>
      </c>
      <c r="B3393" t="s">
        <v>16</v>
      </c>
      <c r="C3393" t="s">
        <v>17</v>
      </c>
      <c r="D3393" t="s">
        <v>24</v>
      </c>
      <c r="E3393" t="s">
        <v>30</v>
      </c>
      <c r="F3393" s="1">
        <v>45750</v>
      </c>
      <c r="G3393">
        <v>7</v>
      </c>
      <c r="H3393">
        <v>2764.22</v>
      </c>
      <c r="I3393">
        <v>15</v>
      </c>
      <c r="J3393" t="s">
        <v>20</v>
      </c>
      <c r="K3393">
        <v>2902.43</v>
      </c>
      <c r="L3393">
        <v>19349.54</v>
      </c>
      <c r="M3393">
        <v>16447.11</v>
      </c>
      <c r="N3393" t="s">
        <v>27</v>
      </c>
      <c r="O3393">
        <v>2025</v>
      </c>
    </row>
    <row r="3394" spans="1:15" x14ac:dyDescent="0.3">
      <c r="A3394" t="s">
        <v>3479</v>
      </c>
      <c r="B3394" t="s">
        <v>53</v>
      </c>
      <c r="C3394" t="s">
        <v>62</v>
      </c>
      <c r="D3394" t="s">
        <v>63</v>
      </c>
      <c r="E3394" t="s">
        <v>81</v>
      </c>
      <c r="F3394" s="1">
        <v>45766</v>
      </c>
      <c r="G3394">
        <v>5</v>
      </c>
      <c r="H3394">
        <v>1881.35</v>
      </c>
      <c r="I3394">
        <v>5</v>
      </c>
      <c r="J3394" t="s">
        <v>26</v>
      </c>
      <c r="K3394">
        <v>470.34</v>
      </c>
      <c r="L3394">
        <v>9406.75</v>
      </c>
      <c r="M3394">
        <v>8936.41</v>
      </c>
      <c r="N3394" t="s">
        <v>27</v>
      </c>
      <c r="O3394">
        <v>2025</v>
      </c>
    </row>
    <row r="3395" spans="1:15" x14ac:dyDescent="0.3">
      <c r="A3395" t="s">
        <v>3480</v>
      </c>
      <c r="B3395" t="s">
        <v>65</v>
      </c>
      <c r="C3395" t="s">
        <v>62</v>
      </c>
      <c r="D3395" t="s">
        <v>132</v>
      </c>
      <c r="E3395" t="s">
        <v>25</v>
      </c>
      <c r="F3395" s="1">
        <v>45623</v>
      </c>
      <c r="G3395">
        <v>6</v>
      </c>
      <c r="H3395">
        <v>2902.96</v>
      </c>
      <c r="I3395">
        <v>15</v>
      </c>
      <c r="J3395" t="s">
        <v>36</v>
      </c>
      <c r="K3395">
        <v>2612.66</v>
      </c>
      <c r="L3395">
        <v>17417.759999999998</v>
      </c>
      <c r="M3395">
        <v>14805.1</v>
      </c>
      <c r="N3395" t="s">
        <v>96</v>
      </c>
      <c r="O3395">
        <v>2024</v>
      </c>
    </row>
    <row r="3396" spans="1:15" x14ac:dyDescent="0.3">
      <c r="A3396" t="s">
        <v>3481</v>
      </c>
      <c r="B3396" t="s">
        <v>23</v>
      </c>
      <c r="C3396" t="s">
        <v>90</v>
      </c>
      <c r="D3396" t="s">
        <v>107</v>
      </c>
      <c r="E3396" t="s">
        <v>19</v>
      </c>
      <c r="F3396" s="1">
        <v>45681</v>
      </c>
      <c r="G3396">
        <v>5</v>
      </c>
      <c r="H3396">
        <v>10874.81</v>
      </c>
      <c r="I3396">
        <v>5</v>
      </c>
      <c r="J3396" t="s">
        <v>71</v>
      </c>
      <c r="K3396">
        <v>2718.7</v>
      </c>
      <c r="L3396">
        <v>54374.05</v>
      </c>
      <c r="M3396">
        <v>51655.35</v>
      </c>
      <c r="N3396" t="s">
        <v>116</v>
      </c>
      <c r="O3396">
        <v>2025</v>
      </c>
    </row>
    <row r="3397" spans="1:15" x14ac:dyDescent="0.3">
      <c r="A3397" t="s">
        <v>3482</v>
      </c>
      <c r="B3397" t="s">
        <v>16</v>
      </c>
      <c r="C3397" t="s">
        <v>54</v>
      </c>
      <c r="D3397" t="s">
        <v>137</v>
      </c>
      <c r="E3397" t="s">
        <v>81</v>
      </c>
      <c r="F3397" s="1">
        <v>45616</v>
      </c>
      <c r="G3397">
        <v>1</v>
      </c>
      <c r="H3397">
        <v>1119.76</v>
      </c>
      <c r="I3397">
        <v>10</v>
      </c>
      <c r="J3397" t="s">
        <v>26</v>
      </c>
      <c r="K3397">
        <v>111.98</v>
      </c>
      <c r="L3397">
        <v>1119.76</v>
      </c>
      <c r="M3397">
        <v>1007.78</v>
      </c>
      <c r="N3397" t="s">
        <v>96</v>
      </c>
      <c r="O3397">
        <v>2024</v>
      </c>
    </row>
    <row r="3398" spans="1:15" x14ac:dyDescent="0.3">
      <c r="A3398" t="s">
        <v>3483</v>
      </c>
      <c r="B3398" t="s">
        <v>47</v>
      </c>
      <c r="C3398" t="s">
        <v>17</v>
      </c>
      <c r="D3398" t="s">
        <v>157</v>
      </c>
      <c r="E3398" t="s">
        <v>44</v>
      </c>
      <c r="F3398" s="1">
        <v>45629</v>
      </c>
      <c r="G3398">
        <v>8</v>
      </c>
      <c r="H3398">
        <v>7991.51</v>
      </c>
      <c r="I3398">
        <v>5</v>
      </c>
      <c r="J3398" t="s">
        <v>31</v>
      </c>
      <c r="K3398">
        <v>3196.6</v>
      </c>
      <c r="L3398">
        <v>63932.08</v>
      </c>
      <c r="M3398">
        <v>60735.48</v>
      </c>
      <c r="N3398" t="s">
        <v>51</v>
      </c>
      <c r="O3398">
        <v>2024</v>
      </c>
    </row>
    <row r="3399" spans="1:15" x14ac:dyDescent="0.3">
      <c r="A3399" t="s">
        <v>3484</v>
      </c>
      <c r="B3399" t="s">
        <v>38</v>
      </c>
      <c r="C3399" t="s">
        <v>54</v>
      </c>
      <c r="D3399" t="s">
        <v>70</v>
      </c>
      <c r="E3399" t="s">
        <v>50</v>
      </c>
      <c r="F3399" s="1">
        <v>45697</v>
      </c>
      <c r="G3399">
        <v>6</v>
      </c>
      <c r="H3399">
        <v>2750.9</v>
      </c>
      <c r="I3399">
        <v>20</v>
      </c>
      <c r="J3399" t="s">
        <v>45</v>
      </c>
      <c r="K3399">
        <v>3301.08</v>
      </c>
      <c r="L3399">
        <v>16505.400000000001</v>
      </c>
      <c r="M3399">
        <v>13204.32</v>
      </c>
      <c r="N3399" t="s">
        <v>41</v>
      </c>
      <c r="O3399">
        <v>2025</v>
      </c>
    </row>
    <row r="3400" spans="1:15" x14ac:dyDescent="0.3">
      <c r="A3400" t="s">
        <v>3485</v>
      </c>
      <c r="B3400" t="s">
        <v>47</v>
      </c>
      <c r="C3400" t="s">
        <v>54</v>
      </c>
      <c r="D3400" t="s">
        <v>68</v>
      </c>
      <c r="E3400" t="s">
        <v>30</v>
      </c>
      <c r="F3400" s="1">
        <v>45607</v>
      </c>
      <c r="G3400">
        <v>9</v>
      </c>
      <c r="H3400">
        <v>4985.3100000000004</v>
      </c>
      <c r="I3400">
        <v>0</v>
      </c>
      <c r="J3400" t="s">
        <v>82</v>
      </c>
      <c r="K3400">
        <v>0</v>
      </c>
      <c r="L3400">
        <v>44867.79</v>
      </c>
      <c r="M3400">
        <v>44867.79</v>
      </c>
      <c r="N3400" t="s">
        <v>96</v>
      </c>
      <c r="O3400">
        <v>2024</v>
      </c>
    </row>
    <row r="3401" spans="1:15" x14ac:dyDescent="0.3">
      <c r="A3401" t="s">
        <v>3486</v>
      </c>
      <c r="B3401" t="s">
        <v>109</v>
      </c>
      <c r="C3401" t="s">
        <v>62</v>
      </c>
      <c r="D3401" t="s">
        <v>95</v>
      </c>
      <c r="E3401" t="s">
        <v>30</v>
      </c>
      <c r="F3401" s="1">
        <v>45560</v>
      </c>
      <c r="G3401">
        <v>5</v>
      </c>
      <c r="H3401">
        <v>838.87</v>
      </c>
      <c r="I3401">
        <v>5</v>
      </c>
      <c r="J3401" t="s">
        <v>36</v>
      </c>
      <c r="K3401">
        <v>209.72</v>
      </c>
      <c r="L3401">
        <v>4194.3500000000004</v>
      </c>
      <c r="M3401">
        <v>3984.63</v>
      </c>
      <c r="N3401" t="s">
        <v>86</v>
      </c>
      <c r="O3401">
        <v>2024</v>
      </c>
    </row>
    <row r="3402" spans="1:15" x14ac:dyDescent="0.3">
      <c r="A3402" t="s">
        <v>3487</v>
      </c>
      <c r="B3402" t="s">
        <v>65</v>
      </c>
      <c r="C3402" t="s">
        <v>54</v>
      </c>
      <c r="D3402" t="s">
        <v>68</v>
      </c>
      <c r="E3402" t="s">
        <v>44</v>
      </c>
      <c r="F3402" s="1">
        <v>45649</v>
      </c>
      <c r="G3402">
        <v>8</v>
      </c>
      <c r="H3402">
        <v>5683.12</v>
      </c>
      <c r="I3402">
        <v>5</v>
      </c>
      <c r="J3402" t="s">
        <v>71</v>
      </c>
      <c r="K3402">
        <v>2273.25</v>
      </c>
      <c r="L3402">
        <v>45464.959999999999</v>
      </c>
      <c r="M3402">
        <v>43191.71</v>
      </c>
      <c r="N3402" t="s">
        <v>51</v>
      </c>
      <c r="O3402">
        <v>2024</v>
      </c>
    </row>
    <row r="3403" spans="1:15" x14ac:dyDescent="0.3">
      <c r="A3403" t="s">
        <v>3488</v>
      </c>
      <c r="B3403" t="s">
        <v>93</v>
      </c>
      <c r="C3403" t="s">
        <v>17</v>
      </c>
      <c r="D3403" t="s">
        <v>59</v>
      </c>
      <c r="E3403" t="s">
        <v>50</v>
      </c>
      <c r="F3403" s="1">
        <v>45418</v>
      </c>
      <c r="G3403">
        <v>2</v>
      </c>
      <c r="H3403">
        <v>27069.29</v>
      </c>
      <c r="I3403">
        <v>5</v>
      </c>
      <c r="J3403" t="s">
        <v>26</v>
      </c>
      <c r="K3403">
        <v>2706.93</v>
      </c>
      <c r="L3403">
        <v>54138.58</v>
      </c>
      <c r="M3403">
        <v>51431.65</v>
      </c>
      <c r="N3403" t="s">
        <v>101</v>
      </c>
      <c r="O3403">
        <v>2024</v>
      </c>
    </row>
    <row r="3404" spans="1:15" x14ac:dyDescent="0.3">
      <c r="A3404" t="s">
        <v>3489</v>
      </c>
      <c r="B3404" t="s">
        <v>47</v>
      </c>
      <c r="C3404" t="s">
        <v>62</v>
      </c>
      <c r="D3404" t="s">
        <v>95</v>
      </c>
      <c r="E3404" t="s">
        <v>30</v>
      </c>
      <c r="F3404" s="1">
        <v>45932</v>
      </c>
      <c r="G3404">
        <v>1</v>
      </c>
      <c r="H3404">
        <v>900.55</v>
      </c>
      <c r="I3404">
        <v>5</v>
      </c>
      <c r="J3404" t="s">
        <v>31</v>
      </c>
      <c r="K3404">
        <v>45.03</v>
      </c>
      <c r="L3404">
        <v>900.55</v>
      </c>
      <c r="M3404">
        <v>855.52</v>
      </c>
      <c r="N3404" t="s">
        <v>57</v>
      </c>
      <c r="O3404">
        <v>2025</v>
      </c>
    </row>
    <row r="3405" spans="1:15" x14ac:dyDescent="0.3">
      <c r="A3405" t="s">
        <v>3490</v>
      </c>
      <c r="B3405" t="s">
        <v>23</v>
      </c>
      <c r="C3405" t="s">
        <v>54</v>
      </c>
      <c r="D3405" t="s">
        <v>70</v>
      </c>
      <c r="E3405" t="s">
        <v>30</v>
      </c>
      <c r="F3405" s="1">
        <v>45444</v>
      </c>
      <c r="G3405">
        <v>3</v>
      </c>
      <c r="H3405">
        <v>2351.2800000000002</v>
      </c>
      <c r="I3405">
        <v>5</v>
      </c>
      <c r="J3405" t="s">
        <v>45</v>
      </c>
      <c r="K3405">
        <v>352.69</v>
      </c>
      <c r="L3405">
        <v>7053.84</v>
      </c>
      <c r="M3405">
        <v>6701.15</v>
      </c>
      <c r="N3405" t="s">
        <v>72</v>
      </c>
      <c r="O3405">
        <v>2024</v>
      </c>
    </row>
    <row r="3406" spans="1:15" x14ac:dyDescent="0.3">
      <c r="A3406" t="s">
        <v>3491</v>
      </c>
      <c r="B3406" t="s">
        <v>29</v>
      </c>
      <c r="C3406" t="s">
        <v>90</v>
      </c>
      <c r="D3406" t="s">
        <v>91</v>
      </c>
      <c r="E3406" t="s">
        <v>44</v>
      </c>
      <c r="F3406" s="1">
        <v>45941</v>
      </c>
      <c r="G3406">
        <v>9</v>
      </c>
      <c r="H3406">
        <v>1491.47</v>
      </c>
      <c r="I3406">
        <v>5</v>
      </c>
      <c r="J3406" t="s">
        <v>82</v>
      </c>
      <c r="K3406">
        <v>671.16</v>
      </c>
      <c r="L3406">
        <v>13423.23</v>
      </c>
      <c r="M3406">
        <v>12752.07</v>
      </c>
      <c r="N3406" t="s">
        <v>57</v>
      </c>
      <c r="O3406">
        <v>2025</v>
      </c>
    </row>
    <row r="3407" spans="1:15" x14ac:dyDescent="0.3">
      <c r="A3407" t="s">
        <v>3492</v>
      </c>
      <c r="B3407" t="s">
        <v>74</v>
      </c>
      <c r="C3407" t="s">
        <v>17</v>
      </c>
      <c r="D3407" t="s">
        <v>18</v>
      </c>
      <c r="E3407" t="s">
        <v>56</v>
      </c>
      <c r="F3407" s="1">
        <v>45312</v>
      </c>
      <c r="G3407">
        <v>3</v>
      </c>
      <c r="H3407">
        <v>71701.279999999999</v>
      </c>
      <c r="I3407">
        <v>5</v>
      </c>
      <c r="J3407" t="s">
        <v>20</v>
      </c>
      <c r="K3407">
        <v>10755.19</v>
      </c>
      <c r="L3407">
        <v>215103.84</v>
      </c>
      <c r="M3407">
        <v>204348.65</v>
      </c>
      <c r="N3407" t="s">
        <v>116</v>
      </c>
      <c r="O3407">
        <v>2024</v>
      </c>
    </row>
    <row r="3408" spans="1:15" x14ac:dyDescent="0.3">
      <c r="A3408" t="s">
        <v>3493</v>
      </c>
      <c r="B3408" t="s">
        <v>53</v>
      </c>
      <c r="C3408" t="s">
        <v>90</v>
      </c>
      <c r="D3408" t="s">
        <v>152</v>
      </c>
      <c r="E3408" t="s">
        <v>19</v>
      </c>
      <c r="F3408" s="1">
        <v>45664</v>
      </c>
      <c r="G3408">
        <v>4</v>
      </c>
      <c r="H3408">
        <v>10173.93</v>
      </c>
      <c r="I3408">
        <v>10</v>
      </c>
      <c r="J3408" t="s">
        <v>71</v>
      </c>
      <c r="K3408">
        <v>4069.57</v>
      </c>
      <c r="L3408">
        <v>40695.72</v>
      </c>
      <c r="M3408">
        <v>36626.15</v>
      </c>
      <c r="N3408" t="s">
        <v>116</v>
      </c>
      <c r="O3408">
        <v>2025</v>
      </c>
    </row>
    <row r="3409" spans="1:15" x14ac:dyDescent="0.3">
      <c r="A3409" t="s">
        <v>3494</v>
      </c>
      <c r="B3409" t="s">
        <v>89</v>
      </c>
      <c r="C3409" t="s">
        <v>17</v>
      </c>
      <c r="D3409" t="s">
        <v>39</v>
      </c>
      <c r="E3409" t="s">
        <v>44</v>
      </c>
      <c r="F3409" s="1">
        <v>45949</v>
      </c>
      <c r="G3409">
        <v>5</v>
      </c>
      <c r="H3409">
        <v>19330.12</v>
      </c>
      <c r="I3409">
        <v>20</v>
      </c>
      <c r="J3409" t="s">
        <v>82</v>
      </c>
      <c r="K3409">
        <v>19330.12</v>
      </c>
      <c r="L3409">
        <v>96650.6</v>
      </c>
      <c r="M3409">
        <v>77320.479999999996</v>
      </c>
      <c r="N3409" t="s">
        <v>57</v>
      </c>
      <c r="O3409">
        <v>2025</v>
      </c>
    </row>
    <row r="3410" spans="1:15" x14ac:dyDescent="0.3">
      <c r="A3410" t="s">
        <v>3495</v>
      </c>
      <c r="B3410" t="s">
        <v>61</v>
      </c>
      <c r="C3410" t="s">
        <v>62</v>
      </c>
      <c r="D3410" t="s">
        <v>99</v>
      </c>
      <c r="E3410" t="s">
        <v>44</v>
      </c>
      <c r="F3410" s="1">
        <v>45553</v>
      </c>
      <c r="G3410">
        <v>1</v>
      </c>
      <c r="H3410">
        <v>1620.14</v>
      </c>
      <c r="I3410">
        <v>20</v>
      </c>
      <c r="J3410" t="s">
        <v>71</v>
      </c>
      <c r="K3410">
        <v>324.02999999999997</v>
      </c>
      <c r="L3410">
        <v>1620.14</v>
      </c>
      <c r="M3410">
        <v>1296.1099999999999</v>
      </c>
      <c r="N3410" t="s">
        <v>86</v>
      </c>
      <c r="O3410">
        <v>2024</v>
      </c>
    </row>
    <row r="3411" spans="1:15" x14ac:dyDescent="0.3">
      <c r="A3411" t="s">
        <v>3496</v>
      </c>
      <c r="B3411" t="s">
        <v>33</v>
      </c>
      <c r="C3411" t="s">
        <v>90</v>
      </c>
      <c r="D3411" t="s">
        <v>107</v>
      </c>
      <c r="E3411" t="s">
        <v>30</v>
      </c>
      <c r="F3411" s="1">
        <v>45551</v>
      </c>
      <c r="G3411">
        <v>6</v>
      </c>
      <c r="H3411">
        <v>11456.61</v>
      </c>
      <c r="I3411">
        <v>10</v>
      </c>
      <c r="J3411" t="s">
        <v>40</v>
      </c>
      <c r="K3411">
        <v>6873.97</v>
      </c>
      <c r="L3411">
        <v>68739.66</v>
      </c>
      <c r="M3411">
        <v>61865.69</v>
      </c>
      <c r="N3411" t="s">
        <v>86</v>
      </c>
      <c r="O3411">
        <v>2024</v>
      </c>
    </row>
    <row r="3412" spans="1:15" x14ac:dyDescent="0.3">
      <c r="A3412" t="s">
        <v>3497</v>
      </c>
      <c r="B3412" t="s">
        <v>23</v>
      </c>
      <c r="C3412" t="s">
        <v>17</v>
      </c>
      <c r="D3412" t="s">
        <v>39</v>
      </c>
      <c r="E3412" t="s">
        <v>30</v>
      </c>
      <c r="F3412" s="1">
        <v>45854</v>
      </c>
      <c r="G3412">
        <v>9</v>
      </c>
      <c r="H3412">
        <v>19181.97</v>
      </c>
      <c r="I3412">
        <v>15</v>
      </c>
      <c r="J3412" t="s">
        <v>31</v>
      </c>
      <c r="K3412">
        <v>25895.66</v>
      </c>
      <c r="L3412">
        <v>172637.73</v>
      </c>
      <c r="M3412">
        <v>146742.07</v>
      </c>
      <c r="N3412" t="s">
        <v>122</v>
      </c>
      <c r="O3412">
        <v>2025</v>
      </c>
    </row>
    <row r="3413" spans="1:15" x14ac:dyDescent="0.3">
      <c r="A3413" t="s">
        <v>3498</v>
      </c>
      <c r="B3413" t="s">
        <v>29</v>
      </c>
      <c r="C3413" t="s">
        <v>62</v>
      </c>
      <c r="D3413" t="s">
        <v>132</v>
      </c>
      <c r="E3413" t="s">
        <v>30</v>
      </c>
      <c r="F3413" s="1">
        <v>45810</v>
      </c>
      <c r="G3413">
        <v>4</v>
      </c>
      <c r="H3413">
        <v>2741.59</v>
      </c>
      <c r="I3413">
        <v>20</v>
      </c>
      <c r="J3413" t="s">
        <v>40</v>
      </c>
      <c r="K3413">
        <v>2193.27</v>
      </c>
      <c r="L3413">
        <v>10966.36</v>
      </c>
      <c r="M3413">
        <v>8773.09</v>
      </c>
      <c r="N3413" t="s">
        <v>72</v>
      </c>
      <c r="O3413">
        <v>2025</v>
      </c>
    </row>
    <row r="3414" spans="1:15" x14ac:dyDescent="0.3">
      <c r="A3414" t="s">
        <v>3499</v>
      </c>
      <c r="B3414" t="s">
        <v>61</v>
      </c>
      <c r="C3414" t="s">
        <v>34</v>
      </c>
      <c r="D3414" t="s">
        <v>48</v>
      </c>
      <c r="E3414" t="s">
        <v>81</v>
      </c>
      <c r="F3414" s="1">
        <v>45937</v>
      </c>
      <c r="G3414">
        <v>3</v>
      </c>
      <c r="H3414">
        <v>9800.2900000000009</v>
      </c>
      <c r="I3414">
        <v>15</v>
      </c>
      <c r="J3414" t="s">
        <v>31</v>
      </c>
      <c r="K3414">
        <v>4410.13</v>
      </c>
      <c r="L3414">
        <v>29400.87</v>
      </c>
      <c r="M3414">
        <v>24990.74</v>
      </c>
      <c r="N3414" t="s">
        <v>57</v>
      </c>
      <c r="O3414">
        <v>2025</v>
      </c>
    </row>
    <row r="3415" spans="1:15" x14ac:dyDescent="0.3">
      <c r="A3415" t="s">
        <v>3500</v>
      </c>
      <c r="B3415" t="s">
        <v>23</v>
      </c>
      <c r="C3415" t="s">
        <v>34</v>
      </c>
      <c r="D3415" t="s">
        <v>35</v>
      </c>
      <c r="E3415" t="s">
        <v>44</v>
      </c>
      <c r="F3415" s="1">
        <v>45822</v>
      </c>
      <c r="G3415">
        <v>6</v>
      </c>
      <c r="H3415">
        <v>24002.11</v>
      </c>
      <c r="I3415">
        <v>0</v>
      </c>
      <c r="J3415" t="s">
        <v>40</v>
      </c>
      <c r="K3415">
        <v>0</v>
      </c>
      <c r="L3415">
        <v>144012.66</v>
      </c>
      <c r="M3415">
        <v>144012.66</v>
      </c>
      <c r="N3415" t="s">
        <v>72</v>
      </c>
      <c r="O3415">
        <v>2025</v>
      </c>
    </row>
    <row r="3416" spans="1:15" x14ac:dyDescent="0.3">
      <c r="A3416" t="s">
        <v>3501</v>
      </c>
      <c r="B3416" t="s">
        <v>33</v>
      </c>
      <c r="C3416" t="s">
        <v>90</v>
      </c>
      <c r="D3416" t="s">
        <v>152</v>
      </c>
      <c r="E3416" t="s">
        <v>81</v>
      </c>
      <c r="F3416" s="1">
        <v>45296</v>
      </c>
      <c r="G3416">
        <v>9</v>
      </c>
      <c r="H3416">
        <v>11252.73</v>
      </c>
      <c r="I3416">
        <v>10</v>
      </c>
      <c r="J3416" t="s">
        <v>71</v>
      </c>
      <c r="K3416">
        <v>10127.459999999999</v>
      </c>
      <c r="L3416">
        <v>101274.57</v>
      </c>
      <c r="M3416">
        <v>91147.11</v>
      </c>
      <c r="N3416" t="s">
        <v>116</v>
      </c>
      <c r="O3416">
        <v>2024</v>
      </c>
    </row>
    <row r="3417" spans="1:15" x14ac:dyDescent="0.3">
      <c r="A3417" t="s">
        <v>3502</v>
      </c>
      <c r="B3417" t="s">
        <v>74</v>
      </c>
      <c r="C3417" t="s">
        <v>34</v>
      </c>
      <c r="D3417" t="s">
        <v>85</v>
      </c>
      <c r="E3417" t="s">
        <v>30</v>
      </c>
      <c r="F3417" s="1">
        <v>45916</v>
      </c>
      <c r="G3417">
        <v>9</v>
      </c>
      <c r="H3417">
        <v>11455.33</v>
      </c>
      <c r="I3417">
        <v>10</v>
      </c>
      <c r="J3417" t="s">
        <v>31</v>
      </c>
      <c r="K3417">
        <v>10309.799999999999</v>
      </c>
      <c r="L3417">
        <v>103097.97</v>
      </c>
      <c r="M3417">
        <v>92788.17</v>
      </c>
      <c r="N3417" t="s">
        <v>86</v>
      </c>
      <c r="O3417">
        <v>2025</v>
      </c>
    </row>
    <row r="3418" spans="1:15" x14ac:dyDescent="0.3">
      <c r="A3418" t="s">
        <v>3503</v>
      </c>
      <c r="B3418" t="s">
        <v>38</v>
      </c>
      <c r="C3418" t="s">
        <v>62</v>
      </c>
      <c r="D3418" t="s">
        <v>63</v>
      </c>
      <c r="E3418" t="s">
        <v>30</v>
      </c>
      <c r="F3418" s="1">
        <v>45903</v>
      </c>
      <c r="G3418">
        <v>6</v>
      </c>
      <c r="H3418">
        <v>2009.93</v>
      </c>
      <c r="I3418">
        <v>0</v>
      </c>
      <c r="J3418" t="s">
        <v>31</v>
      </c>
      <c r="K3418">
        <v>0</v>
      </c>
      <c r="L3418">
        <v>12059.58</v>
      </c>
      <c r="M3418">
        <v>12059.58</v>
      </c>
      <c r="N3418" t="s">
        <v>86</v>
      </c>
      <c r="O3418">
        <v>2025</v>
      </c>
    </row>
    <row r="3419" spans="1:15" x14ac:dyDescent="0.3">
      <c r="A3419" t="s">
        <v>3504</v>
      </c>
      <c r="B3419" t="s">
        <v>74</v>
      </c>
      <c r="C3419" t="s">
        <v>62</v>
      </c>
      <c r="D3419" t="s">
        <v>95</v>
      </c>
      <c r="E3419" t="s">
        <v>30</v>
      </c>
      <c r="F3419" s="1">
        <v>45618</v>
      </c>
      <c r="G3419">
        <v>1</v>
      </c>
      <c r="H3419">
        <v>871.46</v>
      </c>
      <c r="I3419">
        <v>0</v>
      </c>
      <c r="J3419" t="s">
        <v>40</v>
      </c>
      <c r="K3419">
        <v>0</v>
      </c>
      <c r="L3419">
        <v>871.46</v>
      </c>
      <c r="M3419">
        <v>871.46</v>
      </c>
      <c r="N3419" t="s">
        <v>96</v>
      </c>
      <c r="O3419">
        <v>2024</v>
      </c>
    </row>
    <row r="3420" spans="1:15" x14ac:dyDescent="0.3">
      <c r="A3420" t="s">
        <v>3505</v>
      </c>
      <c r="B3420" t="s">
        <v>65</v>
      </c>
      <c r="C3420" t="s">
        <v>54</v>
      </c>
      <c r="D3420" t="s">
        <v>55</v>
      </c>
      <c r="E3420" t="s">
        <v>19</v>
      </c>
      <c r="F3420" s="1">
        <v>45766</v>
      </c>
      <c r="G3420">
        <v>3</v>
      </c>
      <c r="H3420">
        <v>1299.8399999999999</v>
      </c>
      <c r="I3420">
        <v>0</v>
      </c>
      <c r="J3420" t="s">
        <v>31</v>
      </c>
      <c r="K3420">
        <v>0</v>
      </c>
      <c r="L3420">
        <v>3899.52</v>
      </c>
      <c r="M3420">
        <v>3899.52</v>
      </c>
      <c r="N3420" t="s">
        <v>27</v>
      </c>
      <c r="O3420">
        <v>2025</v>
      </c>
    </row>
    <row r="3421" spans="1:15" x14ac:dyDescent="0.3">
      <c r="A3421" t="s">
        <v>3506</v>
      </c>
      <c r="B3421" t="s">
        <v>29</v>
      </c>
      <c r="C3421" t="s">
        <v>17</v>
      </c>
      <c r="D3421" t="s">
        <v>157</v>
      </c>
      <c r="E3421" t="s">
        <v>19</v>
      </c>
      <c r="F3421" s="1">
        <v>45909</v>
      </c>
      <c r="G3421">
        <v>4</v>
      </c>
      <c r="H3421">
        <v>7292.5</v>
      </c>
      <c r="I3421">
        <v>15</v>
      </c>
      <c r="J3421" t="s">
        <v>36</v>
      </c>
      <c r="K3421">
        <v>4375.5</v>
      </c>
      <c r="L3421">
        <v>29170</v>
      </c>
      <c r="M3421">
        <v>24794.5</v>
      </c>
      <c r="N3421" t="s">
        <v>86</v>
      </c>
      <c r="O3421">
        <v>2025</v>
      </c>
    </row>
    <row r="3422" spans="1:15" x14ac:dyDescent="0.3">
      <c r="A3422" t="s">
        <v>3507</v>
      </c>
      <c r="B3422" t="s">
        <v>114</v>
      </c>
      <c r="C3422" t="s">
        <v>90</v>
      </c>
      <c r="D3422" t="s">
        <v>107</v>
      </c>
      <c r="E3422" t="s">
        <v>30</v>
      </c>
      <c r="F3422" s="1">
        <v>45437</v>
      </c>
      <c r="G3422">
        <v>10</v>
      </c>
      <c r="H3422">
        <v>11744.2</v>
      </c>
      <c r="I3422">
        <v>10</v>
      </c>
      <c r="J3422" t="s">
        <v>71</v>
      </c>
      <c r="K3422">
        <v>11744.2</v>
      </c>
      <c r="L3422">
        <v>117442</v>
      </c>
      <c r="M3422">
        <v>105697.8</v>
      </c>
      <c r="N3422" t="s">
        <v>101</v>
      </c>
      <c r="O3422">
        <v>2024</v>
      </c>
    </row>
    <row r="3423" spans="1:15" x14ac:dyDescent="0.3">
      <c r="A3423" t="s">
        <v>3508</v>
      </c>
      <c r="B3423" t="s">
        <v>65</v>
      </c>
      <c r="C3423" t="s">
        <v>17</v>
      </c>
      <c r="D3423" t="s">
        <v>59</v>
      </c>
      <c r="E3423" t="s">
        <v>25</v>
      </c>
      <c r="F3423" s="1">
        <v>45723</v>
      </c>
      <c r="G3423">
        <v>3</v>
      </c>
      <c r="H3423">
        <v>24594.27</v>
      </c>
      <c r="I3423">
        <v>10</v>
      </c>
      <c r="J3423" t="s">
        <v>82</v>
      </c>
      <c r="K3423">
        <v>7378.28</v>
      </c>
      <c r="L3423">
        <v>73782.81</v>
      </c>
      <c r="M3423">
        <v>66404.53</v>
      </c>
      <c r="N3423" t="s">
        <v>83</v>
      </c>
      <c r="O3423">
        <v>2025</v>
      </c>
    </row>
    <row r="3424" spans="1:15" x14ac:dyDescent="0.3">
      <c r="A3424" t="s">
        <v>3509</v>
      </c>
      <c r="B3424" t="s">
        <v>109</v>
      </c>
      <c r="C3424" t="s">
        <v>17</v>
      </c>
      <c r="D3424" t="s">
        <v>39</v>
      </c>
      <c r="E3424" t="s">
        <v>30</v>
      </c>
      <c r="F3424" s="1">
        <v>45997</v>
      </c>
      <c r="G3424">
        <v>1</v>
      </c>
      <c r="H3424">
        <v>19304.490000000002</v>
      </c>
      <c r="I3424">
        <v>10</v>
      </c>
      <c r="J3424" t="s">
        <v>36</v>
      </c>
      <c r="K3424">
        <v>1930.45</v>
      </c>
      <c r="L3424">
        <v>19304.490000000002</v>
      </c>
      <c r="M3424">
        <v>17374.04</v>
      </c>
      <c r="N3424" t="s">
        <v>51</v>
      </c>
      <c r="O3424">
        <v>2025</v>
      </c>
    </row>
    <row r="3425" spans="1:15" x14ac:dyDescent="0.3">
      <c r="A3425" t="s">
        <v>3510</v>
      </c>
      <c r="B3425" t="s">
        <v>65</v>
      </c>
      <c r="C3425" t="s">
        <v>17</v>
      </c>
      <c r="D3425" t="s">
        <v>59</v>
      </c>
      <c r="E3425" t="s">
        <v>25</v>
      </c>
      <c r="F3425" s="1">
        <v>45506</v>
      </c>
      <c r="G3425">
        <v>6</v>
      </c>
      <c r="H3425">
        <v>23918.6</v>
      </c>
      <c r="I3425">
        <v>0</v>
      </c>
      <c r="J3425" t="s">
        <v>40</v>
      </c>
      <c r="K3425">
        <v>0</v>
      </c>
      <c r="L3425">
        <v>143511.6</v>
      </c>
      <c r="M3425">
        <v>143511.6</v>
      </c>
      <c r="N3425" t="s">
        <v>21</v>
      </c>
      <c r="O3425">
        <v>2024</v>
      </c>
    </row>
    <row r="3426" spans="1:15" x14ac:dyDescent="0.3">
      <c r="A3426" t="s">
        <v>3511</v>
      </c>
      <c r="B3426" t="s">
        <v>93</v>
      </c>
      <c r="C3426" t="s">
        <v>34</v>
      </c>
      <c r="D3426" t="s">
        <v>35</v>
      </c>
      <c r="E3426" t="s">
        <v>19</v>
      </c>
      <c r="F3426" s="1">
        <v>45521</v>
      </c>
      <c r="G3426">
        <v>8</v>
      </c>
      <c r="H3426">
        <v>26377.75</v>
      </c>
      <c r="I3426">
        <v>10</v>
      </c>
      <c r="J3426" t="s">
        <v>20</v>
      </c>
      <c r="K3426">
        <v>21102.2</v>
      </c>
      <c r="L3426">
        <v>211022</v>
      </c>
      <c r="M3426">
        <v>189919.8</v>
      </c>
      <c r="N3426" t="s">
        <v>21</v>
      </c>
      <c r="O3426">
        <v>2024</v>
      </c>
    </row>
    <row r="3427" spans="1:15" x14ac:dyDescent="0.3">
      <c r="A3427" t="s">
        <v>3512</v>
      </c>
      <c r="B3427" t="s">
        <v>74</v>
      </c>
      <c r="C3427" t="s">
        <v>34</v>
      </c>
      <c r="D3427" t="s">
        <v>80</v>
      </c>
      <c r="E3427" t="s">
        <v>30</v>
      </c>
      <c r="F3427" s="1">
        <v>45406</v>
      </c>
      <c r="G3427">
        <v>3</v>
      </c>
      <c r="H3427">
        <v>5758.5</v>
      </c>
      <c r="I3427">
        <v>10</v>
      </c>
      <c r="J3427" t="s">
        <v>82</v>
      </c>
      <c r="K3427">
        <v>1727.55</v>
      </c>
      <c r="L3427">
        <v>17275.5</v>
      </c>
      <c r="M3427">
        <v>15547.95</v>
      </c>
      <c r="N3427" t="s">
        <v>27</v>
      </c>
      <c r="O3427">
        <v>2024</v>
      </c>
    </row>
    <row r="3428" spans="1:15" x14ac:dyDescent="0.3">
      <c r="A3428" t="s">
        <v>3513</v>
      </c>
      <c r="B3428" t="s">
        <v>43</v>
      </c>
      <c r="C3428" t="s">
        <v>54</v>
      </c>
      <c r="D3428" t="s">
        <v>70</v>
      </c>
      <c r="E3428" t="s">
        <v>44</v>
      </c>
      <c r="F3428" s="1">
        <v>45702</v>
      </c>
      <c r="G3428">
        <v>6</v>
      </c>
      <c r="H3428">
        <v>2365.41</v>
      </c>
      <c r="I3428">
        <v>15</v>
      </c>
      <c r="J3428" t="s">
        <v>36</v>
      </c>
      <c r="K3428">
        <v>2128.87</v>
      </c>
      <c r="L3428">
        <v>14192.46</v>
      </c>
      <c r="M3428">
        <v>12063.59</v>
      </c>
      <c r="N3428" t="s">
        <v>41</v>
      </c>
      <c r="O3428">
        <v>2025</v>
      </c>
    </row>
    <row r="3429" spans="1:15" x14ac:dyDescent="0.3">
      <c r="A3429" t="s">
        <v>3514</v>
      </c>
      <c r="B3429" t="s">
        <v>65</v>
      </c>
      <c r="C3429" t="s">
        <v>62</v>
      </c>
      <c r="D3429" t="s">
        <v>63</v>
      </c>
      <c r="E3429" t="s">
        <v>56</v>
      </c>
      <c r="F3429" s="1">
        <v>45479</v>
      </c>
      <c r="G3429">
        <v>6</v>
      </c>
      <c r="H3429">
        <v>1669.95</v>
      </c>
      <c r="I3429">
        <v>0</v>
      </c>
      <c r="J3429" t="s">
        <v>31</v>
      </c>
      <c r="K3429">
        <v>0</v>
      </c>
      <c r="L3429">
        <v>10019.700000000001</v>
      </c>
      <c r="M3429">
        <v>10019.700000000001</v>
      </c>
      <c r="N3429" t="s">
        <v>122</v>
      </c>
      <c r="O3429">
        <v>2024</v>
      </c>
    </row>
    <row r="3430" spans="1:15" x14ac:dyDescent="0.3">
      <c r="A3430" t="s">
        <v>3515</v>
      </c>
      <c r="B3430" t="s">
        <v>89</v>
      </c>
      <c r="C3430" t="s">
        <v>54</v>
      </c>
      <c r="D3430" t="s">
        <v>137</v>
      </c>
      <c r="E3430" t="s">
        <v>50</v>
      </c>
      <c r="F3430" s="1">
        <v>45859</v>
      </c>
      <c r="G3430">
        <v>6</v>
      </c>
      <c r="H3430">
        <v>888.43</v>
      </c>
      <c r="I3430">
        <v>10</v>
      </c>
      <c r="J3430" t="s">
        <v>20</v>
      </c>
      <c r="K3430">
        <v>533.05999999999995</v>
      </c>
      <c r="L3430">
        <v>5330.58</v>
      </c>
      <c r="M3430">
        <v>4797.5200000000004</v>
      </c>
      <c r="N3430" t="s">
        <v>122</v>
      </c>
      <c r="O3430">
        <v>2025</v>
      </c>
    </row>
    <row r="3431" spans="1:15" x14ac:dyDescent="0.3">
      <c r="A3431" t="s">
        <v>3516</v>
      </c>
      <c r="B3431" t="s">
        <v>61</v>
      </c>
      <c r="C3431" t="s">
        <v>17</v>
      </c>
      <c r="D3431" t="s">
        <v>39</v>
      </c>
      <c r="E3431" t="s">
        <v>44</v>
      </c>
      <c r="F3431" s="1">
        <v>45333</v>
      </c>
      <c r="G3431">
        <v>10</v>
      </c>
      <c r="H3431">
        <v>19907.09</v>
      </c>
      <c r="I3431">
        <v>0</v>
      </c>
      <c r="J3431" t="s">
        <v>31</v>
      </c>
      <c r="K3431">
        <v>0</v>
      </c>
      <c r="L3431">
        <v>199070.9</v>
      </c>
      <c r="M3431">
        <v>199070.9</v>
      </c>
      <c r="N3431" t="s">
        <v>41</v>
      </c>
      <c r="O3431">
        <v>2024</v>
      </c>
    </row>
    <row r="3432" spans="1:15" x14ac:dyDescent="0.3">
      <c r="A3432" t="s">
        <v>3517</v>
      </c>
      <c r="B3432" t="s">
        <v>33</v>
      </c>
      <c r="C3432" t="s">
        <v>54</v>
      </c>
      <c r="D3432" t="s">
        <v>55</v>
      </c>
      <c r="E3432" t="s">
        <v>25</v>
      </c>
      <c r="F3432" s="1">
        <v>45780</v>
      </c>
      <c r="G3432">
        <v>5</v>
      </c>
      <c r="H3432">
        <v>1183.21</v>
      </c>
      <c r="I3432">
        <v>10</v>
      </c>
      <c r="J3432" t="s">
        <v>82</v>
      </c>
      <c r="K3432">
        <v>591.61</v>
      </c>
      <c r="L3432">
        <v>5916.05</v>
      </c>
      <c r="M3432">
        <v>5324.44</v>
      </c>
      <c r="N3432" t="s">
        <v>101</v>
      </c>
      <c r="O3432">
        <v>2025</v>
      </c>
    </row>
    <row r="3433" spans="1:15" x14ac:dyDescent="0.3">
      <c r="A3433" t="s">
        <v>3518</v>
      </c>
      <c r="B3433" t="s">
        <v>16</v>
      </c>
      <c r="C3433" t="s">
        <v>62</v>
      </c>
      <c r="D3433" t="s">
        <v>63</v>
      </c>
      <c r="E3433" t="s">
        <v>56</v>
      </c>
      <c r="F3433" s="1">
        <v>45719</v>
      </c>
      <c r="G3433">
        <v>3</v>
      </c>
      <c r="H3433">
        <v>1833.26</v>
      </c>
      <c r="I3433">
        <v>20</v>
      </c>
      <c r="J3433" t="s">
        <v>26</v>
      </c>
      <c r="K3433">
        <v>1099.96</v>
      </c>
      <c r="L3433">
        <v>5499.78</v>
      </c>
      <c r="M3433">
        <v>4399.82</v>
      </c>
      <c r="N3433" t="s">
        <v>83</v>
      </c>
      <c r="O3433">
        <v>2025</v>
      </c>
    </row>
    <row r="3434" spans="1:15" x14ac:dyDescent="0.3">
      <c r="A3434" t="s">
        <v>3519</v>
      </c>
      <c r="B3434" t="s">
        <v>89</v>
      </c>
      <c r="C3434" t="s">
        <v>17</v>
      </c>
      <c r="D3434" t="s">
        <v>157</v>
      </c>
      <c r="E3434" t="s">
        <v>50</v>
      </c>
      <c r="F3434" s="1">
        <v>45744</v>
      </c>
      <c r="G3434">
        <v>5</v>
      </c>
      <c r="H3434">
        <v>6974.22</v>
      </c>
      <c r="I3434">
        <v>5</v>
      </c>
      <c r="J3434" t="s">
        <v>20</v>
      </c>
      <c r="K3434">
        <v>1743.56</v>
      </c>
      <c r="L3434">
        <v>34871.1</v>
      </c>
      <c r="M3434">
        <v>33127.54</v>
      </c>
      <c r="N3434" t="s">
        <v>83</v>
      </c>
      <c r="O3434">
        <v>2025</v>
      </c>
    </row>
    <row r="3435" spans="1:15" x14ac:dyDescent="0.3">
      <c r="A3435" t="s">
        <v>3520</v>
      </c>
      <c r="B3435" t="s">
        <v>38</v>
      </c>
      <c r="C3435" t="s">
        <v>17</v>
      </c>
      <c r="D3435" t="s">
        <v>39</v>
      </c>
      <c r="E3435" t="s">
        <v>56</v>
      </c>
      <c r="F3435" s="1">
        <v>45725</v>
      </c>
      <c r="G3435">
        <v>3</v>
      </c>
      <c r="H3435">
        <v>19624.73</v>
      </c>
      <c r="I3435">
        <v>10</v>
      </c>
      <c r="J3435" t="s">
        <v>45</v>
      </c>
      <c r="K3435">
        <v>5887.42</v>
      </c>
      <c r="L3435">
        <v>58874.19</v>
      </c>
      <c r="M3435">
        <v>52986.77</v>
      </c>
      <c r="N3435" t="s">
        <v>83</v>
      </c>
      <c r="O3435">
        <v>2025</v>
      </c>
    </row>
    <row r="3436" spans="1:15" x14ac:dyDescent="0.3">
      <c r="A3436" t="s">
        <v>3521</v>
      </c>
      <c r="B3436" t="s">
        <v>74</v>
      </c>
      <c r="C3436" t="s">
        <v>17</v>
      </c>
      <c r="D3436" t="s">
        <v>59</v>
      </c>
      <c r="E3436" t="s">
        <v>56</v>
      </c>
      <c r="F3436" s="1">
        <v>45818</v>
      </c>
      <c r="G3436">
        <v>5</v>
      </c>
      <c r="H3436">
        <v>25785.74</v>
      </c>
      <c r="I3436">
        <v>20</v>
      </c>
      <c r="J3436" t="s">
        <v>26</v>
      </c>
      <c r="K3436">
        <v>25785.74</v>
      </c>
      <c r="L3436">
        <v>128928.7</v>
      </c>
      <c r="M3436">
        <v>103142.96</v>
      </c>
      <c r="N3436" t="s">
        <v>72</v>
      </c>
      <c r="O3436">
        <v>2025</v>
      </c>
    </row>
    <row r="3437" spans="1:15" x14ac:dyDescent="0.3">
      <c r="A3437" t="s">
        <v>3522</v>
      </c>
      <c r="B3437" t="s">
        <v>53</v>
      </c>
      <c r="C3437" t="s">
        <v>90</v>
      </c>
      <c r="D3437" t="s">
        <v>152</v>
      </c>
      <c r="E3437" t="s">
        <v>25</v>
      </c>
      <c r="F3437" s="1">
        <v>45726</v>
      </c>
      <c r="G3437">
        <v>10</v>
      </c>
      <c r="H3437">
        <v>9585.1</v>
      </c>
      <c r="I3437">
        <v>20</v>
      </c>
      <c r="J3437" t="s">
        <v>26</v>
      </c>
      <c r="K3437">
        <v>19170.2</v>
      </c>
      <c r="L3437">
        <v>95851</v>
      </c>
      <c r="M3437">
        <v>76680.800000000003</v>
      </c>
      <c r="N3437" t="s">
        <v>83</v>
      </c>
      <c r="O3437">
        <v>2025</v>
      </c>
    </row>
    <row r="3438" spans="1:15" x14ac:dyDescent="0.3">
      <c r="A3438" t="s">
        <v>3523</v>
      </c>
      <c r="B3438" t="s">
        <v>109</v>
      </c>
      <c r="C3438" t="s">
        <v>90</v>
      </c>
      <c r="D3438" t="s">
        <v>107</v>
      </c>
      <c r="E3438" t="s">
        <v>44</v>
      </c>
      <c r="F3438" s="1">
        <v>45925</v>
      </c>
      <c r="G3438">
        <v>10</v>
      </c>
      <c r="H3438">
        <v>11808.08</v>
      </c>
      <c r="I3438">
        <v>0</v>
      </c>
      <c r="J3438" t="s">
        <v>20</v>
      </c>
      <c r="K3438">
        <v>0</v>
      </c>
      <c r="L3438">
        <v>118080.8</v>
      </c>
      <c r="M3438">
        <v>118080.8</v>
      </c>
      <c r="N3438" t="s">
        <v>86</v>
      </c>
      <c r="O3438">
        <v>2025</v>
      </c>
    </row>
    <row r="3439" spans="1:15" x14ac:dyDescent="0.3">
      <c r="A3439" t="s">
        <v>3524</v>
      </c>
      <c r="B3439" t="s">
        <v>109</v>
      </c>
      <c r="C3439" t="s">
        <v>90</v>
      </c>
      <c r="D3439" t="s">
        <v>152</v>
      </c>
      <c r="E3439" t="s">
        <v>19</v>
      </c>
      <c r="F3439" s="1">
        <v>45325</v>
      </c>
      <c r="G3439">
        <v>6</v>
      </c>
      <c r="H3439">
        <v>10802.76</v>
      </c>
      <c r="I3439">
        <v>20</v>
      </c>
      <c r="J3439" t="s">
        <v>45</v>
      </c>
      <c r="K3439">
        <v>12963.31</v>
      </c>
      <c r="L3439">
        <v>64816.56</v>
      </c>
      <c r="M3439">
        <v>51853.25</v>
      </c>
      <c r="N3439" t="s">
        <v>41</v>
      </c>
      <c r="O3439">
        <v>2024</v>
      </c>
    </row>
    <row r="3440" spans="1:15" x14ac:dyDescent="0.3">
      <c r="A3440" t="s">
        <v>3525</v>
      </c>
      <c r="B3440" t="s">
        <v>114</v>
      </c>
      <c r="C3440" t="s">
        <v>54</v>
      </c>
      <c r="D3440" t="s">
        <v>55</v>
      </c>
      <c r="E3440" t="s">
        <v>44</v>
      </c>
      <c r="F3440" s="1">
        <v>45985</v>
      </c>
      <c r="G3440">
        <v>7</v>
      </c>
      <c r="H3440">
        <v>1333.44</v>
      </c>
      <c r="I3440">
        <v>0</v>
      </c>
      <c r="J3440" t="s">
        <v>36</v>
      </c>
      <c r="K3440">
        <v>0</v>
      </c>
      <c r="L3440">
        <v>9334.08</v>
      </c>
      <c r="M3440">
        <v>9334.08</v>
      </c>
      <c r="N3440" t="s">
        <v>96</v>
      </c>
      <c r="O3440">
        <v>2025</v>
      </c>
    </row>
    <row r="3441" spans="1:15" x14ac:dyDescent="0.3">
      <c r="A3441" t="s">
        <v>3526</v>
      </c>
      <c r="B3441" t="s">
        <v>43</v>
      </c>
      <c r="C3441" t="s">
        <v>34</v>
      </c>
      <c r="D3441" t="s">
        <v>85</v>
      </c>
      <c r="E3441" t="s">
        <v>44</v>
      </c>
      <c r="F3441" s="1">
        <v>45835</v>
      </c>
      <c r="G3441">
        <v>9</v>
      </c>
      <c r="H3441">
        <v>12391.78</v>
      </c>
      <c r="I3441">
        <v>0</v>
      </c>
      <c r="J3441" t="s">
        <v>20</v>
      </c>
      <c r="K3441">
        <v>0</v>
      </c>
      <c r="L3441">
        <v>111526.02</v>
      </c>
      <c r="M3441">
        <v>111526.02</v>
      </c>
      <c r="N3441" t="s">
        <v>72</v>
      </c>
      <c r="O3441">
        <v>2025</v>
      </c>
    </row>
    <row r="3442" spans="1:15" x14ac:dyDescent="0.3">
      <c r="A3442" t="s">
        <v>3527</v>
      </c>
      <c r="B3442" t="s">
        <v>33</v>
      </c>
      <c r="C3442" t="s">
        <v>62</v>
      </c>
      <c r="D3442" t="s">
        <v>132</v>
      </c>
      <c r="E3442" t="s">
        <v>44</v>
      </c>
      <c r="F3442" s="1">
        <v>45965</v>
      </c>
      <c r="G3442">
        <v>5</v>
      </c>
      <c r="H3442">
        <v>2922.02</v>
      </c>
      <c r="I3442">
        <v>0</v>
      </c>
      <c r="J3442" t="s">
        <v>82</v>
      </c>
      <c r="K3442">
        <v>0</v>
      </c>
      <c r="L3442">
        <v>14610.1</v>
      </c>
      <c r="M3442">
        <v>14610.1</v>
      </c>
      <c r="N3442" t="s">
        <v>96</v>
      </c>
      <c r="O3442">
        <v>2025</v>
      </c>
    </row>
    <row r="3443" spans="1:15" x14ac:dyDescent="0.3">
      <c r="A3443" t="s">
        <v>3528</v>
      </c>
      <c r="B3443" t="s">
        <v>93</v>
      </c>
      <c r="C3443" t="s">
        <v>34</v>
      </c>
      <c r="D3443" t="s">
        <v>48</v>
      </c>
      <c r="E3443" t="s">
        <v>44</v>
      </c>
      <c r="F3443" s="1">
        <v>45702</v>
      </c>
      <c r="G3443">
        <v>5</v>
      </c>
      <c r="H3443">
        <v>7932.54</v>
      </c>
      <c r="I3443">
        <v>5</v>
      </c>
      <c r="J3443" t="s">
        <v>20</v>
      </c>
      <c r="K3443">
        <v>1983.13</v>
      </c>
      <c r="L3443">
        <v>39662.699999999997</v>
      </c>
      <c r="M3443">
        <v>37679.57</v>
      </c>
      <c r="N3443" t="s">
        <v>41</v>
      </c>
      <c r="O3443">
        <v>2025</v>
      </c>
    </row>
    <row r="3444" spans="1:15" x14ac:dyDescent="0.3">
      <c r="A3444" t="s">
        <v>3529</v>
      </c>
      <c r="B3444" t="s">
        <v>74</v>
      </c>
      <c r="C3444" t="s">
        <v>54</v>
      </c>
      <c r="D3444" t="s">
        <v>55</v>
      </c>
      <c r="E3444" t="s">
        <v>30</v>
      </c>
      <c r="F3444" s="1">
        <v>45401</v>
      </c>
      <c r="G3444">
        <v>4</v>
      </c>
      <c r="H3444">
        <v>1156.6099999999999</v>
      </c>
      <c r="I3444">
        <v>15</v>
      </c>
      <c r="J3444" t="s">
        <v>20</v>
      </c>
      <c r="K3444">
        <v>693.97</v>
      </c>
      <c r="L3444">
        <v>4626.4399999999996</v>
      </c>
      <c r="M3444">
        <v>3932.47</v>
      </c>
      <c r="N3444" t="s">
        <v>27</v>
      </c>
      <c r="O3444">
        <v>2024</v>
      </c>
    </row>
    <row r="3445" spans="1:15" x14ac:dyDescent="0.3">
      <c r="A3445" t="s">
        <v>3530</v>
      </c>
      <c r="B3445" t="s">
        <v>89</v>
      </c>
      <c r="C3445" t="s">
        <v>62</v>
      </c>
      <c r="D3445" t="s">
        <v>119</v>
      </c>
      <c r="E3445" t="s">
        <v>56</v>
      </c>
      <c r="F3445" s="1">
        <v>45481</v>
      </c>
      <c r="G3445">
        <v>10</v>
      </c>
      <c r="H3445">
        <v>3683.43</v>
      </c>
      <c r="I3445">
        <v>0</v>
      </c>
      <c r="J3445" t="s">
        <v>71</v>
      </c>
      <c r="K3445">
        <v>0</v>
      </c>
      <c r="L3445">
        <v>36834.300000000003</v>
      </c>
      <c r="M3445">
        <v>36834.300000000003</v>
      </c>
      <c r="N3445" t="s">
        <v>122</v>
      </c>
      <c r="O3445">
        <v>2024</v>
      </c>
    </row>
    <row r="3446" spans="1:15" x14ac:dyDescent="0.3">
      <c r="A3446" t="s">
        <v>3531</v>
      </c>
      <c r="B3446" t="s">
        <v>93</v>
      </c>
      <c r="C3446" t="s">
        <v>62</v>
      </c>
      <c r="D3446" t="s">
        <v>119</v>
      </c>
      <c r="E3446" t="s">
        <v>25</v>
      </c>
      <c r="F3446" s="1">
        <v>45935</v>
      </c>
      <c r="G3446">
        <v>5</v>
      </c>
      <c r="H3446">
        <v>3651.8</v>
      </c>
      <c r="I3446">
        <v>0</v>
      </c>
      <c r="J3446" t="s">
        <v>40</v>
      </c>
      <c r="K3446">
        <v>0</v>
      </c>
      <c r="L3446">
        <v>18259</v>
      </c>
      <c r="M3446">
        <v>18259</v>
      </c>
      <c r="N3446" t="s">
        <v>57</v>
      </c>
      <c r="O3446">
        <v>2025</v>
      </c>
    </row>
    <row r="3447" spans="1:15" x14ac:dyDescent="0.3">
      <c r="A3447" t="s">
        <v>3532</v>
      </c>
      <c r="B3447" t="s">
        <v>61</v>
      </c>
      <c r="C3447" t="s">
        <v>54</v>
      </c>
      <c r="D3447" t="s">
        <v>55</v>
      </c>
      <c r="E3447" t="s">
        <v>19</v>
      </c>
      <c r="F3447" s="1">
        <v>45738</v>
      </c>
      <c r="G3447">
        <v>10</v>
      </c>
      <c r="H3447">
        <v>1191.75</v>
      </c>
      <c r="I3447">
        <v>0</v>
      </c>
      <c r="J3447" t="s">
        <v>20</v>
      </c>
      <c r="K3447">
        <v>0</v>
      </c>
      <c r="L3447">
        <v>11917.5</v>
      </c>
      <c r="M3447">
        <v>11917.5</v>
      </c>
      <c r="N3447" t="s">
        <v>83</v>
      </c>
      <c r="O3447">
        <v>2025</v>
      </c>
    </row>
    <row r="3448" spans="1:15" x14ac:dyDescent="0.3">
      <c r="A3448" t="s">
        <v>3533</v>
      </c>
      <c r="B3448" t="s">
        <v>61</v>
      </c>
      <c r="C3448" t="s">
        <v>17</v>
      </c>
      <c r="D3448" t="s">
        <v>59</v>
      </c>
      <c r="E3448" t="s">
        <v>81</v>
      </c>
      <c r="F3448" s="1">
        <v>45787</v>
      </c>
      <c r="G3448">
        <v>2</v>
      </c>
      <c r="H3448">
        <v>26738.77</v>
      </c>
      <c r="I3448">
        <v>0</v>
      </c>
      <c r="J3448" t="s">
        <v>71</v>
      </c>
      <c r="K3448">
        <v>0</v>
      </c>
      <c r="L3448">
        <v>53477.54</v>
      </c>
      <c r="M3448">
        <v>53477.54</v>
      </c>
      <c r="N3448" t="s">
        <v>101</v>
      </c>
      <c r="O3448">
        <v>2025</v>
      </c>
    </row>
    <row r="3449" spans="1:15" x14ac:dyDescent="0.3">
      <c r="A3449" t="s">
        <v>3534</v>
      </c>
      <c r="B3449" t="s">
        <v>23</v>
      </c>
      <c r="C3449" t="s">
        <v>62</v>
      </c>
      <c r="D3449" t="s">
        <v>95</v>
      </c>
      <c r="E3449" t="s">
        <v>50</v>
      </c>
      <c r="F3449" s="1">
        <v>45981</v>
      </c>
      <c r="G3449">
        <v>8</v>
      </c>
      <c r="H3449">
        <v>925.09</v>
      </c>
      <c r="I3449">
        <v>15</v>
      </c>
      <c r="J3449" t="s">
        <v>82</v>
      </c>
      <c r="K3449">
        <v>1110.1099999999999</v>
      </c>
      <c r="L3449">
        <v>7400.72</v>
      </c>
      <c r="M3449">
        <v>6290.61</v>
      </c>
      <c r="N3449" t="s">
        <v>96</v>
      </c>
      <c r="O3449">
        <v>2025</v>
      </c>
    </row>
    <row r="3450" spans="1:15" x14ac:dyDescent="0.3">
      <c r="A3450" t="s">
        <v>3535</v>
      </c>
      <c r="B3450" t="s">
        <v>114</v>
      </c>
      <c r="C3450" t="s">
        <v>62</v>
      </c>
      <c r="D3450" t="s">
        <v>95</v>
      </c>
      <c r="E3450" t="s">
        <v>56</v>
      </c>
      <c r="F3450" s="1">
        <v>45457</v>
      </c>
      <c r="G3450">
        <v>9</v>
      </c>
      <c r="H3450">
        <v>742.31</v>
      </c>
      <c r="I3450">
        <v>15</v>
      </c>
      <c r="J3450" t="s">
        <v>20</v>
      </c>
      <c r="K3450">
        <v>1002.12</v>
      </c>
      <c r="L3450">
        <v>6680.79</v>
      </c>
      <c r="M3450">
        <v>5678.67</v>
      </c>
      <c r="N3450" t="s">
        <v>72</v>
      </c>
      <c r="O3450">
        <v>2024</v>
      </c>
    </row>
    <row r="3451" spans="1:15" x14ac:dyDescent="0.3">
      <c r="A3451" t="s">
        <v>3536</v>
      </c>
      <c r="B3451" t="s">
        <v>47</v>
      </c>
      <c r="C3451" t="s">
        <v>34</v>
      </c>
      <c r="D3451" t="s">
        <v>66</v>
      </c>
      <c r="E3451" t="s">
        <v>30</v>
      </c>
      <c r="F3451" s="1">
        <v>45807</v>
      </c>
      <c r="G3451">
        <v>8</v>
      </c>
      <c r="H3451">
        <v>38285.879999999997</v>
      </c>
      <c r="I3451">
        <v>20</v>
      </c>
      <c r="J3451" t="s">
        <v>26</v>
      </c>
      <c r="K3451">
        <v>61257.41</v>
      </c>
      <c r="L3451">
        <v>306287.03999999998</v>
      </c>
      <c r="M3451">
        <v>245029.63</v>
      </c>
      <c r="N3451" t="s">
        <v>101</v>
      </c>
      <c r="O3451">
        <v>2025</v>
      </c>
    </row>
    <row r="3452" spans="1:15" x14ac:dyDescent="0.3">
      <c r="A3452" t="s">
        <v>3537</v>
      </c>
      <c r="B3452" t="s">
        <v>47</v>
      </c>
      <c r="C3452" t="s">
        <v>34</v>
      </c>
      <c r="D3452" t="s">
        <v>85</v>
      </c>
      <c r="E3452" t="s">
        <v>81</v>
      </c>
      <c r="F3452" s="1">
        <v>45698</v>
      </c>
      <c r="G3452">
        <v>10</v>
      </c>
      <c r="H3452">
        <v>13499.68</v>
      </c>
      <c r="I3452">
        <v>10</v>
      </c>
      <c r="J3452" t="s">
        <v>20</v>
      </c>
      <c r="K3452">
        <v>13499.68</v>
      </c>
      <c r="L3452">
        <v>134996.79999999999</v>
      </c>
      <c r="M3452">
        <v>121497.12</v>
      </c>
      <c r="N3452" t="s">
        <v>41</v>
      </c>
      <c r="O3452">
        <v>2025</v>
      </c>
    </row>
    <row r="3453" spans="1:15" x14ac:dyDescent="0.3">
      <c r="A3453" t="s">
        <v>3538</v>
      </c>
      <c r="B3453" t="s">
        <v>61</v>
      </c>
      <c r="C3453" t="s">
        <v>90</v>
      </c>
      <c r="D3453" t="s">
        <v>107</v>
      </c>
      <c r="E3453" t="s">
        <v>56</v>
      </c>
      <c r="F3453" s="1">
        <v>45787</v>
      </c>
      <c r="G3453">
        <v>2</v>
      </c>
      <c r="H3453">
        <v>13118.63</v>
      </c>
      <c r="I3453">
        <v>10</v>
      </c>
      <c r="J3453" t="s">
        <v>31</v>
      </c>
      <c r="K3453">
        <v>2623.73</v>
      </c>
      <c r="L3453">
        <v>26237.26</v>
      </c>
      <c r="M3453">
        <v>23613.53</v>
      </c>
      <c r="N3453" t="s">
        <v>101</v>
      </c>
      <c r="O3453">
        <v>2025</v>
      </c>
    </row>
    <row r="3454" spans="1:15" x14ac:dyDescent="0.3">
      <c r="A3454" t="s">
        <v>3539</v>
      </c>
      <c r="B3454" t="s">
        <v>65</v>
      </c>
      <c r="C3454" t="s">
        <v>34</v>
      </c>
      <c r="D3454" t="s">
        <v>66</v>
      </c>
      <c r="E3454" t="s">
        <v>30</v>
      </c>
      <c r="F3454" s="1">
        <v>45791</v>
      </c>
      <c r="G3454">
        <v>1</v>
      </c>
      <c r="H3454">
        <v>40420.71</v>
      </c>
      <c r="I3454">
        <v>10</v>
      </c>
      <c r="J3454" t="s">
        <v>71</v>
      </c>
      <c r="K3454">
        <v>4042.07</v>
      </c>
      <c r="L3454">
        <v>40420.71</v>
      </c>
      <c r="M3454">
        <v>36378.639999999999</v>
      </c>
      <c r="N3454" t="s">
        <v>101</v>
      </c>
      <c r="O3454">
        <v>2025</v>
      </c>
    </row>
    <row r="3455" spans="1:15" x14ac:dyDescent="0.3">
      <c r="A3455" t="s">
        <v>3540</v>
      </c>
      <c r="B3455" t="s">
        <v>16</v>
      </c>
      <c r="C3455" t="s">
        <v>62</v>
      </c>
      <c r="D3455" t="s">
        <v>132</v>
      </c>
      <c r="E3455" t="s">
        <v>81</v>
      </c>
      <c r="F3455" s="1">
        <v>45674</v>
      </c>
      <c r="G3455">
        <v>4</v>
      </c>
      <c r="H3455">
        <v>2285.3000000000002</v>
      </c>
      <c r="I3455">
        <v>10</v>
      </c>
      <c r="J3455" t="s">
        <v>82</v>
      </c>
      <c r="K3455">
        <v>914.12</v>
      </c>
      <c r="L3455">
        <v>9141.2000000000007</v>
      </c>
      <c r="M3455">
        <v>8227.08</v>
      </c>
      <c r="N3455" t="s">
        <v>116</v>
      </c>
      <c r="O3455">
        <v>2025</v>
      </c>
    </row>
    <row r="3456" spans="1:15" x14ac:dyDescent="0.3">
      <c r="A3456" t="s">
        <v>3541</v>
      </c>
      <c r="B3456" t="s">
        <v>109</v>
      </c>
      <c r="C3456" t="s">
        <v>62</v>
      </c>
      <c r="D3456" t="s">
        <v>95</v>
      </c>
      <c r="E3456" t="s">
        <v>44</v>
      </c>
      <c r="F3456" s="1">
        <v>45298</v>
      </c>
      <c r="G3456">
        <v>3</v>
      </c>
      <c r="H3456">
        <v>875.22</v>
      </c>
      <c r="I3456">
        <v>15</v>
      </c>
      <c r="J3456" t="s">
        <v>36</v>
      </c>
      <c r="K3456">
        <v>393.85</v>
      </c>
      <c r="L3456">
        <v>2625.66</v>
      </c>
      <c r="M3456">
        <v>2231.81</v>
      </c>
      <c r="N3456" t="s">
        <v>116</v>
      </c>
      <c r="O3456">
        <v>2024</v>
      </c>
    </row>
    <row r="3457" spans="1:15" x14ac:dyDescent="0.3">
      <c r="A3457" t="s">
        <v>3542</v>
      </c>
      <c r="B3457" t="s">
        <v>65</v>
      </c>
      <c r="C3457" t="s">
        <v>54</v>
      </c>
      <c r="D3457" t="s">
        <v>55</v>
      </c>
      <c r="E3457" t="s">
        <v>56</v>
      </c>
      <c r="F3457" s="1">
        <v>45510</v>
      </c>
      <c r="G3457">
        <v>5</v>
      </c>
      <c r="H3457">
        <v>1271.3900000000001</v>
      </c>
      <c r="I3457">
        <v>0</v>
      </c>
      <c r="J3457" t="s">
        <v>26</v>
      </c>
      <c r="K3457">
        <v>0</v>
      </c>
      <c r="L3457">
        <v>6356.95</v>
      </c>
      <c r="M3457">
        <v>6356.95</v>
      </c>
      <c r="N3457" t="s">
        <v>21</v>
      </c>
      <c r="O3457">
        <v>2024</v>
      </c>
    </row>
    <row r="3458" spans="1:15" x14ac:dyDescent="0.3">
      <c r="A3458" t="s">
        <v>3543</v>
      </c>
      <c r="B3458" t="s">
        <v>33</v>
      </c>
      <c r="C3458" t="s">
        <v>34</v>
      </c>
      <c r="D3458" t="s">
        <v>66</v>
      </c>
      <c r="E3458" t="s">
        <v>81</v>
      </c>
      <c r="F3458" s="1">
        <v>45755</v>
      </c>
      <c r="G3458">
        <v>7</v>
      </c>
      <c r="H3458">
        <v>36472.31</v>
      </c>
      <c r="I3458">
        <v>0</v>
      </c>
      <c r="J3458" t="s">
        <v>31</v>
      </c>
      <c r="K3458">
        <v>0</v>
      </c>
      <c r="L3458">
        <v>255306.17</v>
      </c>
      <c r="M3458">
        <v>255306.17</v>
      </c>
      <c r="N3458" t="s">
        <v>27</v>
      </c>
      <c r="O3458">
        <v>2025</v>
      </c>
    </row>
    <row r="3459" spans="1:15" x14ac:dyDescent="0.3">
      <c r="A3459" t="s">
        <v>3544</v>
      </c>
      <c r="B3459" t="s">
        <v>93</v>
      </c>
      <c r="C3459" t="s">
        <v>62</v>
      </c>
      <c r="D3459" t="s">
        <v>95</v>
      </c>
      <c r="E3459" t="s">
        <v>44</v>
      </c>
      <c r="F3459" s="1">
        <v>45571</v>
      </c>
      <c r="G3459">
        <v>7</v>
      </c>
      <c r="H3459">
        <v>942.67</v>
      </c>
      <c r="I3459">
        <v>15</v>
      </c>
      <c r="J3459" t="s">
        <v>20</v>
      </c>
      <c r="K3459">
        <v>989.8</v>
      </c>
      <c r="L3459">
        <v>6598.69</v>
      </c>
      <c r="M3459">
        <v>5608.89</v>
      </c>
      <c r="N3459" t="s">
        <v>57</v>
      </c>
      <c r="O3459">
        <v>2024</v>
      </c>
    </row>
    <row r="3460" spans="1:15" x14ac:dyDescent="0.3">
      <c r="A3460" t="s">
        <v>3545</v>
      </c>
      <c r="B3460" t="s">
        <v>61</v>
      </c>
      <c r="C3460" t="s">
        <v>62</v>
      </c>
      <c r="D3460" t="s">
        <v>119</v>
      </c>
      <c r="E3460" t="s">
        <v>25</v>
      </c>
      <c r="F3460" s="1">
        <v>45537</v>
      </c>
      <c r="G3460">
        <v>7</v>
      </c>
      <c r="H3460">
        <v>3623.99</v>
      </c>
      <c r="I3460">
        <v>0</v>
      </c>
      <c r="J3460" t="s">
        <v>36</v>
      </c>
      <c r="K3460">
        <v>0</v>
      </c>
      <c r="L3460">
        <v>25367.93</v>
      </c>
      <c r="M3460">
        <v>25367.93</v>
      </c>
      <c r="N3460" t="s">
        <v>86</v>
      </c>
      <c r="O3460">
        <v>2024</v>
      </c>
    </row>
    <row r="3461" spans="1:15" x14ac:dyDescent="0.3">
      <c r="A3461" t="s">
        <v>3546</v>
      </c>
      <c r="B3461" t="s">
        <v>114</v>
      </c>
      <c r="C3461" t="s">
        <v>17</v>
      </c>
      <c r="D3461" t="s">
        <v>18</v>
      </c>
      <c r="E3461" t="s">
        <v>50</v>
      </c>
      <c r="F3461" s="1">
        <v>45749</v>
      </c>
      <c r="G3461">
        <v>3</v>
      </c>
      <c r="H3461">
        <v>59664.65</v>
      </c>
      <c r="I3461">
        <v>10</v>
      </c>
      <c r="J3461" t="s">
        <v>36</v>
      </c>
      <c r="K3461">
        <v>17899.400000000001</v>
      </c>
      <c r="L3461">
        <v>178993.95</v>
      </c>
      <c r="M3461">
        <v>161094.54999999999</v>
      </c>
      <c r="N3461" t="s">
        <v>27</v>
      </c>
      <c r="O3461">
        <v>2025</v>
      </c>
    </row>
    <row r="3462" spans="1:15" x14ac:dyDescent="0.3">
      <c r="A3462" t="s">
        <v>3547</v>
      </c>
      <c r="B3462" t="s">
        <v>29</v>
      </c>
      <c r="C3462" t="s">
        <v>17</v>
      </c>
      <c r="D3462" t="s">
        <v>59</v>
      </c>
      <c r="E3462" t="s">
        <v>19</v>
      </c>
      <c r="F3462" s="1">
        <v>45353</v>
      </c>
      <c r="G3462">
        <v>2</v>
      </c>
      <c r="H3462">
        <v>25909.33</v>
      </c>
      <c r="I3462">
        <v>5</v>
      </c>
      <c r="J3462" t="s">
        <v>31</v>
      </c>
      <c r="K3462">
        <v>2590.9299999999998</v>
      </c>
      <c r="L3462">
        <v>51818.66</v>
      </c>
      <c r="M3462">
        <v>49227.73</v>
      </c>
      <c r="N3462" t="s">
        <v>83</v>
      </c>
      <c r="O3462">
        <v>2024</v>
      </c>
    </row>
    <row r="3463" spans="1:15" x14ac:dyDescent="0.3">
      <c r="A3463" t="s">
        <v>3548</v>
      </c>
      <c r="B3463" t="s">
        <v>47</v>
      </c>
      <c r="C3463" t="s">
        <v>34</v>
      </c>
      <c r="D3463" t="s">
        <v>80</v>
      </c>
      <c r="E3463" t="s">
        <v>50</v>
      </c>
      <c r="F3463" s="1">
        <v>45662</v>
      </c>
      <c r="G3463">
        <v>4</v>
      </c>
      <c r="H3463">
        <v>5660.72</v>
      </c>
      <c r="I3463">
        <v>20</v>
      </c>
      <c r="J3463" t="s">
        <v>36</v>
      </c>
      <c r="K3463">
        <v>4528.58</v>
      </c>
      <c r="L3463">
        <v>22642.880000000001</v>
      </c>
      <c r="M3463">
        <v>18114.3</v>
      </c>
      <c r="N3463" t="s">
        <v>116</v>
      </c>
      <c r="O3463">
        <v>2025</v>
      </c>
    </row>
    <row r="3464" spans="1:15" x14ac:dyDescent="0.3">
      <c r="A3464" t="s">
        <v>3549</v>
      </c>
      <c r="B3464" t="s">
        <v>114</v>
      </c>
      <c r="C3464" t="s">
        <v>34</v>
      </c>
      <c r="D3464" t="s">
        <v>80</v>
      </c>
      <c r="E3464" t="s">
        <v>44</v>
      </c>
      <c r="F3464" s="1">
        <v>45827</v>
      </c>
      <c r="G3464">
        <v>2</v>
      </c>
      <c r="H3464">
        <v>6485.5</v>
      </c>
      <c r="I3464">
        <v>15</v>
      </c>
      <c r="J3464" t="s">
        <v>31</v>
      </c>
      <c r="K3464">
        <v>1945.65</v>
      </c>
      <c r="L3464">
        <v>12971</v>
      </c>
      <c r="M3464">
        <v>11025.35</v>
      </c>
      <c r="N3464" t="s">
        <v>72</v>
      </c>
      <c r="O3464">
        <v>2025</v>
      </c>
    </row>
    <row r="3465" spans="1:15" x14ac:dyDescent="0.3">
      <c r="A3465" t="s">
        <v>3550</v>
      </c>
      <c r="B3465" t="s">
        <v>38</v>
      </c>
      <c r="C3465" t="s">
        <v>34</v>
      </c>
      <c r="D3465" t="s">
        <v>35</v>
      </c>
      <c r="E3465" t="s">
        <v>25</v>
      </c>
      <c r="F3465" s="1">
        <v>45842</v>
      </c>
      <c r="G3465">
        <v>10</v>
      </c>
      <c r="H3465">
        <v>26729.61</v>
      </c>
      <c r="I3465">
        <v>0</v>
      </c>
      <c r="J3465" t="s">
        <v>20</v>
      </c>
      <c r="K3465">
        <v>0</v>
      </c>
      <c r="L3465">
        <v>267296.09999999998</v>
      </c>
      <c r="M3465">
        <v>267296.09999999998</v>
      </c>
      <c r="N3465" t="s">
        <v>122</v>
      </c>
      <c r="O3465">
        <v>2025</v>
      </c>
    </row>
    <row r="3466" spans="1:15" x14ac:dyDescent="0.3">
      <c r="A3466" t="s">
        <v>3551</v>
      </c>
      <c r="B3466" t="s">
        <v>16</v>
      </c>
      <c r="C3466" t="s">
        <v>90</v>
      </c>
      <c r="D3466" t="s">
        <v>107</v>
      </c>
      <c r="E3466" t="s">
        <v>56</v>
      </c>
      <c r="F3466" s="1">
        <v>45769</v>
      </c>
      <c r="G3466">
        <v>9</v>
      </c>
      <c r="H3466">
        <v>12577.53</v>
      </c>
      <c r="I3466">
        <v>10</v>
      </c>
      <c r="J3466" t="s">
        <v>26</v>
      </c>
      <c r="K3466">
        <v>11319.78</v>
      </c>
      <c r="L3466">
        <v>113197.77</v>
      </c>
      <c r="M3466">
        <v>101877.99</v>
      </c>
      <c r="N3466" t="s">
        <v>27</v>
      </c>
      <c r="O3466">
        <v>2025</v>
      </c>
    </row>
    <row r="3467" spans="1:15" x14ac:dyDescent="0.3">
      <c r="A3467" t="s">
        <v>3552</v>
      </c>
      <c r="B3467" t="s">
        <v>89</v>
      </c>
      <c r="C3467" t="s">
        <v>90</v>
      </c>
      <c r="D3467" t="s">
        <v>152</v>
      </c>
      <c r="E3467" t="s">
        <v>50</v>
      </c>
      <c r="F3467" s="1">
        <v>45335</v>
      </c>
      <c r="G3467">
        <v>1</v>
      </c>
      <c r="H3467">
        <v>9883.9699999999993</v>
      </c>
      <c r="I3467">
        <v>0</v>
      </c>
      <c r="J3467" t="s">
        <v>26</v>
      </c>
      <c r="K3467">
        <v>0</v>
      </c>
      <c r="L3467">
        <v>9883.9699999999993</v>
      </c>
      <c r="M3467">
        <v>9883.9699999999993</v>
      </c>
      <c r="N3467" t="s">
        <v>41</v>
      </c>
      <c r="O3467">
        <v>2024</v>
      </c>
    </row>
    <row r="3468" spans="1:15" x14ac:dyDescent="0.3">
      <c r="A3468" t="s">
        <v>3553</v>
      </c>
      <c r="B3468" t="s">
        <v>74</v>
      </c>
      <c r="C3468" t="s">
        <v>62</v>
      </c>
      <c r="D3468" t="s">
        <v>95</v>
      </c>
      <c r="E3468" t="s">
        <v>25</v>
      </c>
      <c r="F3468" s="1">
        <v>45301</v>
      </c>
      <c r="G3468">
        <v>8</v>
      </c>
      <c r="H3468">
        <v>742.83</v>
      </c>
      <c r="I3468">
        <v>5</v>
      </c>
      <c r="J3468" t="s">
        <v>71</v>
      </c>
      <c r="K3468">
        <v>297.13</v>
      </c>
      <c r="L3468">
        <v>5942.64</v>
      </c>
      <c r="M3468">
        <v>5645.51</v>
      </c>
      <c r="N3468" t="s">
        <v>116</v>
      </c>
      <c r="O3468">
        <v>2024</v>
      </c>
    </row>
    <row r="3469" spans="1:15" x14ac:dyDescent="0.3">
      <c r="A3469" t="s">
        <v>3554</v>
      </c>
      <c r="B3469" t="s">
        <v>33</v>
      </c>
      <c r="C3469" t="s">
        <v>62</v>
      </c>
      <c r="D3469" t="s">
        <v>132</v>
      </c>
      <c r="E3469" t="s">
        <v>44</v>
      </c>
      <c r="F3469" s="1">
        <v>45961</v>
      </c>
      <c r="G3469">
        <v>9</v>
      </c>
      <c r="H3469">
        <v>3051.09</v>
      </c>
      <c r="I3469">
        <v>10</v>
      </c>
      <c r="J3469" t="s">
        <v>26</v>
      </c>
      <c r="K3469">
        <v>2745.98</v>
      </c>
      <c r="L3469">
        <v>27459.81</v>
      </c>
      <c r="M3469">
        <v>24713.83</v>
      </c>
      <c r="N3469" t="s">
        <v>57</v>
      </c>
      <c r="O3469">
        <v>2025</v>
      </c>
    </row>
    <row r="3470" spans="1:15" x14ac:dyDescent="0.3">
      <c r="A3470" t="s">
        <v>3555</v>
      </c>
      <c r="B3470" t="s">
        <v>29</v>
      </c>
      <c r="C3470" t="s">
        <v>17</v>
      </c>
      <c r="D3470" t="s">
        <v>59</v>
      </c>
      <c r="E3470" t="s">
        <v>56</v>
      </c>
      <c r="F3470" s="1">
        <v>45833</v>
      </c>
      <c r="G3470">
        <v>6</v>
      </c>
      <c r="H3470">
        <v>23005.79</v>
      </c>
      <c r="I3470">
        <v>0</v>
      </c>
      <c r="J3470" t="s">
        <v>26</v>
      </c>
      <c r="K3470">
        <v>0</v>
      </c>
      <c r="L3470">
        <v>138034.74</v>
      </c>
      <c r="M3470">
        <v>138034.74</v>
      </c>
      <c r="N3470" t="s">
        <v>72</v>
      </c>
      <c r="O3470">
        <v>2025</v>
      </c>
    </row>
    <row r="3471" spans="1:15" x14ac:dyDescent="0.3">
      <c r="A3471" t="s">
        <v>3556</v>
      </c>
      <c r="B3471" t="s">
        <v>93</v>
      </c>
      <c r="C3471" t="s">
        <v>54</v>
      </c>
      <c r="D3471" t="s">
        <v>70</v>
      </c>
      <c r="E3471" t="s">
        <v>19</v>
      </c>
      <c r="F3471" s="1">
        <v>45662</v>
      </c>
      <c r="G3471">
        <v>5</v>
      </c>
      <c r="H3471">
        <v>2834.21</v>
      </c>
      <c r="I3471">
        <v>15</v>
      </c>
      <c r="J3471" t="s">
        <v>40</v>
      </c>
      <c r="K3471">
        <v>2125.66</v>
      </c>
      <c r="L3471">
        <v>14171.05</v>
      </c>
      <c r="M3471">
        <v>12045.39</v>
      </c>
      <c r="N3471" t="s">
        <v>116</v>
      </c>
      <c r="O3471">
        <v>2025</v>
      </c>
    </row>
    <row r="3472" spans="1:15" x14ac:dyDescent="0.3">
      <c r="A3472" t="s">
        <v>3557</v>
      </c>
      <c r="B3472" t="s">
        <v>53</v>
      </c>
      <c r="C3472" t="s">
        <v>54</v>
      </c>
      <c r="D3472" t="s">
        <v>68</v>
      </c>
      <c r="E3472" t="s">
        <v>81</v>
      </c>
      <c r="F3472" s="1">
        <v>45644</v>
      </c>
      <c r="G3472">
        <v>6</v>
      </c>
      <c r="H3472">
        <v>4936.99</v>
      </c>
      <c r="I3472">
        <v>0</v>
      </c>
      <c r="J3472" t="s">
        <v>31</v>
      </c>
      <c r="K3472">
        <v>0</v>
      </c>
      <c r="L3472">
        <v>29621.94</v>
      </c>
      <c r="M3472">
        <v>29621.94</v>
      </c>
      <c r="N3472" t="s">
        <v>51</v>
      </c>
      <c r="O3472">
        <v>2024</v>
      </c>
    </row>
    <row r="3473" spans="1:15" x14ac:dyDescent="0.3">
      <c r="A3473" t="s">
        <v>3558</v>
      </c>
      <c r="B3473" t="s">
        <v>89</v>
      </c>
      <c r="C3473" t="s">
        <v>54</v>
      </c>
      <c r="D3473" t="s">
        <v>55</v>
      </c>
      <c r="E3473" t="s">
        <v>56</v>
      </c>
      <c r="F3473" s="1">
        <v>45372</v>
      </c>
      <c r="G3473">
        <v>4</v>
      </c>
      <c r="H3473">
        <v>1211.76</v>
      </c>
      <c r="I3473">
        <v>0</v>
      </c>
      <c r="J3473" t="s">
        <v>71</v>
      </c>
      <c r="K3473">
        <v>0</v>
      </c>
      <c r="L3473">
        <v>4847.04</v>
      </c>
      <c r="M3473">
        <v>4847.04</v>
      </c>
      <c r="N3473" t="s">
        <v>83</v>
      </c>
      <c r="O3473">
        <v>2024</v>
      </c>
    </row>
    <row r="3474" spans="1:15" x14ac:dyDescent="0.3">
      <c r="A3474" t="s">
        <v>3559</v>
      </c>
      <c r="B3474" t="s">
        <v>23</v>
      </c>
      <c r="C3474" t="s">
        <v>54</v>
      </c>
      <c r="D3474" t="s">
        <v>77</v>
      </c>
      <c r="E3474" t="s">
        <v>44</v>
      </c>
      <c r="F3474" s="1">
        <v>45727</v>
      </c>
      <c r="G3474">
        <v>4</v>
      </c>
      <c r="H3474">
        <v>5230.82</v>
      </c>
      <c r="I3474">
        <v>15</v>
      </c>
      <c r="J3474" t="s">
        <v>36</v>
      </c>
      <c r="K3474">
        <v>3138.49</v>
      </c>
      <c r="L3474">
        <v>20923.28</v>
      </c>
      <c r="M3474">
        <v>17784.79</v>
      </c>
      <c r="N3474" t="s">
        <v>83</v>
      </c>
      <c r="O3474">
        <v>2025</v>
      </c>
    </row>
    <row r="3475" spans="1:15" x14ac:dyDescent="0.3">
      <c r="A3475" t="s">
        <v>3560</v>
      </c>
      <c r="B3475" t="s">
        <v>16</v>
      </c>
      <c r="C3475" t="s">
        <v>17</v>
      </c>
      <c r="D3475" t="s">
        <v>59</v>
      </c>
      <c r="E3475" t="s">
        <v>56</v>
      </c>
      <c r="F3475" s="1">
        <v>45743</v>
      </c>
      <c r="G3475">
        <v>9</v>
      </c>
      <c r="H3475">
        <v>23867.24</v>
      </c>
      <c r="I3475">
        <v>0</v>
      </c>
      <c r="J3475" t="s">
        <v>31</v>
      </c>
      <c r="K3475">
        <v>0</v>
      </c>
      <c r="L3475">
        <v>214805.16</v>
      </c>
      <c r="M3475">
        <v>214805.16</v>
      </c>
      <c r="N3475" t="s">
        <v>83</v>
      </c>
      <c r="O3475">
        <v>2025</v>
      </c>
    </row>
    <row r="3476" spans="1:15" x14ac:dyDescent="0.3">
      <c r="A3476" t="s">
        <v>3561</v>
      </c>
      <c r="B3476" t="s">
        <v>89</v>
      </c>
      <c r="C3476" t="s">
        <v>62</v>
      </c>
      <c r="D3476" t="s">
        <v>119</v>
      </c>
      <c r="E3476" t="s">
        <v>50</v>
      </c>
      <c r="F3476" s="1">
        <v>45392</v>
      </c>
      <c r="G3476">
        <v>4</v>
      </c>
      <c r="H3476">
        <v>3626.41</v>
      </c>
      <c r="I3476">
        <v>20</v>
      </c>
      <c r="J3476" t="s">
        <v>71</v>
      </c>
      <c r="K3476">
        <v>2901.13</v>
      </c>
      <c r="L3476">
        <v>14505.64</v>
      </c>
      <c r="M3476">
        <v>11604.51</v>
      </c>
      <c r="N3476" t="s">
        <v>27</v>
      </c>
      <c r="O3476">
        <v>2024</v>
      </c>
    </row>
    <row r="3477" spans="1:15" x14ac:dyDescent="0.3">
      <c r="A3477" t="s">
        <v>3562</v>
      </c>
      <c r="B3477" t="s">
        <v>38</v>
      </c>
      <c r="C3477" t="s">
        <v>90</v>
      </c>
      <c r="D3477" t="s">
        <v>115</v>
      </c>
      <c r="E3477" t="s">
        <v>25</v>
      </c>
      <c r="F3477" s="1">
        <v>45435</v>
      </c>
      <c r="G3477">
        <v>4</v>
      </c>
      <c r="H3477">
        <v>8574.7800000000007</v>
      </c>
      <c r="I3477">
        <v>10</v>
      </c>
      <c r="J3477" t="s">
        <v>36</v>
      </c>
      <c r="K3477">
        <v>3429.91</v>
      </c>
      <c r="L3477">
        <v>34299.120000000003</v>
      </c>
      <c r="M3477">
        <v>30869.21</v>
      </c>
      <c r="N3477" t="s">
        <v>101</v>
      </c>
      <c r="O3477">
        <v>2024</v>
      </c>
    </row>
    <row r="3478" spans="1:15" x14ac:dyDescent="0.3">
      <c r="A3478" t="s">
        <v>3563</v>
      </c>
      <c r="B3478" t="s">
        <v>43</v>
      </c>
      <c r="C3478" t="s">
        <v>90</v>
      </c>
      <c r="D3478" t="s">
        <v>105</v>
      </c>
      <c r="E3478" t="s">
        <v>19</v>
      </c>
      <c r="F3478" s="1">
        <v>45682</v>
      </c>
      <c r="G3478">
        <v>3</v>
      </c>
      <c r="H3478">
        <v>3582.46</v>
      </c>
      <c r="I3478">
        <v>5</v>
      </c>
      <c r="J3478" t="s">
        <v>31</v>
      </c>
      <c r="K3478">
        <v>537.37</v>
      </c>
      <c r="L3478">
        <v>10747.38</v>
      </c>
      <c r="M3478">
        <v>10210.01</v>
      </c>
      <c r="N3478" t="s">
        <v>116</v>
      </c>
      <c r="O3478">
        <v>2025</v>
      </c>
    </row>
    <row r="3479" spans="1:15" x14ac:dyDescent="0.3">
      <c r="A3479" t="s">
        <v>3564</v>
      </c>
      <c r="B3479" t="s">
        <v>43</v>
      </c>
      <c r="C3479" t="s">
        <v>34</v>
      </c>
      <c r="D3479" t="s">
        <v>80</v>
      </c>
      <c r="E3479" t="s">
        <v>30</v>
      </c>
      <c r="F3479" s="1">
        <v>45365</v>
      </c>
      <c r="G3479">
        <v>8</v>
      </c>
      <c r="H3479">
        <v>6024.14</v>
      </c>
      <c r="I3479">
        <v>0</v>
      </c>
      <c r="J3479" t="s">
        <v>82</v>
      </c>
      <c r="K3479">
        <v>0</v>
      </c>
      <c r="L3479">
        <v>48193.120000000003</v>
      </c>
      <c r="M3479">
        <v>48193.120000000003</v>
      </c>
      <c r="N3479" t="s">
        <v>83</v>
      </c>
      <c r="O3479">
        <v>2024</v>
      </c>
    </row>
    <row r="3480" spans="1:15" x14ac:dyDescent="0.3">
      <c r="A3480" t="s">
        <v>3565</v>
      </c>
      <c r="B3480" t="s">
        <v>61</v>
      </c>
      <c r="C3480" t="s">
        <v>62</v>
      </c>
      <c r="D3480" t="s">
        <v>63</v>
      </c>
      <c r="E3480" t="s">
        <v>30</v>
      </c>
      <c r="F3480" s="1">
        <v>45675</v>
      </c>
      <c r="G3480">
        <v>3</v>
      </c>
      <c r="H3480">
        <v>1752.98</v>
      </c>
      <c r="I3480">
        <v>5</v>
      </c>
      <c r="J3480" t="s">
        <v>82</v>
      </c>
      <c r="K3480">
        <v>262.95</v>
      </c>
      <c r="L3480">
        <v>5258.94</v>
      </c>
      <c r="M3480">
        <v>4995.99</v>
      </c>
      <c r="N3480" t="s">
        <v>116</v>
      </c>
      <c r="O3480">
        <v>2025</v>
      </c>
    </row>
    <row r="3481" spans="1:15" x14ac:dyDescent="0.3">
      <c r="A3481" t="s">
        <v>3566</v>
      </c>
      <c r="B3481" t="s">
        <v>23</v>
      </c>
      <c r="C3481" t="s">
        <v>17</v>
      </c>
      <c r="D3481" t="s">
        <v>24</v>
      </c>
      <c r="E3481" t="s">
        <v>81</v>
      </c>
      <c r="F3481" s="1">
        <v>45504</v>
      </c>
      <c r="G3481">
        <v>7</v>
      </c>
      <c r="H3481">
        <v>2896.45</v>
      </c>
      <c r="I3481">
        <v>0</v>
      </c>
      <c r="J3481" t="s">
        <v>31</v>
      </c>
      <c r="K3481">
        <v>0</v>
      </c>
      <c r="L3481">
        <v>20275.150000000001</v>
      </c>
      <c r="M3481">
        <v>20275.150000000001</v>
      </c>
      <c r="N3481" t="s">
        <v>122</v>
      </c>
      <c r="O3481">
        <v>2024</v>
      </c>
    </row>
    <row r="3482" spans="1:15" x14ac:dyDescent="0.3">
      <c r="A3482" t="s">
        <v>3567</v>
      </c>
      <c r="B3482" t="s">
        <v>33</v>
      </c>
      <c r="C3482" t="s">
        <v>62</v>
      </c>
      <c r="D3482" t="s">
        <v>99</v>
      </c>
      <c r="E3482" t="s">
        <v>56</v>
      </c>
      <c r="F3482" s="1">
        <v>45899</v>
      </c>
      <c r="G3482">
        <v>9</v>
      </c>
      <c r="H3482">
        <v>1688.4</v>
      </c>
      <c r="I3482">
        <v>0</v>
      </c>
      <c r="J3482" t="s">
        <v>31</v>
      </c>
      <c r="K3482">
        <v>0</v>
      </c>
      <c r="L3482">
        <v>15195.6</v>
      </c>
      <c r="M3482">
        <v>15195.6</v>
      </c>
      <c r="N3482" t="s">
        <v>21</v>
      </c>
      <c r="O3482">
        <v>2025</v>
      </c>
    </row>
    <row r="3483" spans="1:15" x14ac:dyDescent="0.3">
      <c r="A3483" t="s">
        <v>3568</v>
      </c>
      <c r="B3483" t="s">
        <v>65</v>
      </c>
      <c r="C3483" t="s">
        <v>34</v>
      </c>
      <c r="D3483" t="s">
        <v>35</v>
      </c>
      <c r="E3483" t="s">
        <v>81</v>
      </c>
      <c r="F3483" s="1">
        <v>45295</v>
      </c>
      <c r="G3483">
        <v>1</v>
      </c>
      <c r="H3483">
        <v>24239.4</v>
      </c>
      <c r="I3483">
        <v>5</v>
      </c>
      <c r="J3483" t="s">
        <v>20</v>
      </c>
      <c r="K3483">
        <v>1211.97</v>
      </c>
      <c r="L3483">
        <v>24239.4</v>
      </c>
      <c r="M3483">
        <v>23027.43</v>
      </c>
      <c r="N3483" t="s">
        <v>116</v>
      </c>
      <c r="O3483">
        <v>2024</v>
      </c>
    </row>
    <row r="3484" spans="1:15" x14ac:dyDescent="0.3">
      <c r="A3484" t="s">
        <v>3569</v>
      </c>
      <c r="B3484" t="s">
        <v>114</v>
      </c>
      <c r="C3484" t="s">
        <v>90</v>
      </c>
      <c r="D3484" t="s">
        <v>91</v>
      </c>
      <c r="E3484" t="s">
        <v>30</v>
      </c>
      <c r="F3484" s="1">
        <v>45703</v>
      </c>
      <c r="G3484">
        <v>4</v>
      </c>
      <c r="H3484">
        <v>1608.79</v>
      </c>
      <c r="I3484">
        <v>0</v>
      </c>
      <c r="J3484" t="s">
        <v>20</v>
      </c>
      <c r="K3484">
        <v>0</v>
      </c>
      <c r="L3484">
        <v>6435.16</v>
      </c>
      <c r="M3484">
        <v>6435.16</v>
      </c>
      <c r="N3484" t="s">
        <v>41</v>
      </c>
      <c r="O3484">
        <v>2025</v>
      </c>
    </row>
    <row r="3485" spans="1:15" x14ac:dyDescent="0.3">
      <c r="A3485" t="s">
        <v>3570</v>
      </c>
      <c r="B3485" t="s">
        <v>53</v>
      </c>
      <c r="C3485" t="s">
        <v>62</v>
      </c>
      <c r="D3485" t="s">
        <v>132</v>
      </c>
      <c r="E3485" t="s">
        <v>30</v>
      </c>
      <c r="F3485" s="1">
        <v>46015</v>
      </c>
      <c r="G3485">
        <v>10</v>
      </c>
      <c r="H3485">
        <v>2553.11</v>
      </c>
      <c r="I3485">
        <v>5</v>
      </c>
      <c r="J3485" t="s">
        <v>36</v>
      </c>
      <c r="K3485">
        <v>1276.56</v>
      </c>
      <c r="L3485">
        <v>25531.1</v>
      </c>
      <c r="M3485">
        <v>24254.54</v>
      </c>
      <c r="N3485" t="s">
        <v>51</v>
      </c>
      <c r="O3485">
        <v>2025</v>
      </c>
    </row>
    <row r="3486" spans="1:15" x14ac:dyDescent="0.3">
      <c r="A3486" t="s">
        <v>3571</v>
      </c>
      <c r="B3486" t="s">
        <v>23</v>
      </c>
      <c r="C3486" t="s">
        <v>90</v>
      </c>
      <c r="D3486" t="s">
        <v>105</v>
      </c>
      <c r="E3486" t="s">
        <v>19</v>
      </c>
      <c r="F3486" s="1">
        <v>45578</v>
      </c>
      <c r="G3486">
        <v>2</v>
      </c>
      <c r="H3486">
        <v>3507.04</v>
      </c>
      <c r="I3486">
        <v>10</v>
      </c>
      <c r="J3486" t="s">
        <v>20</v>
      </c>
      <c r="K3486">
        <v>701.41</v>
      </c>
      <c r="L3486">
        <v>7014.08</v>
      </c>
      <c r="M3486">
        <v>6312.67</v>
      </c>
      <c r="N3486" t="s">
        <v>57</v>
      </c>
      <c r="O3486">
        <v>2024</v>
      </c>
    </row>
    <row r="3487" spans="1:15" x14ac:dyDescent="0.3">
      <c r="A3487" t="s">
        <v>3572</v>
      </c>
      <c r="B3487" t="s">
        <v>16</v>
      </c>
      <c r="C3487" t="s">
        <v>17</v>
      </c>
      <c r="D3487" t="s">
        <v>157</v>
      </c>
      <c r="E3487" t="s">
        <v>30</v>
      </c>
      <c r="F3487" s="1">
        <v>45884</v>
      </c>
      <c r="G3487">
        <v>2</v>
      </c>
      <c r="H3487">
        <v>6443.42</v>
      </c>
      <c r="I3487">
        <v>15</v>
      </c>
      <c r="J3487" t="s">
        <v>36</v>
      </c>
      <c r="K3487">
        <v>1933.03</v>
      </c>
      <c r="L3487">
        <v>12886.84</v>
      </c>
      <c r="M3487">
        <v>10953.81</v>
      </c>
      <c r="N3487" t="s">
        <v>21</v>
      </c>
      <c r="O3487">
        <v>2025</v>
      </c>
    </row>
    <row r="3488" spans="1:15" x14ac:dyDescent="0.3">
      <c r="A3488" t="s">
        <v>3573</v>
      </c>
      <c r="B3488" t="s">
        <v>65</v>
      </c>
      <c r="C3488" t="s">
        <v>34</v>
      </c>
      <c r="D3488" t="s">
        <v>85</v>
      </c>
      <c r="E3488" t="s">
        <v>50</v>
      </c>
      <c r="F3488" s="1">
        <v>45783</v>
      </c>
      <c r="G3488">
        <v>2</v>
      </c>
      <c r="H3488">
        <v>12355.78</v>
      </c>
      <c r="I3488">
        <v>0</v>
      </c>
      <c r="J3488" t="s">
        <v>40</v>
      </c>
      <c r="K3488">
        <v>0</v>
      </c>
      <c r="L3488">
        <v>24711.56</v>
      </c>
      <c r="M3488">
        <v>24711.56</v>
      </c>
      <c r="N3488" t="s">
        <v>101</v>
      </c>
      <c r="O3488">
        <v>2025</v>
      </c>
    </row>
    <row r="3489" spans="1:15" x14ac:dyDescent="0.3">
      <c r="A3489" t="s">
        <v>3574</v>
      </c>
      <c r="B3489" t="s">
        <v>47</v>
      </c>
      <c r="C3489" t="s">
        <v>17</v>
      </c>
      <c r="D3489" t="s">
        <v>24</v>
      </c>
      <c r="E3489" t="s">
        <v>56</v>
      </c>
      <c r="F3489" s="1">
        <v>45959</v>
      </c>
      <c r="G3489">
        <v>1</v>
      </c>
      <c r="H3489">
        <v>3669.59</v>
      </c>
      <c r="I3489">
        <v>15</v>
      </c>
      <c r="J3489" t="s">
        <v>31</v>
      </c>
      <c r="K3489">
        <v>550.44000000000005</v>
      </c>
      <c r="L3489">
        <v>3669.59</v>
      </c>
      <c r="M3489">
        <v>3119.15</v>
      </c>
      <c r="N3489" t="s">
        <v>57</v>
      </c>
      <c r="O3489">
        <v>2025</v>
      </c>
    </row>
    <row r="3490" spans="1:15" x14ac:dyDescent="0.3">
      <c r="A3490" t="s">
        <v>3575</v>
      </c>
      <c r="B3490" t="s">
        <v>65</v>
      </c>
      <c r="C3490" t="s">
        <v>62</v>
      </c>
      <c r="D3490" t="s">
        <v>99</v>
      </c>
      <c r="E3490" t="s">
        <v>81</v>
      </c>
      <c r="F3490" s="1">
        <v>45882</v>
      </c>
      <c r="G3490">
        <v>8</v>
      </c>
      <c r="H3490">
        <v>1685.4</v>
      </c>
      <c r="I3490">
        <v>20</v>
      </c>
      <c r="J3490" t="s">
        <v>40</v>
      </c>
      <c r="K3490">
        <v>2696.64</v>
      </c>
      <c r="L3490">
        <v>13483.2</v>
      </c>
      <c r="M3490">
        <v>10786.56</v>
      </c>
      <c r="N3490" t="s">
        <v>21</v>
      </c>
      <c r="O3490">
        <v>2025</v>
      </c>
    </row>
    <row r="3491" spans="1:15" x14ac:dyDescent="0.3">
      <c r="A3491" t="s">
        <v>3576</v>
      </c>
      <c r="B3491" t="s">
        <v>93</v>
      </c>
      <c r="C3491" t="s">
        <v>54</v>
      </c>
      <c r="D3491" t="s">
        <v>68</v>
      </c>
      <c r="E3491" t="s">
        <v>81</v>
      </c>
      <c r="F3491" s="1">
        <v>45615</v>
      </c>
      <c r="G3491">
        <v>3</v>
      </c>
      <c r="H3491">
        <v>5605.7</v>
      </c>
      <c r="I3491">
        <v>5</v>
      </c>
      <c r="J3491" t="s">
        <v>26</v>
      </c>
      <c r="K3491">
        <v>840.86</v>
      </c>
      <c r="L3491">
        <v>16817.099999999999</v>
      </c>
      <c r="M3491">
        <v>15976.24</v>
      </c>
      <c r="N3491" t="s">
        <v>96</v>
      </c>
      <c r="O3491">
        <v>2024</v>
      </c>
    </row>
    <row r="3492" spans="1:15" x14ac:dyDescent="0.3">
      <c r="A3492" t="s">
        <v>3577</v>
      </c>
      <c r="B3492" t="s">
        <v>47</v>
      </c>
      <c r="C3492" t="s">
        <v>17</v>
      </c>
      <c r="D3492" t="s">
        <v>157</v>
      </c>
      <c r="E3492" t="s">
        <v>25</v>
      </c>
      <c r="F3492" s="1">
        <v>45851</v>
      </c>
      <c r="G3492">
        <v>7</v>
      </c>
      <c r="H3492">
        <v>7683.42</v>
      </c>
      <c r="I3492">
        <v>15</v>
      </c>
      <c r="J3492" t="s">
        <v>40</v>
      </c>
      <c r="K3492">
        <v>8067.59</v>
      </c>
      <c r="L3492">
        <v>53783.94</v>
      </c>
      <c r="M3492">
        <v>45716.35</v>
      </c>
      <c r="N3492" t="s">
        <v>122</v>
      </c>
      <c r="O3492">
        <v>2025</v>
      </c>
    </row>
    <row r="3493" spans="1:15" x14ac:dyDescent="0.3">
      <c r="A3493" t="s">
        <v>3578</v>
      </c>
      <c r="B3493" t="s">
        <v>16</v>
      </c>
      <c r="C3493" t="s">
        <v>62</v>
      </c>
      <c r="D3493" t="s">
        <v>132</v>
      </c>
      <c r="E3493" t="s">
        <v>25</v>
      </c>
      <c r="F3493" s="1">
        <v>45301</v>
      </c>
      <c r="G3493">
        <v>7</v>
      </c>
      <c r="H3493">
        <v>2298.11</v>
      </c>
      <c r="I3493">
        <v>5</v>
      </c>
      <c r="J3493" t="s">
        <v>82</v>
      </c>
      <c r="K3493">
        <v>804.34</v>
      </c>
      <c r="L3493">
        <v>16086.77</v>
      </c>
      <c r="M3493">
        <v>15282.43</v>
      </c>
      <c r="N3493" t="s">
        <v>116</v>
      </c>
      <c r="O3493">
        <v>2024</v>
      </c>
    </row>
    <row r="3494" spans="1:15" x14ac:dyDescent="0.3">
      <c r="A3494" t="s">
        <v>3579</v>
      </c>
      <c r="B3494" t="s">
        <v>38</v>
      </c>
      <c r="C3494" t="s">
        <v>62</v>
      </c>
      <c r="D3494" t="s">
        <v>99</v>
      </c>
      <c r="E3494" t="s">
        <v>50</v>
      </c>
      <c r="F3494" s="1">
        <v>45709</v>
      </c>
      <c r="G3494">
        <v>4</v>
      </c>
      <c r="H3494">
        <v>1660.91</v>
      </c>
      <c r="I3494">
        <v>5</v>
      </c>
      <c r="J3494" t="s">
        <v>82</v>
      </c>
      <c r="K3494">
        <v>332.18</v>
      </c>
      <c r="L3494">
        <v>6643.64</v>
      </c>
      <c r="M3494">
        <v>6311.46</v>
      </c>
      <c r="N3494" t="s">
        <v>41</v>
      </c>
      <c r="O3494">
        <v>2025</v>
      </c>
    </row>
    <row r="3495" spans="1:15" x14ac:dyDescent="0.3">
      <c r="A3495" t="s">
        <v>3580</v>
      </c>
      <c r="B3495" t="s">
        <v>33</v>
      </c>
      <c r="C3495" t="s">
        <v>54</v>
      </c>
      <c r="D3495" t="s">
        <v>68</v>
      </c>
      <c r="E3495" t="s">
        <v>44</v>
      </c>
      <c r="F3495" s="1">
        <v>45751</v>
      </c>
      <c r="G3495">
        <v>3</v>
      </c>
      <c r="H3495">
        <v>4887.95</v>
      </c>
      <c r="I3495">
        <v>15</v>
      </c>
      <c r="J3495" t="s">
        <v>45</v>
      </c>
      <c r="K3495">
        <v>2199.58</v>
      </c>
      <c r="L3495">
        <v>14663.85</v>
      </c>
      <c r="M3495">
        <v>12464.27</v>
      </c>
      <c r="N3495" t="s">
        <v>27</v>
      </c>
      <c r="O3495">
        <v>2025</v>
      </c>
    </row>
    <row r="3496" spans="1:15" x14ac:dyDescent="0.3">
      <c r="A3496" t="s">
        <v>3581</v>
      </c>
      <c r="B3496" t="s">
        <v>93</v>
      </c>
      <c r="C3496" t="s">
        <v>17</v>
      </c>
      <c r="D3496" t="s">
        <v>157</v>
      </c>
      <c r="E3496" t="s">
        <v>19</v>
      </c>
      <c r="F3496" s="1">
        <v>45515</v>
      </c>
      <c r="G3496">
        <v>8</v>
      </c>
      <c r="H3496">
        <v>7899.25</v>
      </c>
      <c r="I3496">
        <v>20</v>
      </c>
      <c r="J3496" t="s">
        <v>31</v>
      </c>
      <c r="K3496">
        <v>12638.8</v>
      </c>
      <c r="L3496">
        <v>63194</v>
      </c>
      <c r="M3496">
        <v>50555.199999999997</v>
      </c>
      <c r="N3496" t="s">
        <v>21</v>
      </c>
      <c r="O3496">
        <v>2024</v>
      </c>
    </row>
    <row r="3497" spans="1:15" x14ac:dyDescent="0.3">
      <c r="A3497" t="s">
        <v>3582</v>
      </c>
      <c r="B3497" t="s">
        <v>93</v>
      </c>
      <c r="C3497" t="s">
        <v>17</v>
      </c>
      <c r="D3497" t="s">
        <v>18</v>
      </c>
      <c r="E3497" t="s">
        <v>44</v>
      </c>
      <c r="F3497" s="1">
        <v>45830</v>
      </c>
      <c r="G3497">
        <v>10</v>
      </c>
      <c r="H3497">
        <v>69034.39</v>
      </c>
      <c r="I3497">
        <v>20</v>
      </c>
      <c r="J3497" t="s">
        <v>20</v>
      </c>
      <c r="K3497">
        <v>138068.78</v>
      </c>
      <c r="L3497">
        <v>690343.9</v>
      </c>
      <c r="M3497">
        <v>552275.12</v>
      </c>
      <c r="N3497" t="s">
        <v>72</v>
      </c>
      <c r="O3497">
        <v>2025</v>
      </c>
    </row>
    <row r="3498" spans="1:15" x14ac:dyDescent="0.3">
      <c r="A3498" t="s">
        <v>3583</v>
      </c>
      <c r="B3498" t="s">
        <v>65</v>
      </c>
      <c r="C3498" t="s">
        <v>17</v>
      </c>
      <c r="D3498" t="s">
        <v>157</v>
      </c>
      <c r="E3498" t="s">
        <v>50</v>
      </c>
      <c r="F3498" s="1">
        <v>45408</v>
      </c>
      <c r="G3498">
        <v>4</v>
      </c>
      <c r="H3498">
        <v>7425.25</v>
      </c>
      <c r="I3498">
        <v>0</v>
      </c>
      <c r="J3498" t="s">
        <v>26</v>
      </c>
      <c r="K3498">
        <v>0</v>
      </c>
      <c r="L3498">
        <v>29701</v>
      </c>
      <c r="M3498">
        <v>29701</v>
      </c>
      <c r="N3498" t="s">
        <v>27</v>
      </c>
      <c r="O3498">
        <v>2024</v>
      </c>
    </row>
    <row r="3499" spans="1:15" x14ac:dyDescent="0.3">
      <c r="A3499" t="s">
        <v>3584</v>
      </c>
      <c r="B3499" t="s">
        <v>23</v>
      </c>
      <c r="C3499" t="s">
        <v>90</v>
      </c>
      <c r="D3499" t="s">
        <v>105</v>
      </c>
      <c r="E3499" t="s">
        <v>56</v>
      </c>
      <c r="F3499" s="1">
        <v>45485</v>
      </c>
      <c r="G3499">
        <v>3</v>
      </c>
      <c r="H3499">
        <v>3250.55</v>
      </c>
      <c r="I3499">
        <v>5</v>
      </c>
      <c r="J3499" t="s">
        <v>45</v>
      </c>
      <c r="K3499">
        <v>487.58</v>
      </c>
      <c r="L3499">
        <v>9751.65</v>
      </c>
      <c r="M3499">
        <v>9264.07</v>
      </c>
      <c r="N3499" t="s">
        <v>122</v>
      </c>
      <c r="O3499">
        <v>2024</v>
      </c>
    </row>
    <row r="3500" spans="1:15" x14ac:dyDescent="0.3">
      <c r="A3500" t="s">
        <v>3585</v>
      </c>
      <c r="B3500" t="s">
        <v>114</v>
      </c>
      <c r="C3500" t="s">
        <v>34</v>
      </c>
      <c r="D3500" t="s">
        <v>35</v>
      </c>
      <c r="E3500" t="s">
        <v>25</v>
      </c>
      <c r="F3500" s="1">
        <v>45370</v>
      </c>
      <c r="G3500">
        <v>8</v>
      </c>
      <c r="H3500">
        <v>26337</v>
      </c>
      <c r="I3500">
        <v>20</v>
      </c>
      <c r="J3500" t="s">
        <v>20</v>
      </c>
      <c r="K3500">
        <v>42139.199999999997</v>
      </c>
      <c r="L3500">
        <v>210696</v>
      </c>
      <c r="M3500">
        <v>168556.79999999999</v>
      </c>
      <c r="N3500" t="s">
        <v>83</v>
      </c>
      <c r="O3500">
        <v>2024</v>
      </c>
    </row>
    <row r="3501" spans="1:15" x14ac:dyDescent="0.3">
      <c r="A3501" t="s">
        <v>3586</v>
      </c>
      <c r="B3501" t="s">
        <v>93</v>
      </c>
      <c r="C3501" t="s">
        <v>62</v>
      </c>
      <c r="D3501" t="s">
        <v>119</v>
      </c>
      <c r="E3501" t="s">
        <v>25</v>
      </c>
      <c r="F3501" s="1">
        <v>45609</v>
      </c>
      <c r="G3501">
        <v>10</v>
      </c>
      <c r="H3501">
        <v>4268.49</v>
      </c>
      <c r="I3501">
        <v>5</v>
      </c>
      <c r="J3501" t="s">
        <v>26</v>
      </c>
      <c r="K3501">
        <v>2134.25</v>
      </c>
      <c r="L3501">
        <v>42684.9</v>
      </c>
      <c r="M3501">
        <v>40550.65</v>
      </c>
      <c r="N3501" t="s">
        <v>96</v>
      </c>
      <c r="O3501">
        <v>2024</v>
      </c>
    </row>
    <row r="3502" spans="1:15" x14ac:dyDescent="0.3">
      <c r="A3502" t="s">
        <v>3587</v>
      </c>
      <c r="B3502" t="s">
        <v>93</v>
      </c>
      <c r="C3502" t="s">
        <v>90</v>
      </c>
      <c r="D3502" t="s">
        <v>107</v>
      </c>
      <c r="E3502" t="s">
        <v>19</v>
      </c>
      <c r="F3502" s="1">
        <v>45672</v>
      </c>
      <c r="G3502">
        <v>9</v>
      </c>
      <c r="H3502">
        <v>13129.57</v>
      </c>
      <c r="I3502">
        <v>20</v>
      </c>
      <c r="J3502" t="s">
        <v>40</v>
      </c>
      <c r="K3502">
        <v>23633.23</v>
      </c>
      <c r="L3502">
        <v>118166.13</v>
      </c>
      <c r="M3502">
        <v>94532.9</v>
      </c>
      <c r="N3502" t="s">
        <v>116</v>
      </c>
      <c r="O3502">
        <v>2025</v>
      </c>
    </row>
    <row r="3503" spans="1:15" x14ac:dyDescent="0.3">
      <c r="A3503" t="s">
        <v>3588</v>
      </c>
      <c r="B3503" t="s">
        <v>16</v>
      </c>
      <c r="C3503" t="s">
        <v>34</v>
      </c>
      <c r="D3503" t="s">
        <v>48</v>
      </c>
      <c r="E3503" t="s">
        <v>56</v>
      </c>
      <c r="F3503" s="1">
        <v>45988</v>
      </c>
      <c r="G3503">
        <v>10</v>
      </c>
      <c r="H3503">
        <v>9937.5499999999993</v>
      </c>
      <c r="I3503">
        <v>20</v>
      </c>
      <c r="J3503" t="s">
        <v>20</v>
      </c>
      <c r="K3503">
        <v>19875.099999999999</v>
      </c>
      <c r="L3503">
        <v>99375.5</v>
      </c>
      <c r="M3503">
        <v>79500.399999999994</v>
      </c>
      <c r="N3503" t="s">
        <v>96</v>
      </c>
      <c r="O3503">
        <v>2025</v>
      </c>
    </row>
    <row r="3504" spans="1:15" x14ac:dyDescent="0.3">
      <c r="A3504" t="s">
        <v>3589</v>
      </c>
      <c r="B3504" t="s">
        <v>89</v>
      </c>
      <c r="C3504" t="s">
        <v>17</v>
      </c>
      <c r="D3504" t="s">
        <v>59</v>
      </c>
      <c r="E3504" t="s">
        <v>44</v>
      </c>
      <c r="F3504" s="1">
        <v>45515</v>
      </c>
      <c r="G3504">
        <v>10</v>
      </c>
      <c r="H3504">
        <v>26450.73</v>
      </c>
      <c r="I3504">
        <v>5</v>
      </c>
      <c r="J3504" t="s">
        <v>40</v>
      </c>
      <c r="K3504">
        <v>13225.36</v>
      </c>
      <c r="L3504">
        <v>264507.3</v>
      </c>
      <c r="M3504">
        <v>251281.94</v>
      </c>
      <c r="N3504" t="s">
        <v>21</v>
      </c>
      <c r="O3504">
        <v>2024</v>
      </c>
    </row>
    <row r="3505" spans="1:15" x14ac:dyDescent="0.3">
      <c r="A3505" t="s">
        <v>3590</v>
      </c>
      <c r="B3505" t="s">
        <v>47</v>
      </c>
      <c r="C3505" t="s">
        <v>62</v>
      </c>
      <c r="D3505" t="s">
        <v>119</v>
      </c>
      <c r="E3505" t="s">
        <v>56</v>
      </c>
      <c r="F3505" s="1">
        <v>45363</v>
      </c>
      <c r="G3505">
        <v>10</v>
      </c>
      <c r="H3505">
        <v>3762.99</v>
      </c>
      <c r="I3505">
        <v>5</v>
      </c>
      <c r="J3505" t="s">
        <v>40</v>
      </c>
      <c r="K3505">
        <v>1881.5</v>
      </c>
      <c r="L3505">
        <v>37629.9</v>
      </c>
      <c r="M3505">
        <v>35748.400000000001</v>
      </c>
      <c r="N3505" t="s">
        <v>83</v>
      </c>
      <c r="O3505">
        <v>2024</v>
      </c>
    </row>
    <row r="3506" spans="1:15" x14ac:dyDescent="0.3">
      <c r="A3506" t="s">
        <v>3591</v>
      </c>
      <c r="B3506" t="s">
        <v>114</v>
      </c>
      <c r="C3506" t="s">
        <v>62</v>
      </c>
      <c r="D3506" t="s">
        <v>132</v>
      </c>
      <c r="E3506" t="s">
        <v>25</v>
      </c>
      <c r="F3506" s="1">
        <v>45797</v>
      </c>
      <c r="G3506">
        <v>7</v>
      </c>
      <c r="H3506">
        <v>2811.27</v>
      </c>
      <c r="I3506">
        <v>0</v>
      </c>
      <c r="J3506" t="s">
        <v>40</v>
      </c>
      <c r="K3506">
        <v>0</v>
      </c>
      <c r="L3506">
        <v>19678.89</v>
      </c>
      <c r="M3506">
        <v>19678.89</v>
      </c>
      <c r="N3506" t="s">
        <v>101</v>
      </c>
      <c r="O3506">
        <v>2025</v>
      </c>
    </row>
    <row r="3507" spans="1:15" x14ac:dyDescent="0.3">
      <c r="A3507" t="s">
        <v>3592</v>
      </c>
      <c r="B3507" t="s">
        <v>23</v>
      </c>
      <c r="C3507" t="s">
        <v>34</v>
      </c>
      <c r="D3507" t="s">
        <v>85</v>
      </c>
      <c r="E3507" t="s">
        <v>44</v>
      </c>
      <c r="F3507" s="1">
        <v>45416</v>
      </c>
      <c r="G3507">
        <v>9</v>
      </c>
      <c r="H3507">
        <v>11985.49</v>
      </c>
      <c r="I3507">
        <v>20</v>
      </c>
      <c r="J3507" t="s">
        <v>26</v>
      </c>
      <c r="K3507">
        <v>21573.88</v>
      </c>
      <c r="L3507">
        <v>107869.41</v>
      </c>
      <c r="M3507">
        <v>86295.53</v>
      </c>
      <c r="N3507" t="s">
        <v>101</v>
      </c>
      <c r="O3507">
        <v>2024</v>
      </c>
    </row>
    <row r="3508" spans="1:15" x14ac:dyDescent="0.3">
      <c r="A3508" t="s">
        <v>3593</v>
      </c>
      <c r="B3508" t="s">
        <v>33</v>
      </c>
      <c r="C3508" t="s">
        <v>54</v>
      </c>
      <c r="D3508" t="s">
        <v>137</v>
      </c>
      <c r="E3508" t="s">
        <v>19</v>
      </c>
      <c r="F3508" s="1">
        <v>45504</v>
      </c>
      <c r="G3508">
        <v>9</v>
      </c>
      <c r="H3508">
        <v>866.63</v>
      </c>
      <c r="I3508">
        <v>5</v>
      </c>
      <c r="J3508" t="s">
        <v>82</v>
      </c>
      <c r="K3508">
        <v>389.98</v>
      </c>
      <c r="L3508">
        <v>7799.67</v>
      </c>
      <c r="M3508">
        <v>7409.69</v>
      </c>
      <c r="N3508" t="s">
        <v>122</v>
      </c>
      <c r="O3508">
        <v>2024</v>
      </c>
    </row>
    <row r="3509" spans="1:15" x14ac:dyDescent="0.3">
      <c r="A3509" t="s">
        <v>3594</v>
      </c>
      <c r="B3509" t="s">
        <v>23</v>
      </c>
      <c r="C3509" t="s">
        <v>17</v>
      </c>
      <c r="D3509" t="s">
        <v>39</v>
      </c>
      <c r="E3509" t="s">
        <v>50</v>
      </c>
      <c r="F3509" s="1">
        <v>45909</v>
      </c>
      <c r="G3509">
        <v>4</v>
      </c>
      <c r="H3509">
        <v>16239.05</v>
      </c>
      <c r="I3509">
        <v>15</v>
      </c>
      <c r="J3509" t="s">
        <v>26</v>
      </c>
      <c r="K3509">
        <v>9743.43</v>
      </c>
      <c r="L3509">
        <v>64956.2</v>
      </c>
      <c r="M3509">
        <v>55212.77</v>
      </c>
      <c r="N3509" t="s">
        <v>86</v>
      </c>
      <c r="O3509">
        <v>2025</v>
      </c>
    </row>
    <row r="3510" spans="1:15" x14ac:dyDescent="0.3">
      <c r="A3510" t="s">
        <v>3595</v>
      </c>
      <c r="B3510" t="s">
        <v>65</v>
      </c>
      <c r="C3510" t="s">
        <v>54</v>
      </c>
      <c r="D3510" t="s">
        <v>68</v>
      </c>
      <c r="E3510" t="s">
        <v>30</v>
      </c>
      <c r="F3510" s="1">
        <v>45928</v>
      </c>
      <c r="G3510">
        <v>1</v>
      </c>
      <c r="H3510">
        <v>4781.9399999999996</v>
      </c>
      <c r="I3510">
        <v>15</v>
      </c>
      <c r="J3510" t="s">
        <v>45</v>
      </c>
      <c r="K3510">
        <v>717.29</v>
      </c>
      <c r="L3510">
        <v>4781.9399999999996</v>
      </c>
      <c r="M3510">
        <v>4064.65</v>
      </c>
      <c r="N3510" t="s">
        <v>86</v>
      </c>
      <c r="O3510">
        <v>2025</v>
      </c>
    </row>
    <row r="3511" spans="1:15" x14ac:dyDescent="0.3">
      <c r="A3511" t="s">
        <v>3596</v>
      </c>
      <c r="B3511" t="s">
        <v>114</v>
      </c>
      <c r="C3511" t="s">
        <v>62</v>
      </c>
      <c r="D3511" t="s">
        <v>119</v>
      </c>
      <c r="E3511" t="s">
        <v>44</v>
      </c>
      <c r="F3511" s="1">
        <v>45430</v>
      </c>
      <c r="G3511">
        <v>5</v>
      </c>
      <c r="H3511">
        <v>3950.33</v>
      </c>
      <c r="I3511">
        <v>0</v>
      </c>
      <c r="J3511" t="s">
        <v>71</v>
      </c>
      <c r="K3511">
        <v>0</v>
      </c>
      <c r="L3511">
        <v>19751.650000000001</v>
      </c>
      <c r="M3511">
        <v>19751.650000000001</v>
      </c>
      <c r="N3511" t="s">
        <v>101</v>
      </c>
      <c r="O3511">
        <v>2024</v>
      </c>
    </row>
    <row r="3512" spans="1:15" x14ac:dyDescent="0.3">
      <c r="A3512" t="s">
        <v>3597</v>
      </c>
      <c r="B3512" t="s">
        <v>93</v>
      </c>
      <c r="C3512" t="s">
        <v>54</v>
      </c>
      <c r="D3512" t="s">
        <v>77</v>
      </c>
      <c r="E3512" t="s">
        <v>44</v>
      </c>
      <c r="F3512" s="1">
        <v>46011</v>
      </c>
      <c r="G3512">
        <v>2</v>
      </c>
      <c r="H3512">
        <v>5583.74</v>
      </c>
      <c r="I3512">
        <v>5</v>
      </c>
      <c r="J3512" t="s">
        <v>36</v>
      </c>
      <c r="K3512">
        <v>558.37</v>
      </c>
      <c r="L3512">
        <v>11167.48</v>
      </c>
      <c r="M3512">
        <v>10609.11</v>
      </c>
      <c r="N3512" t="s">
        <v>51</v>
      </c>
      <c r="O3512">
        <v>2025</v>
      </c>
    </row>
    <row r="3513" spans="1:15" x14ac:dyDescent="0.3">
      <c r="A3513" t="s">
        <v>3598</v>
      </c>
      <c r="B3513" t="s">
        <v>23</v>
      </c>
      <c r="C3513" t="s">
        <v>62</v>
      </c>
      <c r="D3513" t="s">
        <v>95</v>
      </c>
      <c r="E3513" t="s">
        <v>56</v>
      </c>
      <c r="F3513" s="1">
        <v>45360</v>
      </c>
      <c r="G3513">
        <v>4</v>
      </c>
      <c r="H3513">
        <v>763.16</v>
      </c>
      <c r="I3513">
        <v>20</v>
      </c>
      <c r="J3513" t="s">
        <v>82</v>
      </c>
      <c r="K3513">
        <v>610.53</v>
      </c>
      <c r="L3513">
        <v>3052.64</v>
      </c>
      <c r="M3513">
        <v>2442.11</v>
      </c>
      <c r="N3513" t="s">
        <v>83</v>
      </c>
      <c r="O3513">
        <v>2024</v>
      </c>
    </row>
    <row r="3514" spans="1:15" x14ac:dyDescent="0.3">
      <c r="A3514" t="s">
        <v>3599</v>
      </c>
      <c r="B3514" t="s">
        <v>114</v>
      </c>
      <c r="C3514" t="s">
        <v>90</v>
      </c>
      <c r="D3514" t="s">
        <v>107</v>
      </c>
      <c r="E3514" t="s">
        <v>56</v>
      </c>
      <c r="F3514" s="1">
        <v>45321</v>
      </c>
      <c r="G3514">
        <v>8</v>
      </c>
      <c r="H3514">
        <v>12877.23</v>
      </c>
      <c r="I3514">
        <v>0</v>
      </c>
      <c r="J3514" t="s">
        <v>71</v>
      </c>
      <c r="K3514">
        <v>0</v>
      </c>
      <c r="L3514">
        <v>103017.84</v>
      </c>
      <c r="M3514">
        <v>103017.84</v>
      </c>
      <c r="N3514" t="s">
        <v>116</v>
      </c>
      <c r="O3514">
        <v>2024</v>
      </c>
    </row>
    <row r="3515" spans="1:15" x14ac:dyDescent="0.3">
      <c r="A3515" t="s">
        <v>3600</v>
      </c>
      <c r="B3515" t="s">
        <v>16</v>
      </c>
      <c r="C3515" t="s">
        <v>90</v>
      </c>
      <c r="D3515" t="s">
        <v>107</v>
      </c>
      <c r="E3515" t="s">
        <v>19</v>
      </c>
      <c r="F3515" s="1">
        <v>46015</v>
      </c>
      <c r="G3515">
        <v>3</v>
      </c>
      <c r="H3515">
        <v>12888.58</v>
      </c>
      <c r="I3515">
        <v>5</v>
      </c>
      <c r="J3515" t="s">
        <v>26</v>
      </c>
      <c r="K3515">
        <v>1933.29</v>
      </c>
      <c r="L3515">
        <v>38665.74</v>
      </c>
      <c r="M3515">
        <v>36732.449999999997</v>
      </c>
      <c r="N3515" t="s">
        <v>51</v>
      </c>
      <c r="O3515">
        <v>2025</v>
      </c>
    </row>
    <row r="3516" spans="1:15" x14ac:dyDescent="0.3">
      <c r="A3516" t="s">
        <v>3601</v>
      </c>
      <c r="B3516" t="s">
        <v>47</v>
      </c>
      <c r="C3516" t="s">
        <v>34</v>
      </c>
      <c r="D3516" t="s">
        <v>48</v>
      </c>
      <c r="E3516" t="s">
        <v>30</v>
      </c>
      <c r="F3516" s="1">
        <v>45354</v>
      </c>
      <c r="G3516">
        <v>7</v>
      </c>
      <c r="H3516">
        <v>8547.42</v>
      </c>
      <c r="I3516">
        <v>5</v>
      </c>
      <c r="J3516" t="s">
        <v>20</v>
      </c>
      <c r="K3516">
        <v>2991.6</v>
      </c>
      <c r="L3516">
        <v>59831.94</v>
      </c>
      <c r="M3516">
        <v>56840.34</v>
      </c>
      <c r="N3516" t="s">
        <v>83</v>
      </c>
      <c r="O3516">
        <v>2024</v>
      </c>
    </row>
    <row r="3517" spans="1:15" x14ac:dyDescent="0.3">
      <c r="A3517" t="s">
        <v>3602</v>
      </c>
      <c r="B3517" t="s">
        <v>23</v>
      </c>
      <c r="C3517" t="s">
        <v>34</v>
      </c>
      <c r="D3517" t="s">
        <v>85</v>
      </c>
      <c r="E3517" t="s">
        <v>19</v>
      </c>
      <c r="F3517" s="1">
        <v>45306</v>
      </c>
      <c r="G3517">
        <v>2</v>
      </c>
      <c r="H3517">
        <v>13474.68</v>
      </c>
      <c r="I3517">
        <v>0</v>
      </c>
      <c r="J3517" t="s">
        <v>40</v>
      </c>
      <c r="K3517">
        <v>0</v>
      </c>
      <c r="L3517">
        <v>26949.360000000001</v>
      </c>
      <c r="M3517">
        <v>26949.360000000001</v>
      </c>
      <c r="N3517" t="s">
        <v>116</v>
      </c>
      <c r="O3517">
        <v>2024</v>
      </c>
    </row>
    <row r="3518" spans="1:15" x14ac:dyDescent="0.3">
      <c r="A3518" t="s">
        <v>3603</v>
      </c>
      <c r="B3518" t="s">
        <v>43</v>
      </c>
      <c r="C3518" t="s">
        <v>62</v>
      </c>
      <c r="D3518" t="s">
        <v>119</v>
      </c>
      <c r="E3518" t="s">
        <v>50</v>
      </c>
      <c r="F3518" s="1">
        <v>45858</v>
      </c>
      <c r="G3518">
        <v>5</v>
      </c>
      <c r="H3518">
        <v>3285.89</v>
      </c>
      <c r="I3518">
        <v>0</v>
      </c>
      <c r="J3518" t="s">
        <v>40</v>
      </c>
      <c r="K3518">
        <v>0</v>
      </c>
      <c r="L3518">
        <v>16429.45</v>
      </c>
      <c r="M3518">
        <v>16429.45</v>
      </c>
      <c r="N3518" t="s">
        <v>122</v>
      </c>
      <c r="O3518">
        <v>2025</v>
      </c>
    </row>
    <row r="3519" spans="1:15" x14ac:dyDescent="0.3">
      <c r="A3519" t="s">
        <v>3604</v>
      </c>
      <c r="B3519" t="s">
        <v>29</v>
      </c>
      <c r="C3519" t="s">
        <v>34</v>
      </c>
      <c r="D3519" t="s">
        <v>48</v>
      </c>
      <c r="E3519" t="s">
        <v>44</v>
      </c>
      <c r="F3519" s="1">
        <v>45299</v>
      </c>
      <c r="G3519">
        <v>10</v>
      </c>
      <c r="H3519">
        <v>7815.3</v>
      </c>
      <c r="I3519">
        <v>15</v>
      </c>
      <c r="J3519" t="s">
        <v>45</v>
      </c>
      <c r="K3519">
        <v>11722.95</v>
      </c>
      <c r="L3519">
        <v>78153</v>
      </c>
      <c r="M3519">
        <v>66430.05</v>
      </c>
      <c r="N3519" t="s">
        <v>116</v>
      </c>
      <c r="O3519">
        <v>2024</v>
      </c>
    </row>
    <row r="3520" spans="1:15" x14ac:dyDescent="0.3">
      <c r="A3520" t="s">
        <v>3605</v>
      </c>
      <c r="B3520" t="s">
        <v>47</v>
      </c>
      <c r="C3520" t="s">
        <v>62</v>
      </c>
      <c r="D3520" t="s">
        <v>95</v>
      </c>
      <c r="E3520" t="s">
        <v>30</v>
      </c>
      <c r="F3520" s="1">
        <v>45965</v>
      </c>
      <c r="G3520">
        <v>2</v>
      </c>
      <c r="H3520">
        <v>1007.57</v>
      </c>
      <c r="I3520">
        <v>15</v>
      </c>
      <c r="J3520" t="s">
        <v>31</v>
      </c>
      <c r="K3520">
        <v>302.27</v>
      </c>
      <c r="L3520">
        <v>2015.14</v>
      </c>
      <c r="M3520">
        <v>1712.87</v>
      </c>
      <c r="N3520" t="s">
        <v>96</v>
      </c>
      <c r="O3520">
        <v>2025</v>
      </c>
    </row>
    <row r="3521" spans="1:15" x14ac:dyDescent="0.3">
      <c r="A3521" t="s">
        <v>3606</v>
      </c>
      <c r="B3521" t="s">
        <v>93</v>
      </c>
      <c r="C3521" t="s">
        <v>62</v>
      </c>
      <c r="D3521" t="s">
        <v>95</v>
      </c>
      <c r="E3521" t="s">
        <v>44</v>
      </c>
      <c r="F3521" s="1">
        <v>45397</v>
      </c>
      <c r="G3521">
        <v>5</v>
      </c>
      <c r="H3521">
        <v>819</v>
      </c>
      <c r="I3521">
        <v>5</v>
      </c>
      <c r="J3521" t="s">
        <v>40</v>
      </c>
      <c r="K3521">
        <v>204.75</v>
      </c>
      <c r="L3521">
        <v>4095</v>
      </c>
      <c r="M3521">
        <v>3890.25</v>
      </c>
      <c r="N3521" t="s">
        <v>27</v>
      </c>
      <c r="O3521">
        <v>2024</v>
      </c>
    </row>
    <row r="3522" spans="1:15" x14ac:dyDescent="0.3">
      <c r="A3522" t="s">
        <v>3607</v>
      </c>
      <c r="B3522" t="s">
        <v>93</v>
      </c>
      <c r="C3522" t="s">
        <v>54</v>
      </c>
      <c r="D3522" t="s">
        <v>77</v>
      </c>
      <c r="E3522" t="s">
        <v>30</v>
      </c>
      <c r="F3522" s="1">
        <v>45489</v>
      </c>
      <c r="G3522">
        <v>8</v>
      </c>
      <c r="H3522">
        <v>4548.66</v>
      </c>
      <c r="I3522">
        <v>10</v>
      </c>
      <c r="J3522" t="s">
        <v>82</v>
      </c>
      <c r="K3522">
        <v>3638.93</v>
      </c>
      <c r="L3522">
        <v>36389.279999999999</v>
      </c>
      <c r="M3522">
        <v>32750.35</v>
      </c>
      <c r="N3522" t="s">
        <v>122</v>
      </c>
      <c r="O3522">
        <v>2024</v>
      </c>
    </row>
    <row r="3523" spans="1:15" x14ac:dyDescent="0.3">
      <c r="A3523" t="s">
        <v>3608</v>
      </c>
      <c r="B3523" t="s">
        <v>38</v>
      </c>
      <c r="C3523" t="s">
        <v>34</v>
      </c>
      <c r="D3523" t="s">
        <v>48</v>
      </c>
      <c r="E3523" t="s">
        <v>19</v>
      </c>
      <c r="F3523" s="1">
        <v>45992</v>
      </c>
      <c r="G3523">
        <v>10</v>
      </c>
      <c r="H3523">
        <v>8042.77</v>
      </c>
      <c r="I3523">
        <v>5</v>
      </c>
      <c r="J3523" t="s">
        <v>82</v>
      </c>
      <c r="K3523">
        <v>4021.39</v>
      </c>
      <c r="L3523">
        <v>80427.7</v>
      </c>
      <c r="M3523">
        <v>76406.31</v>
      </c>
      <c r="N3523" t="s">
        <v>51</v>
      </c>
      <c r="O3523">
        <v>2025</v>
      </c>
    </row>
    <row r="3524" spans="1:15" x14ac:dyDescent="0.3">
      <c r="A3524" t="s">
        <v>3609</v>
      </c>
      <c r="B3524" t="s">
        <v>61</v>
      </c>
      <c r="C3524" t="s">
        <v>90</v>
      </c>
      <c r="D3524" t="s">
        <v>105</v>
      </c>
      <c r="E3524" t="s">
        <v>44</v>
      </c>
      <c r="F3524" s="1">
        <v>45319</v>
      </c>
      <c r="G3524">
        <v>4</v>
      </c>
      <c r="H3524">
        <v>3428.52</v>
      </c>
      <c r="I3524">
        <v>10</v>
      </c>
      <c r="J3524" t="s">
        <v>82</v>
      </c>
      <c r="K3524">
        <v>1371.41</v>
      </c>
      <c r="L3524">
        <v>13714.08</v>
      </c>
      <c r="M3524">
        <v>12342.67</v>
      </c>
      <c r="N3524" t="s">
        <v>116</v>
      </c>
      <c r="O3524">
        <v>2024</v>
      </c>
    </row>
    <row r="3525" spans="1:15" x14ac:dyDescent="0.3">
      <c r="A3525" t="s">
        <v>3610</v>
      </c>
      <c r="B3525" t="s">
        <v>53</v>
      </c>
      <c r="C3525" t="s">
        <v>54</v>
      </c>
      <c r="D3525" t="s">
        <v>137</v>
      </c>
      <c r="E3525" t="s">
        <v>30</v>
      </c>
      <c r="F3525" s="1">
        <v>45328</v>
      </c>
      <c r="G3525">
        <v>3</v>
      </c>
      <c r="H3525">
        <v>864.42</v>
      </c>
      <c r="I3525">
        <v>15</v>
      </c>
      <c r="J3525" t="s">
        <v>36</v>
      </c>
      <c r="K3525">
        <v>388.99</v>
      </c>
      <c r="L3525">
        <v>2593.2600000000002</v>
      </c>
      <c r="M3525">
        <v>2204.27</v>
      </c>
      <c r="N3525" t="s">
        <v>41</v>
      </c>
      <c r="O3525">
        <v>2024</v>
      </c>
    </row>
    <row r="3526" spans="1:15" x14ac:dyDescent="0.3">
      <c r="A3526" t="s">
        <v>3611</v>
      </c>
      <c r="B3526" t="s">
        <v>93</v>
      </c>
      <c r="C3526" t="s">
        <v>90</v>
      </c>
      <c r="D3526" t="s">
        <v>152</v>
      </c>
      <c r="E3526" t="s">
        <v>30</v>
      </c>
      <c r="F3526" s="1">
        <v>45906</v>
      </c>
      <c r="G3526">
        <v>3</v>
      </c>
      <c r="H3526">
        <v>10938.42</v>
      </c>
      <c r="I3526">
        <v>20</v>
      </c>
      <c r="J3526" t="s">
        <v>31</v>
      </c>
      <c r="K3526">
        <v>6563.05</v>
      </c>
      <c r="L3526">
        <v>32815.26</v>
      </c>
      <c r="M3526">
        <v>26252.21</v>
      </c>
      <c r="N3526" t="s">
        <v>86</v>
      </c>
      <c r="O3526">
        <v>2025</v>
      </c>
    </row>
    <row r="3527" spans="1:15" x14ac:dyDescent="0.3">
      <c r="A3527" t="s">
        <v>3612</v>
      </c>
      <c r="B3527" t="s">
        <v>29</v>
      </c>
      <c r="C3527" t="s">
        <v>62</v>
      </c>
      <c r="D3527" t="s">
        <v>63</v>
      </c>
      <c r="E3527" t="s">
        <v>81</v>
      </c>
      <c r="F3527" s="1">
        <v>45387</v>
      </c>
      <c r="G3527">
        <v>10</v>
      </c>
      <c r="H3527">
        <v>1732.52</v>
      </c>
      <c r="I3527">
        <v>0</v>
      </c>
      <c r="J3527" t="s">
        <v>31</v>
      </c>
      <c r="K3527">
        <v>0</v>
      </c>
      <c r="L3527">
        <v>17325.2</v>
      </c>
      <c r="M3527">
        <v>17325.2</v>
      </c>
      <c r="N3527" t="s">
        <v>27</v>
      </c>
      <c r="O3527">
        <v>2024</v>
      </c>
    </row>
    <row r="3528" spans="1:15" x14ac:dyDescent="0.3">
      <c r="A3528" t="s">
        <v>3613</v>
      </c>
      <c r="B3528" t="s">
        <v>93</v>
      </c>
      <c r="C3528" t="s">
        <v>54</v>
      </c>
      <c r="D3528" t="s">
        <v>55</v>
      </c>
      <c r="E3528" t="s">
        <v>30</v>
      </c>
      <c r="F3528" s="1">
        <v>45928</v>
      </c>
      <c r="G3528">
        <v>4</v>
      </c>
      <c r="H3528">
        <v>1315.03</v>
      </c>
      <c r="I3528">
        <v>10</v>
      </c>
      <c r="J3528" t="s">
        <v>26</v>
      </c>
      <c r="K3528">
        <v>526.01</v>
      </c>
      <c r="L3528">
        <v>5260.12</v>
      </c>
      <c r="M3528">
        <v>4734.1099999999997</v>
      </c>
      <c r="N3528" t="s">
        <v>86</v>
      </c>
      <c r="O3528">
        <v>2025</v>
      </c>
    </row>
    <row r="3529" spans="1:15" x14ac:dyDescent="0.3">
      <c r="A3529" t="s">
        <v>3614</v>
      </c>
      <c r="B3529" t="s">
        <v>61</v>
      </c>
      <c r="C3529" t="s">
        <v>34</v>
      </c>
      <c r="D3529" t="s">
        <v>48</v>
      </c>
      <c r="E3529" t="s">
        <v>30</v>
      </c>
      <c r="F3529" s="1">
        <v>45593</v>
      </c>
      <c r="G3529">
        <v>1</v>
      </c>
      <c r="H3529">
        <v>8752.7999999999993</v>
      </c>
      <c r="I3529">
        <v>5</v>
      </c>
      <c r="J3529" t="s">
        <v>36</v>
      </c>
      <c r="K3529">
        <v>437.64</v>
      </c>
      <c r="L3529">
        <v>8752.7999999999993</v>
      </c>
      <c r="M3529">
        <v>8315.16</v>
      </c>
      <c r="N3529" t="s">
        <v>57</v>
      </c>
      <c r="O3529">
        <v>2024</v>
      </c>
    </row>
    <row r="3530" spans="1:15" x14ac:dyDescent="0.3">
      <c r="A3530" t="s">
        <v>3615</v>
      </c>
      <c r="B3530" t="s">
        <v>43</v>
      </c>
      <c r="C3530" t="s">
        <v>54</v>
      </c>
      <c r="D3530" t="s">
        <v>55</v>
      </c>
      <c r="E3530" t="s">
        <v>56</v>
      </c>
      <c r="F3530" s="1">
        <v>45498</v>
      </c>
      <c r="G3530">
        <v>5</v>
      </c>
      <c r="H3530">
        <v>1282.3599999999999</v>
      </c>
      <c r="I3530">
        <v>20</v>
      </c>
      <c r="J3530" t="s">
        <v>20</v>
      </c>
      <c r="K3530">
        <v>1282.3599999999999</v>
      </c>
      <c r="L3530">
        <v>6411.8</v>
      </c>
      <c r="M3530">
        <v>5129.4399999999996</v>
      </c>
      <c r="N3530" t="s">
        <v>122</v>
      </c>
      <c r="O3530">
        <v>2024</v>
      </c>
    </row>
    <row r="3531" spans="1:15" x14ac:dyDescent="0.3">
      <c r="A3531" t="s">
        <v>3616</v>
      </c>
      <c r="B3531" t="s">
        <v>29</v>
      </c>
      <c r="C3531" t="s">
        <v>54</v>
      </c>
      <c r="D3531" t="s">
        <v>55</v>
      </c>
      <c r="E3531" t="s">
        <v>19</v>
      </c>
      <c r="F3531" s="1">
        <v>45775</v>
      </c>
      <c r="G3531">
        <v>6</v>
      </c>
      <c r="H3531">
        <v>1110.76</v>
      </c>
      <c r="I3531">
        <v>20</v>
      </c>
      <c r="J3531" t="s">
        <v>20</v>
      </c>
      <c r="K3531">
        <v>1332.91</v>
      </c>
      <c r="L3531">
        <v>6664.56</v>
      </c>
      <c r="M3531">
        <v>5331.65</v>
      </c>
      <c r="N3531" t="s">
        <v>27</v>
      </c>
      <c r="O3531">
        <v>2025</v>
      </c>
    </row>
    <row r="3532" spans="1:15" x14ac:dyDescent="0.3">
      <c r="A3532" t="s">
        <v>3617</v>
      </c>
      <c r="B3532" t="s">
        <v>114</v>
      </c>
      <c r="C3532" t="s">
        <v>90</v>
      </c>
      <c r="D3532" t="s">
        <v>152</v>
      </c>
      <c r="E3532" t="s">
        <v>81</v>
      </c>
      <c r="F3532" s="1">
        <v>45330</v>
      </c>
      <c r="G3532">
        <v>9</v>
      </c>
      <c r="H3532">
        <v>10086.64</v>
      </c>
      <c r="I3532">
        <v>10</v>
      </c>
      <c r="J3532" t="s">
        <v>40</v>
      </c>
      <c r="K3532">
        <v>9077.98</v>
      </c>
      <c r="L3532">
        <v>90779.76</v>
      </c>
      <c r="M3532">
        <v>81701.78</v>
      </c>
      <c r="N3532" t="s">
        <v>41</v>
      </c>
      <c r="O3532">
        <v>2024</v>
      </c>
    </row>
    <row r="3533" spans="1:15" x14ac:dyDescent="0.3">
      <c r="A3533" t="s">
        <v>3618</v>
      </c>
      <c r="B3533" t="s">
        <v>43</v>
      </c>
      <c r="C3533" t="s">
        <v>62</v>
      </c>
      <c r="D3533" t="s">
        <v>63</v>
      </c>
      <c r="E3533" t="s">
        <v>50</v>
      </c>
      <c r="F3533" s="1">
        <v>45684</v>
      </c>
      <c r="G3533">
        <v>10</v>
      </c>
      <c r="H3533">
        <v>2045.12</v>
      </c>
      <c r="I3533">
        <v>20</v>
      </c>
      <c r="J3533" t="s">
        <v>36</v>
      </c>
      <c r="K3533">
        <v>4090.24</v>
      </c>
      <c r="L3533">
        <v>20451.2</v>
      </c>
      <c r="M3533">
        <v>16360.96</v>
      </c>
      <c r="N3533" t="s">
        <v>116</v>
      </c>
      <c r="O3533">
        <v>2025</v>
      </c>
    </row>
    <row r="3534" spans="1:15" x14ac:dyDescent="0.3">
      <c r="A3534" t="s">
        <v>3619</v>
      </c>
      <c r="B3534" t="s">
        <v>109</v>
      </c>
      <c r="C3534" t="s">
        <v>62</v>
      </c>
      <c r="D3534" t="s">
        <v>119</v>
      </c>
      <c r="E3534" t="s">
        <v>56</v>
      </c>
      <c r="F3534" s="1">
        <v>45501</v>
      </c>
      <c r="G3534">
        <v>6</v>
      </c>
      <c r="H3534">
        <v>3868.54</v>
      </c>
      <c r="I3534">
        <v>0</v>
      </c>
      <c r="J3534" t="s">
        <v>40</v>
      </c>
      <c r="K3534">
        <v>0</v>
      </c>
      <c r="L3534">
        <v>23211.24</v>
      </c>
      <c r="M3534">
        <v>23211.24</v>
      </c>
      <c r="N3534" t="s">
        <v>122</v>
      </c>
      <c r="O3534">
        <v>2024</v>
      </c>
    </row>
    <row r="3535" spans="1:15" x14ac:dyDescent="0.3">
      <c r="A3535" t="s">
        <v>3620</v>
      </c>
      <c r="B3535" t="s">
        <v>53</v>
      </c>
      <c r="C3535" t="s">
        <v>54</v>
      </c>
      <c r="D3535" t="s">
        <v>137</v>
      </c>
      <c r="E3535" t="s">
        <v>44</v>
      </c>
      <c r="F3535" s="1">
        <v>45915</v>
      </c>
      <c r="G3535">
        <v>5</v>
      </c>
      <c r="H3535">
        <v>1007.81</v>
      </c>
      <c r="I3535">
        <v>15</v>
      </c>
      <c r="J3535" t="s">
        <v>45</v>
      </c>
      <c r="K3535">
        <v>755.86</v>
      </c>
      <c r="L3535">
        <v>5039.05</v>
      </c>
      <c r="M3535">
        <v>4283.1899999999996</v>
      </c>
      <c r="N3535" t="s">
        <v>86</v>
      </c>
      <c r="O3535">
        <v>2025</v>
      </c>
    </row>
    <row r="3536" spans="1:15" x14ac:dyDescent="0.3">
      <c r="A3536" t="s">
        <v>3621</v>
      </c>
      <c r="B3536" t="s">
        <v>93</v>
      </c>
      <c r="C3536" t="s">
        <v>17</v>
      </c>
      <c r="D3536" t="s">
        <v>59</v>
      </c>
      <c r="E3536" t="s">
        <v>56</v>
      </c>
      <c r="F3536" s="1">
        <v>45582</v>
      </c>
      <c r="G3536">
        <v>6</v>
      </c>
      <c r="H3536">
        <v>26190.51</v>
      </c>
      <c r="I3536">
        <v>20</v>
      </c>
      <c r="J3536" t="s">
        <v>31</v>
      </c>
      <c r="K3536">
        <v>31428.61</v>
      </c>
      <c r="L3536">
        <v>157143.06</v>
      </c>
      <c r="M3536">
        <v>125714.45</v>
      </c>
      <c r="N3536" t="s">
        <v>57</v>
      </c>
      <c r="O3536">
        <v>2024</v>
      </c>
    </row>
    <row r="3537" spans="1:15" x14ac:dyDescent="0.3">
      <c r="A3537" t="s">
        <v>3622</v>
      </c>
      <c r="B3537" t="s">
        <v>23</v>
      </c>
      <c r="C3537" t="s">
        <v>17</v>
      </c>
      <c r="D3537" t="s">
        <v>157</v>
      </c>
      <c r="E3537" t="s">
        <v>19</v>
      </c>
      <c r="F3537" s="1">
        <v>45556</v>
      </c>
      <c r="G3537">
        <v>8</v>
      </c>
      <c r="H3537">
        <v>6518.05</v>
      </c>
      <c r="I3537">
        <v>20</v>
      </c>
      <c r="J3537" t="s">
        <v>26</v>
      </c>
      <c r="K3537">
        <v>10428.879999999999</v>
      </c>
      <c r="L3537">
        <v>52144.4</v>
      </c>
      <c r="M3537">
        <v>41715.519999999997</v>
      </c>
      <c r="N3537" t="s">
        <v>86</v>
      </c>
      <c r="O3537">
        <v>2024</v>
      </c>
    </row>
    <row r="3538" spans="1:15" x14ac:dyDescent="0.3">
      <c r="A3538" t="s">
        <v>3623</v>
      </c>
      <c r="B3538" t="s">
        <v>109</v>
      </c>
      <c r="C3538" t="s">
        <v>54</v>
      </c>
      <c r="D3538" t="s">
        <v>55</v>
      </c>
      <c r="E3538" t="s">
        <v>25</v>
      </c>
      <c r="F3538" s="1">
        <v>45572</v>
      </c>
      <c r="G3538">
        <v>3</v>
      </c>
      <c r="H3538">
        <v>1369.66</v>
      </c>
      <c r="I3538">
        <v>15</v>
      </c>
      <c r="J3538" t="s">
        <v>45</v>
      </c>
      <c r="K3538">
        <v>616.35</v>
      </c>
      <c r="L3538">
        <v>4108.9799999999996</v>
      </c>
      <c r="M3538">
        <v>3492.63</v>
      </c>
      <c r="N3538" t="s">
        <v>57</v>
      </c>
      <c r="O3538">
        <v>2024</v>
      </c>
    </row>
    <row r="3539" spans="1:15" x14ac:dyDescent="0.3">
      <c r="A3539" t="s">
        <v>3624</v>
      </c>
      <c r="B3539" t="s">
        <v>43</v>
      </c>
      <c r="C3539" t="s">
        <v>34</v>
      </c>
      <c r="D3539" t="s">
        <v>48</v>
      </c>
      <c r="E3539" t="s">
        <v>30</v>
      </c>
      <c r="F3539" s="1">
        <v>45974</v>
      </c>
      <c r="G3539">
        <v>7</v>
      </c>
      <c r="H3539">
        <v>9055.9599999999991</v>
      </c>
      <c r="I3539">
        <v>15</v>
      </c>
      <c r="J3539" t="s">
        <v>31</v>
      </c>
      <c r="K3539">
        <v>9508.76</v>
      </c>
      <c r="L3539">
        <v>63391.72</v>
      </c>
      <c r="M3539">
        <v>53882.96</v>
      </c>
      <c r="N3539" t="s">
        <v>96</v>
      </c>
      <c r="O3539">
        <v>2025</v>
      </c>
    </row>
    <row r="3540" spans="1:15" x14ac:dyDescent="0.3">
      <c r="A3540" t="s">
        <v>3625</v>
      </c>
      <c r="B3540" t="s">
        <v>93</v>
      </c>
      <c r="C3540" t="s">
        <v>90</v>
      </c>
      <c r="D3540" t="s">
        <v>152</v>
      </c>
      <c r="E3540" t="s">
        <v>81</v>
      </c>
      <c r="F3540" s="1">
        <v>45759</v>
      </c>
      <c r="G3540">
        <v>1</v>
      </c>
      <c r="H3540">
        <v>10021.459999999999</v>
      </c>
      <c r="I3540">
        <v>0</v>
      </c>
      <c r="J3540" t="s">
        <v>40</v>
      </c>
      <c r="K3540">
        <v>0</v>
      </c>
      <c r="L3540">
        <v>10021.459999999999</v>
      </c>
      <c r="M3540">
        <v>10021.459999999999</v>
      </c>
      <c r="N3540" t="s">
        <v>27</v>
      </c>
      <c r="O3540">
        <v>2025</v>
      </c>
    </row>
    <row r="3541" spans="1:15" x14ac:dyDescent="0.3">
      <c r="A3541" t="s">
        <v>3626</v>
      </c>
      <c r="B3541" t="s">
        <v>38</v>
      </c>
      <c r="C3541" t="s">
        <v>90</v>
      </c>
      <c r="D3541" t="s">
        <v>105</v>
      </c>
      <c r="E3541" t="s">
        <v>44</v>
      </c>
      <c r="F3541" s="1">
        <v>45890</v>
      </c>
      <c r="G3541">
        <v>1</v>
      </c>
      <c r="H3541">
        <v>3224.38</v>
      </c>
      <c r="I3541">
        <v>10</v>
      </c>
      <c r="J3541" t="s">
        <v>31</v>
      </c>
      <c r="K3541">
        <v>322.44</v>
      </c>
      <c r="L3541">
        <v>3224.38</v>
      </c>
      <c r="M3541">
        <v>2901.94</v>
      </c>
      <c r="N3541" t="s">
        <v>21</v>
      </c>
      <c r="O3541">
        <v>2025</v>
      </c>
    </row>
    <row r="3542" spans="1:15" x14ac:dyDescent="0.3">
      <c r="A3542" t="s">
        <v>3627</v>
      </c>
      <c r="B3542" t="s">
        <v>114</v>
      </c>
      <c r="C3542" t="s">
        <v>54</v>
      </c>
      <c r="D3542" t="s">
        <v>68</v>
      </c>
      <c r="E3542" t="s">
        <v>25</v>
      </c>
      <c r="F3542" s="1">
        <v>45318</v>
      </c>
      <c r="G3542">
        <v>4</v>
      </c>
      <c r="H3542">
        <v>4948.22</v>
      </c>
      <c r="I3542">
        <v>10</v>
      </c>
      <c r="J3542" t="s">
        <v>82</v>
      </c>
      <c r="K3542">
        <v>1979.29</v>
      </c>
      <c r="L3542">
        <v>19792.88</v>
      </c>
      <c r="M3542">
        <v>17813.59</v>
      </c>
      <c r="N3542" t="s">
        <v>116</v>
      </c>
      <c r="O3542">
        <v>2024</v>
      </c>
    </row>
    <row r="3543" spans="1:15" x14ac:dyDescent="0.3">
      <c r="A3543" t="s">
        <v>3628</v>
      </c>
      <c r="B3543" t="s">
        <v>33</v>
      </c>
      <c r="C3543" t="s">
        <v>90</v>
      </c>
      <c r="D3543" t="s">
        <v>105</v>
      </c>
      <c r="E3543" t="s">
        <v>56</v>
      </c>
      <c r="F3543" s="1">
        <v>45659</v>
      </c>
      <c r="G3543">
        <v>7</v>
      </c>
      <c r="H3543">
        <v>3528.12</v>
      </c>
      <c r="I3543">
        <v>10</v>
      </c>
      <c r="J3543" t="s">
        <v>71</v>
      </c>
      <c r="K3543">
        <v>2469.6799999999998</v>
      </c>
      <c r="L3543">
        <v>24696.84</v>
      </c>
      <c r="M3543">
        <v>22227.16</v>
      </c>
      <c r="N3543" t="s">
        <v>116</v>
      </c>
      <c r="O3543">
        <v>2025</v>
      </c>
    </row>
    <row r="3544" spans="1:15" x14ac:dyDescent="0.3">
      <c r="A3544" t="s">
        <v>3629</v>
      </c>
      <c r="B3544" t="s">
        <v>47</v>
      </c>
      <c r="C3544" t="s">
        <v>17</v>
      </c>
      <c r="D3544" t="s">
        <v>39</v>
      </c>
      <c r="E3544" t="s">
        <v>81</v>
      </c>
      <c r="F3544" s="1">
        <v>45312</v>
      </c>
      <c r="G3544">
        <v>2</v>
      </c>
      <c r="H3544">
        <v>17929.62</v>
      </c>
      <c r="I3544">
        <v>10</v>
      </c>
      <c r="J3544" t="s">
        <v>31</v>
      </c>
      <c r="K3544">
        <v>3585.92</v>
      </c>
      <c r="L3544">
        <v>35859.24</v>
      </c>
      <c r="M3544">
        <v>32273.32</v>
      </c>
      <c r="N3544" t="s">
        <v>116</v>
      </c>
      <c r="O3544">
        <v>2024</v>
      </c>
    </row>
    <row r="3545" spans="1:15" x14ac:dyDescent="0.3">
      <c r="A3545" t="s">
        <v>3630</v>
      </c>
      <c r="B3545" t="s">
        <v>114</v>
      </c>
      <c r="C3545" t="s">
        <v>62</v>
      </c>
      <c r="D3545" t="s">
        <v>132</v>
      </c>
      <c r="E3545" t="s">
        <v>30</v>
      </c>
      <c r="F3545" s="1">
        <v>45501</v>
      </c>
      <c r="G3545">
        <v>5</v>
      </c>
      <c r="H3545">
        <v>2683.93</v>
      </c>
      <c r="I3545">
        <v>10</v>
      </c>
      <c r="J3545" t="s">
        <v>36</v>
      </c>
      <c r="K3545">
        <v>1341.97</v>
      </c>
      <c r="L3545">
        <v>13419.65</v>
      </c>
      <c r="M3545">
        <v>12077.68</v>
      </c>
      <c r="N3545" t="s">
        <v>122</v>
      </c>
      <c r="O3545">
        <v>2024</v>
      </c>
    </row>
    <row r="3546" spans="1:15" x14ac:dyDescent="0.3">
      <c r="A3546" t="s">
        <v>3631</v>
      </c>
      <c r="B3546" t="s">
        <v>93</v>
      </c>
      <c r="C3546" t="s">
        <v>54</v>
      </c>
      <c r="D3546" t="s">
        <v>68</v>
      </c>
      <c r="E3546" t="s">
        <v>81</v>
      </c>
      <c r="F3546" s="1">
        <v>45311</v>
      </c>
      <c r="G3546">
        <v>5</v>
      </c>
      <c r="H3546">
        <v>4414.7299999999996</v>
      </c>
      <c r="I3546">
        <v>0</v>
      </c>
      <c r="J3546" t="s">
        <v>45</v>
      </c>
      <c r="K3546">
        <v>0</v>
      </c>
      <c r="L3546">
        <v>22073.65</v>
      </c>
      <c r="M3546">
        <v>22073.65</v>
      </c>
      <c r="N3546" t="s">
        <v>116</v>
      </c>
      <c r="O3546">
        <v>2024</v>
      </c>
    </row>
    <row r="3547" spans="1:15" x14ac:dyDescent="0.3">
      <c r="A3547" t="s">
        <v>3632</v>
      </c>
      <c r="B3547" t="s">
        <v>23</v>
      </c>
      <c r="C3547" t="s">
        <v>62</v>
      </c>
      <c r="D3547" t="s">
        <v>99</v>
      </c>
      <c r="E3547" t="s">
        <v>44</v>
      </c>
      <c r="F3547" s="1">
        <v>45788</v>
      </c>
      <c r="G3547">
        <v>6</v>
      </c>
      <c r="H3547">
        <v>1466.58</v>
      </c>
      <c r="I3547">
        <v>5</v>
      </c>
      <c r="J3547" t="s">
        <v>20</v>
      </c>
      <c r="K3547">
        <v>439.97</v>
      </c>
      <c r="L3547">
        <v>8799.48</v>
      </c>
      <c r="M3547">
        <v>8359.51</v>
      </c>
      <c r="N3547" t="s">
        <v>101</v>
      </c>
      <c r="O3547">
        <v>2025</v>
      </c>
    </row>
    <row r="3548" spans="1:15" x14ac:dyDescent="0.3">
      <c r="A3548" t="s">
        <v>3633</v>
      </c>
      <c r="B3548" t="s">
        <v>74</v>
      </c>
      <c r="C3548" t="s">
        <v>62</v>
      </c>
      <c r="D3548" t="s">
        <v>63</v>
      </c>
      <c r="E3548" t="s">
        <v>81</v>
      </c>
      <c r="F3548" s="1">
        <v>45365</v>
      </c>
      <c r="G3548">
        <v>8</v>
      </c>
      <c r="H3548">
        <v>1994.15</v>
      </c>
      <c r="I3548">
        <v>20</v>
      </c>
      <c r="J3548" t="s">
        <v>31</v>
      </c>
      <c r="K3548">
        <v>3190.64</v>
      </c>
      <c r="L3548">
        <v>15953.2</v>
      </c>
      <c r="M3548">
        <v>12762.56</v>
      </c>
      <c r="N3548" t="s">
        <v>83</v>
      </c>
      <c r="O3548">
        <v>2024</v>
      </c>
    </row>
    <row r="3549" spans="1:15" x14ac:dyDescent="0.3">
      <c r="A3549" t="s">
        <v>3634</v>
      </c>
      <c r="B3549" t="s">
        <v>114</v>
      </c>
      <c r="C3549" t="s">
        <v>54</v>
      </c>
      <c r="D3549" t="s">
        <v>55</v>
      </c>
      <c r="E3549" t="s">
        <v>19</v>
      </c>
      <c r="F3549" s="1">
        <v>45419</v>
      </c>
      <c r="G3549">
        <v>5</v>
      </c>
      <c r="H3549">
        <v>1367.69</v>
      </c>
      <c r="I3549">
        <v>5</v>
      </c>
      <c r="J3549" t="s">
        <v>71</v>
      </c>
      <c r="K3549">
        <v>341.92</v>
      </c>
      <c r="L3549">
        <v>6838.45</v>
      </c>
      <c r="M3549">
        <v>6496.53</v>
      </c>
      <c r="N3549" t="s">
        <v>101</v>
      </c>
      <c r="O3549">
        <v>2024</v>
      </c>
    </row>
    <row r="3550" spans="1:15" x14ac:dyDescent="0.3">
      <c r="A3550" t="s">
        <v>3635</v>
      </c>
      <c r="B3550" t="s">
        <v>38</v>
      </c>
      <c r="C3550" t="s">
        <v>62</v>
      </c>
      <c r="D3550" t="s">
        <v>95</v>
      </c>
      <c r="E3550" t="s">
        <v>30</v>
      </c>
      <c r="F3550" s="1">
        <v>45843</v>
      </c>
      <c r="G3550">
        <v>6</v>
      </c>
      <c r="H3550">
        <v>894.26</v>
      </c>
      <c r="I3550">
        <v>15</v>
      </c>
      <c r="J3550" t="s">
        <v>20</v>
      </c>
      <c r="K3550">
        <v>804.83</v>
      </c>
      <c r="L3550">
        <v>5365.56</v>
      </c>
      <c r="M3550">
        <v>4560.7299999999996</v>
      </c>
      <c r="N3550" t="s">
        <v>122</v>
      </c>
      <c r="O3550">
        <v>2025</v>
      </c>
    </row>
    <row r="3551" spans="1:15" x14ac:dyDescent="0.3">
      <c r="A3551" t="s">
        <v>3636</v>
      </c>
      <c r="B3551" t="s">
        <v>74</v>
      </c>
      <c r="C3551" t="s">
        <v>90</v>
      </c>
      <c r="D3551" t="s">
        <v>107</v>
      </c>
      <c r="E3551" t="s">
        <v>56</v>
      </c>
      <c r="F3551" s="1">
        <v>45818</v>
      </c>
      <c r="G3551">
        <v>2</v>
      </c>
      <c r="H3551">
        <v>12687.56</v>
      </c>
      <c r="I3551">
        <v>5</v>
      </c>
      <c r="J3551" t="s">
        <v>40</v>
      </c>
      <c r="K3551">
        <v>1268.76</v>
      </c>
      <c r="L3551">
        <v>25375.119999999999</v>
      </c>
      <c r="M3551">
        <v>24106.36</v>
      </c>
      <c r="N3551" t="s">
        <v>72</v>
      </c>
      <c r="O3551">
        <v>2025</v>
      </c>
    </row>
    <row r="3552" spans="1:15" x14ac:dyDescent="0.3">
      <c r="A3552" t="s">
        <v>3637</v>
      </c>
      <c r="B3552" t="s">
        <v>93</v>
      </c>
      <c r="C3552" t="s">
        <v>54</v>
      </c>
      <c r="D3552" t="s">
        <v>137</v>
      </c>
      <c r="E3552" t="s">
        <v>50</v>
      </c>
      <c r="F3552" s="1">
        <v>45864</v>
      </c>
      <c r="G3552">
        <v>1</v>
      </c>
      <c r="H3552">
        <v>961.01</v>
      </c>
      <c r="I3552">
        <v>5</v>
      </c>
      <c r="J3552" t="s">
        <v>31</v>
      </c>
      <c r="K3552">
        <v>48.05</v>
      </c>
      <c r="L3552">
        <v>961.01</v>
      </c>
      <c r="M3552">
        <v>912.96</v>
      </c>
      <c r="N3552" t="s">
        <v>122</v>
      </c>
      <c r="O3552">
        <v>2025</v>
      </c>
    </row>
    <row r="3553" spans="1:15" x14ac:dyDescent="0.3">
      <c r="A3553" t="s">
        <v>3638</v>
      </c>
      <c r="B3553" t="s">
        <v>33</v>
      </c>
      <c r="C3553" t="s">
        <v>62</v>
      </c>
      <c r="D3553" t="s">
        <v>132</v>
      </c>
      <c r="E3553" t="s">
        <v>50</v>
      </c>
      <c r="F3553" s="1">
        <v>45378</v>
      </c>
      <c r="G3553">
        <v>1</v>
      </c>
      <c r="H3553">
        <v>2731.11</v>
      </c>
      <c r="I3553">
        <v>5</v>
      </c>
      <c r="J3553" t="s">
        <v>26</v>
      </c>
      <c r="K3553">
        <v>136.56</v>
      </c>
      <c r="L3553">
        <v>2731.11</v>
      </c>
      <c r="M3553">
        <v>2594.5500000000002</v>
      </c>
      <c r="N3553" t="s">
        <v>83</v>
      </c>
      <c r="O3553">
        <v>2024</v>
      </c>
    </row>
    <row r="3554" spans="1:15" x14ac:dyDescent="0.3">
      <c r="A3554" t="s">
        <v>3639</v>
      </c>
      <c r="B3554" t="s">
        <v>93</v>
      </c>
      <c r="C3554" t="s">
        <v>90</v>
      </c>
      <c r="D3554" t="s">
        <v>91</v>
      </c>
      <c r="E3554" t="s">
        <v>56</v>
      </c>
      <c r="F3554" s="1">
        <v>45378</v>
      </c>
      <c r="G3554">
        <v>10</v>
      </c>
      <c r="H3554">
        <v>1593.2</v>
      </c>
      <c r="I3554">
        <v>0</v>
      </c>
      <c r="J3554" t="s">
        <v>45</v>
      </c>
      <c r="K3554">
        <v>0</v>
      </c>
      <c r="L3554">
        <v>15932</v>
      </c>
      <c r="M3554">
        <v>15932</v>
      </c>
      <c r="N3554" t="s">
        <v>83</v>
      </c>
      <c r="O3554">
        <v>2024</v>
      </c>
    </row>
    <row r="3555" spans="1:15" x14ac:dyDescent="0.3">
      <c r="A3555" t="s">
        <v>3640</v>
      </c>
      <c r="B3555" t="s">
        <v>38</v>
      </c>
      <c r="C3555" t="s">
        <v>62</v>
      </c>
      <c r="D3555" t="s">
        <v>132</v>
      </c>
      <c r="E3555" t="s">
        <v>19</v>
      </c>
      <c r="F3555" s="1">
        <v>46017</v>
      </c>
      <c r="G3555">
        <v>8</v>
      </c>
      <c r="H3555">
        <v>2791.02</v>
      </c>
      <c r="I3555">
        <v>20</v>
      </c>
      <c r="J3555" t="s">
        <v>36</v>
      </c>
      <c r="K3555">
        <v>4465.63</v>
      </c>
      <c r="L3555">
        <v>22328.16</v>
      </c>
      <c r="M3555">
        <v>17862.53</v>
      </c>
      <c r="N3555" t="s">
        <v>51</v>
      </c>
      <c r="O3555">
        <v>2025</v>
      </c>
    </row>
    <row r="3556" spans="1:15" x14ac:dyDescent="0.3">
      <c r="A3556" t="s">
        <v>3641</v>
      </c>
      <c r="B3556" t="s">
        <v>109</v>
      </c>
      <c r="C3556" t="s">
        <v>90</v>
      </c>
      <c r="D3556" t="s">
        <v>152</v>
      </c>
      <c r="E3556" t="s">
        <v>50</v>
      </c>
      <c r="F3556" s="1">
        <v>45627</v>
      </c>
      <c r="G3556">
        <v>7</v>
      </c>
      <c r="H3556">
        <v>10303.370000000001</v>
      </c>
      <c r="I3556">
        <v>5</v>
      </c>
      <c r="J3556" t="s">
        <v>31</v>
      </c>
      <c r="K3556">
        <v>3606.18</v>
      </c>
      <c r="L3556">
        <v>72123.59</v>
      </c>
      <c r="M3556">
        <v>68517.41</v>
      </c>
      <c r="N3556" t="s">
        <v>51</v>
      </c>
      <c r="O3556">
        <v>2024</v>
      </c>
    </row>
    <row r="3557" spans="1:15" x14ac:dyDescent="0.3">
      <c r="A3557" t="s">
        <v>3642</v>
      </c>
      <c r="B3557" t="s">
        <v>43</v>
      </c>
      <c r="C3557" t="s">
        <v>90</v>
      </c>
      <c r="D3557" t="s">
        <v>107</v>
      </c>
      <c r="E3557" t="s">
        <v>19</v>
      </c>
      <c r="F3557" s="1">
        <v>45508</v>
      </c>
      <c r="G3557">
        <v>10</v>
      </c>
      <c r="H3557">
        <v>11574.49</v>
      </c>
      <c r="I3557">
        <v>20</v>
      </c>
      <c r="J3557" t="s">
        <v>40</v>
      </c>
      <c r="K3557">
        <v>23148.98</v>
      </c>
      <c r="L3557">
        <v>115744.9</v>
      </c>
      <c r="M3557">
        <v>92595.92</v>
      </c>
      <c r="N3557" t="s">
        <v>21</v>
      </c>
      <c r="O3557">
        <v>2024</v>
      </c>
    </row>
    <row r="3558" spans="1:15" x14ac:dyDescent="0.3">
      <c r="A3558" t="s">
        <v>3643</v>
      </c>
      <c r="B3558" t="s">
        <v>16</v>
      </c>
      <c r="C3558" t="s">
        <v>54</v>
      </c>
      <c r="D3558" t="s">
        <v>68</v>
      </c>
      <c r="E3558" t="s">
        <v>30</v>
      </c>
      <c r="F3558" s="1">
        <v>45530</v>
      </c>
      <c r="G3558">
        <v>2</v>
      </c>
      <c r="H3558">
        <v>4654.37</v>
      </c>
      <c r="I3558">
        <v>5</v>
      </c>
      <c r="J3558" t="s">
        <v>20</v>
      </c>
      <c r="K3558">
        <v>465.44</v>
      </c>
      <c r="L3558">
        <v>9308.74</v>
      </c>
      <c r="M3558">
        <v>8843.2999999999993</v>
      </c>
      <c r="N3558" t="s">
        <v>21</v>
      </c>
      <c r="O3558">
        <v>2024</v>
      </c>
    </row>
    <row r="3559" spans="1:15" x14ac:dyDescent="0.3">
      <c r="A3559" t="s">
        <v>3644</v>
      </c>
      <c r="B3559" t="s">
        <v>33</v>
      </c>
      <c r="C3559" t="s">
        <v>34</v>
      </c>
      <c r="D3559" t="s">
        <v>85</v>
      </c>
      <c r="E3559" t="s">
        <v>56</v>
      </c>
      <c r="F3559" s="1">
        <v>45382</v>
      </c>
      <c r="G3559">
        <v>8</v>
      </c>
      <c r="H3559">
        <v>12942.19</v>
      </c>
      <c r="I3559">
        <v>0</v>
      </c>
      <c r="J3559" t="s">
        <v>31</v>
      </c>
      <c r="K3559">
        <v>0</v>
      </c>
      <c r="L3559">
        <v>103537.52</v>
      </c>
      <c r="M3559">
        <v>103537.52</v>
      </c>
      <c r="N3559" t="s">
        <v>83</v>
      </c>
      <c r="O3559">
        <v>2024</v>
      </c>
    </row>
    <row r="3560" spans="1:15" x14ac:dyDescent="0.3">
      <c r="A3560" t="s">
        <v>3645</v>
      </c>
      <c r="B3560" t="s">
        <v>38</v>
      </c>
      <c r="C3560" t="s">
        <v>90</v>
      </c>
      <c r="D3560" t="s">
        <v>107</v>
      </c>
      <c r="E3560" t="s">
        <v>25</v>
      </c>
      <c r="F3560" s="1">
        <v>45600</v>
      </c>
      <c r="G3560">
        <v>5</v>
      </c>
      <c r="H3560">
        <v>14739.08</v>
      </c>
      <c r="I3560">
        <v>15</v>
      </c>
      <c r="J3560" t="s">
        <v>71</v>
      </c>
      <c r="K3560">
        <v>11054.31</v>
      </c>
      <c r="L3560">
        <v>73695.399999999994</v>
      </c>
      <c r="M3560">
        <v>62641.09</v>
      </c>
      <c r="N3560" t="s">
        <v>96</v>
      </c>
      <c r="O3560">
        <v>2024</v>
      </c>
    </row>
    <row r="3561" spans="1:15" x14ac:dyDescent="0.3">
      <c r="A3561" t="s">
        <v>3646</v>
      </c>
      <c r="B3561" t="s">
        <v>53</v>
      </c>
      <c r="C3561" t="s">
        <v>90</v>
      </c>
      <c r="D3561" t="s">
        <v>152</v>
      </c>
      <c r="E3561" t="s">
        <v>30</v>
      </c>
      <c r="F3561" s="1">
        <v>45431</v>
      </c>
      <c r="G3561">
        <v>7</v>
      </c>
      <c r="H3561">
        <v>9612.51</v>
      </c>
      <c r="I3561">
        <v>15</v>
      </c>
      <c r="J3561" t="s">
        <v>31</v>
      </c>
      <c r="K3561">
        <v>10093.14</v>
      </c>
      <c r="L3561">
        <v>67287.570000000007</v>
      </c>
      <c r="M3561">
        <v>57194.43</v>
      </c>
      <c r="N3561" t="s">
        <v>101</v>
      </c>
      <c r="O3561">
        <v>2024</v>
      </c>
    </row>
    <row r="3562" spans="1:15" x14ac:dyDescent="0.3">
      <c r="A3562" t="s">
        <v>3647</v>
      </c>
      <c r="B3562" t="s">
        <v>33</v>
      </c>
      <c r="C3562" t="s">
        <v>90</v>
      </c>
      <c r="D3562" t="s">
        <v>91</v>
      </c>
      <c r="E3562" t="s">
        <v>30</v>
      </c>
      <c r="F3562" s="1">
        <v>45813</v>
      </c>
      <c r="G3562">
        <v>10</v>
      </c>
      <c r="H3562">
        <v>1688.15</v>
      </c>
      <c r="I3562">
        <v>20</v>
      </c>
      <c r="J3562" t="s">
        <v>26</v>
      </c>
      <c r="K3562">
        <v>3376.3</v>
      </c>
      <c r="L3562">
        <v>16881.5</v>
      </c>
      <c r="M3562">
        <v>13505.2</v>
      </c>
      <c r="N3562" t="s">
        <v>72</v>
      </c>
      <c r="O3562">
        <v>2025</v>
      </c>
    </row>
    <row r="3563" spans="1:15" x14ac:dyDescent="0.3">
      <c r="A3563" t="s">
        <v>3648</v>
      </c>
      <c r="B3563" t="s">
        <v>38</v>
      </c>
      <c r="C3563" t="s">
        <v>54</v>
      </c>
      <c r="D3563" t="s">
        <v>68</v>
      </c>
      <c r="E3563" t="s">
        <v>56</v>
      </c>
      <c r="F3563" s="1">
        <v>45799</v>
      </c>
      <c r="G3563">
        <v>6</v>
      </c>
      <c r="H3563">
        <v>4739.9399999999996</v>
      </c>
      <c r="I3563">
        <v>10</v>
      </c>
      <c r="J3563" t="s">
        <v>40</v>
      </c>
      <c r="K3563">
        <v>2843.96</v>
      </c>
      <c r="L3563">
        <v>28439.64</v>
      </c>
      <c r="M3563">
        <v>25595.68</v>
      </c>
      <c r="N3563" t="s">
        <v>101</v>
      </c>
      <c r="O3563">
        <v>2025</v>
      </c>
    </row>
    <row r="3564" spans="1:15" x14ac:dyDescent="0.3">
      <c r="A3564" t="s">
        <v>3649</v>
      </c>
      <c r="B3564" t="s">
        <v>38</v>
      </c>
      <c r="C3564" t="s">
        <v>34</v>
      </c>
      <c r="D3564" t="s">
        <v>48</v>
      </c>
      <c r="E3564" t="s">
        <v>81</v>
      </c>
      <c r="F3564" s="1">
        <v>45433</v>
      </c>
      <c r="G3564">
        <v>10</v>
      </c>
      <c r="H3564">
        <v>7908.28</v>
      </c>
      <c r="I3564">
        <v>5</v>
      </c>
      <c r="J3564" t="s">
        <v>45</v>
      </c>
      <c r="K3564">
        <v>3954.14</v>
      </c>
      <c r="L3564">
        <v>79082.8</v>
      </c>
      <c r="M3564">
        <v>75128.66</v>
      </c>
      <c r="N3564" t="s">
        <v>101</v>
      </c>
      <c r="O3564">
        <v>2024</v>
      </c>
    </row>
    <row r="3565" spans="1:15" x14ac:dyDescent="0.3">
      <c r="A3565" t="s">
        <v>3650</v>
      </c>
      <c r="B3565" t="s">
        <v>74</v>
      </c>
      <c r="C3565" t="s">
        <v>90</v>
      </c>
      <c r="D3565" t="s">
        <v>152</v>
      </c>
      <c r="E3565" t="s">
        <v>19</v>
      </c>
      <c r="F3565" s="1">
        <v>45537</v>
      </c>
      <c r="G3565">
        <v>8</v>
      </c>
      <c r="H3565">
        <v>9973.23</v>
      </c>
      <c r="I3565">
        <v>15</v>
      </c>
      <c r="J3565" t="s">
        <v>26</v>
      </c>
      <c r="K3565">
        <v>11967.88</v>
      </c>
      <c r="L3565">
        <v>79785.84</v>
      </c>
      <c r="M3565">
        <v>67817.960000000006</v>
      </c>
      <c r="N3565" t="s">
        <v>86</v>
      </c>
      <c r="O3565">
        <v>2024</v>
      </c>
    </row>
    <row r="3566" spans="1:15" x14ac:dyDescent="0.3">
      <c r="A3566" t="s">
        <v>3651</v>
      </c>
      <c r="B3566" t="s">
        <v>43</v>
      </c>
      <c r="C3566" t="s">
        <v>54</v>
      </c>
      <c r="D3566" t="s">
        <v>68</v>
      </c>
      <c r="E3566" t="s">
        <v>25</v>
      </c>
      <c r="F3566" s="1">
        <v>45445</v>
      </c>
      <c r="G3566">
        <v>1</v>
      </c>
      <c r="H3566">
        <v>5128.08</v>
      </c>
      <c r="I3566">
        <v>15</v>
      </c>
      <c r="J3566" t="s">
        <v>40</v>
      </c>
      <c r="K3566">
        <v>769.21</v>
      </c>
      <c r="L3566">
        <v>5128.08</v>
      </c>
      <c r="M3566">
        <v>4358.87</v>
      </c>
      <c r="N3566" t="s">
        <v>72</v>
      </c>
      <c r="O3566">
        <v>2024</v>
      </c>
    </row>
    <row r="3567" spans="1:15" x14ac:dyDescent="0.3">
      <c r="A3567" t="s">
        <v>3652</v>
      </c>
      <c r="B3567" t="s">
        <v>33</v>
      </c>
      <c r="C3567" t="s">
        <v>90</v>
      </c>
      <c r="D3567" t="s">
        <v>152</v>
      </c>
      <c r="E3567" t="s">
        <v>25</v>
      </c>
      <c r="F3567" s="1">
        <v>45903</v>
      </c>
      <c r="G3567">
        <v>8</v>
      </c>
      <c r="H3567">
        <v>9876.83</v>
      </c>
      <c r="I3567">
        <v>10</v>
      </c>
      <c r="J3567" t="s">
        <v>40</v>
      </c>
      <c r="K3567">
        <v>7901.46</v>
      </c>
      <c r="L3567">
        <v>79014.64</v>
      </c>
      <c r="M3567">
        <v>71113.179999999993</v>
      </c>
      <c r="N3567" t="s">
        <v>86</v>
      </c>
      <c r="O3567">
        <v>2025</v>
      </c>
    </row>
    <row r="3568" spans="1:15" x14ac:dyDescent="0.3">
      <c r="A3568" t="s">
        <v>3653</v>
      </c>
      <c r="B3568" t="s">
        <v>33</v>
      </c>
      <c r="C3568" t="s">
        <v>17</v>
      </c>
      <c r="D3568" t="s">
        <v>18</v>
      </c>
      <c r="E3568" t="s">
        <v>44</v>
      </c>
      <c r="F3568" s="1">
        <v>45504</v>
      </c>
      <c r="G3568">
        <v>4</v>
      </c>
      <c r="H3568">
        <v>59465.17</v>
      </c>
      <c r="I3568">
        <v>20</v>
      </c>
      <c r="J3568" t="s">
        <v>71</v>
      </c>
      <c r="K3568">
        <v>47572.14</v>
      </c>
      <c r="L3568">
        <v>237860.68</v>
      </c>
      <c r="M3568">
        <v>190288.54</v>
      </c>
      <c r="N3568" t="s">
        <v>122</v>
      </c>
      <c r="O3568">
        <v>2024</v>
      </c>
    </row>
    <row r="3569" spans="1:15" x14ac:dyDescent="0.3">
      <c r="A3569" t="s">
        <v>3654</v>
      </c>
      <c r="B3569" t="s">
        <v>61</v>
      </c>
      <c r="C3569" t="s">
        <v>17</v>
      </c>
      <c r="D3569" t="s">
        <v>18</v>
      </c>
      <c r="E3569" t="s">
        <v>30</v>
      </c>
      <c r="F3569" s="1">
        <v>45876</v>
      </c>
      <c r="G3569">
        <v>5</v>
      </c>
      <c r="H3569">
        <v>70500.22</v>
      </c>
      <c r="I3569">
        <v>15</v>
      </c>
      <c r="J3569" t="s">
        <v>26</v>
      </c>
      <c r="K3569">
        <v>52875.16</v>
      </c>
      <c r="L3569">
        <v>352501.1</v>
      </c>
      <c r="M3569">
        <v>299625.94</v>
      </c>
      <c r="N3569" t="s">
        <v>21</v>
      </c>
      <c r="O3569">
        <v>2025</v>
      </c>
    </row>
    <row r="3570" spans="1:15" x14ac:dyDescent="0.3">
      <c r="A3570" t="s">
        <v>3655</v>
      </c>
      <c r="B3570" t="s">
        <v>33</v>
      </c>
      <c r="C3570" t="s">
        <v>62</v>
      </c>
      <c r="D3570" t="s">
        <v>99</v>
      </c>
      <c r="E3570" t="s">
        <v>30</v>
      </c>
      <c r="F3570" s="1">
        <v>45539</v>
      </c>
      <c r="G3570">
        <v>5</v>
      </c>
      <c r="H3570">
        <v>1620.88</v>
      </c>
      <c r="I3570">
        <v>10</v>
      </c>
      <c r="J3570" t="s">
        <v>36</v>
      </c>
      <c r="K3570">
        <v>810.44</v>
      </c>
      <c r="L3570">
        <v>8104.4</v>
      </c>
      <c r="M3570">
        <v>7293.96</v>
      </c>
      <c r="N3570" t="s">
        <v>86</v>
      </c>
      <c r="O3570">
        <v>2024</v>
      </c>
    </row>
    <row r="3571" spans="1:15" x14ac:dyDescent="0.3">
      <c r="A3571" t="s">
        <v>3656</v>
      </c>
      <c r="B3571" t="s">
        <v>74</v>
      </c>
      <c r="C3571" t="s">
        <v>34</v>
      </c>
      <c r="D3571" t="s">
        <v>66</v>
      </c>
      <c r="E3571" t="s">
        <v>19</v>
      </c>
      <c r="F3571" s="1">
        <v>45666</v>
      </c>
      <c r="G3571">
        <v>4</v>
      </c>
      <c r="H3571">
        <v>39419.56</v>
      </c>
      <c r="I3571">
        <v>5</v>
      </c>
      <c r="J3571" t="s">
        <v>31</v>
      </c>
      <c r="K3571">
        <v>7883.91</v>
      </c>
      <c r="L3571">
        <v>157678.24</v>
      </c>
      <c r="M3571">
        <v>149794.32999999999</v>
      </c>
      <c r="N3571" t="s">
        <v>116</v>
      </c>
      <c r="O3571">
        <v>2025</v>
      </c>
    </row>
    <row r="3572" spans="1:15" x14ac:dyDescent="0.3">
      <c r="A3572" t="s">
        <v>3657</v>
      </c>
      <c r="B3572" t="s">
        <v>23</v>
      </c>
      <c r="C3572" t="s">
        <v>34</v>
      </c>
      <c r="D3572" t="s">
        <v>85</v>
      </c>
      <c r="E3572" t="s">
        <v>56</v>
      </c>
      <c r="F3572" s="1">
        <v>45938</v>
      </c>
      <c r="G3572">
        <v>1</v>
      </c>
      <c r="H3572">
        <v>14723.61</v>
      </c>
      <c r="I3572">
        <v>0</v>
      </c>
      <c r="J3572" t="s">
        <v>26</v>
      </c>
      <c r="K3572">
        <v>0</v>
      </c>
      <c r="L3572">
        <v>14723.61</v>
      </c>
      <c r="M3572">
        <v>14723.61</v>
      </c>
      <c r="N3572" t="s">
        <v>57</v>
      </c>
      <c r="O3572">
        <v>2025</v>
      </c>
    </row>
    <row r="3573" spans="1:15" x14ac:dyDescent="0.3">
      <c r="A3573" t="s">
        <v>3658</v>
      </c>
      <c r="B3573" t="s">
        <v>109</v>
      </c>
      <c r="C3573" t="s">
        <v>62</v>
      </c>
      <c r="D3573" t="s">
        <v>99</v>
      </c>
      <c r="E3573" t="s">
        <v>44</v>
      </c>
      <c r="F3573" s="1">
        <v>45363</v>
      </c>
      <c r="G3573">
        <v>1</v>
      </c>
      <c r="H3573">
        <v>1625.85</v>
      </c>
      <c r="I3573">
        <v>10</v>
      </c>
      <c r="J3573" t="s">
        <v>82</v>
      </c>
      <c r="K3573">
        <v>162.59</v>
      </c>
      <c r="L3573">
        <v>1625.85</v>
      </c>
      <c r="M3573">
        <v>1463.26</v>
      </c>
      <c r="N3573" t="s">
        <v>83</v>
      </c>
      <c r="O3573">
        <v>2024</v>
      </c>
    </row>
    <row r="3574" spans="1:15" x14ac:dyDescent="0.3">
      <c r="A3574" t="s">
        <v>3659</v>
      </c>
      <c r="B3574" t="s">
        <v>38</v>
      </c>
      <c r="C3574" t="s">
        <v>54</v>
      </c>
      <c r="D3574" t="s">
        <v>137</v>
      </c>
      <c r="E3574" t="s">
        <v>56</v>
      </c>
      <c r="F3574" s="1">
        <v>45372</v>
      </c>
      <c r="G3574">
        <v>10</v>
      </c>
      <c r="H3574">
        <v>965.12</v>
      </c>
      <c r="I3574">
        <v>20</v>
      </c>
      <c r="J3574" t="s">
        <v>82</v>
      </c>
      <c r="K3574">
        <v>1930.24</v>
      </c>
      <c r="L3574">
        <v>9651.2000000000007</v>
      </c>
      <c r="M3574">
        <v>7720.96</v>
      </c>
      <c r="N3574" t="s">
        <v>83</v>
      </c>
      <c r="O3574">
        <v>2024</v>
      </c>
    </row>
    <row r="3575" spans="1:15" x14ac:dyDescent="0.3">
      <c r="A3575" t="s">
        <v>3660</v>
      </c>
      <c r="B3575" t="s">
        <v>93</v>
      </c>
      <c r="C3575" t="s">
        <v>54</v>
      </c>
      <c r="D3575" t="s">
        <v>77</v>
      </c>
      <c r="E3575" t="s">
        <v>30</v>
      </c>
      <c r="F3575" s="1">
        <v>45613</v>
      </c>
      <c r="G3575">
        <v>2</v>
      </c>
      <c r="H3575">
        <v>5069.3</v>
      </c>
      <c r="I3575">
        <v>0</v>
      </c>
      <c r="J3575" t="s">
        <v>31</v>
      </c>
      <c r="K3575">
        <v>0</v>
      </c>
      <c r="L3575">
        <v>10138.6</v>
      </c>
      <c r="M3575">
        <v>10138.6</v>
      </c>
      <c r="N3575" t="s">
        <v>96</v>
      </c>
      <c r="O3575">
        <v>2024</v>
      </c>
    </row>
    <row r="3576" spans="1:15" x14ac:dyDescent="0.3">
      <c r="A3576" t="s">
        <v>3661</v>
      </c>
      <c r="B3576" t="s">
        <v>29</v>
      </c>
      <c r="C3576" t="s">
        <v>62</v>
      </c>
      <c r="D3576" t="s">
        <v>132</v>
      </c>
      <c r="E3576" t="s">
        <v>30</v>
      </c>
      <c r="F3576" s="1">
        <v>45575</v>
      </c>
      <c r="G3576">
        <v>7</v>
      </c>
      <c r="H3576">
        <v>2768.14</v>
      </c>
      <c r="I3576">
        <v>10</v>
      </c>
      <c r="J3576" t="s">
        <v>71</v>
      </c>
      <c r="K3576">
        <v>1937.7</v>
      </c>
      <c r="L3576">
        <v>19376.98</v>
      </c>
      <c r="M3576">
        <v>17439.28</v>
      </c>
      <c r="N3576" t="s">
        <v>57</v>
      </c>
      <c r="O3576">
        <v>2024</v>
      </c>
    </row>
    <row r="3577" spans="1:15" x14ac:dyDescent="0.3">
      <c r="A3577" t="s">
        <v>3662</v>
      </c>
      <c r="B3577" t="s">
        <v>89</v>
      </c>
      <c r="C3577" t="s">
        <v>62</v>
      </c>
      <c r="D3577" t="s">
        <v>99</v>
      </c>
      <c r="E3577" t="s">
        <v>56</v>
      </c>
      <c r="F3577" s="1">
        <v>45814</v>
      </c>
      <c r="G3577">
        <v>7</v>
      </c>
      <c r="H3577">
        <v>1541.67</v>
      </c>
      <c r="I3577">
        <v>0</v>
      </c>
      <c r="J3577" t="s">
        <v>82</v>
      </c>
      <c r="K3577">
        <v>0</v>
      </c>
      <c r="L3577">
        <v>10791.69</v>
      </c>
      <c r="M3577">
        <v>10791.69</v>
      </c>
      <c r="N3577" t="s">
        <v>72</v>
      </c>
      <c r="O3577">
        <v>2025</v>
      </c>
    </row>
    <row r="3578" spans="1:15" x14ac:dyDescent="0.3">
      <c r="A3578" t="s">
        <v>3663</v>
      </c>
      <c r="B3578" t="s">
        <v>16</v>
      </c>
      <c r="C3578" t="s">
        <v>62</v>
      </c>
      <c r="D3578" t="s">
        <v>99</v>
      </c>
      <c r="E3578" t="s">
        <v>81</v>
      </c>
      <c r="F3578" s="1">
        <v>45701</v>
      </c>
      <c r="G3578">
        <v>7</v>
      </c>
      <c r="H3578">
        <v>1555.34</v>
      </c>
      <c r="I3578">
        <v>5</v>
      </c>
      <c r="J3578" t="s">
        <v>31</v>
      </c>
      <c r="K3578">
        <v>544.37</v>
      </c>
      <c r="L3578">
        <v>10887.38</v>
      </c>
      <c r="M3578">
        <v>10343.01</v>
      </c>
      <c r="N3578" t="s">
        <v>41</v>
      </c>
      <c r="O3578">
        <v>2025</v>
      </c>
    </row>
    <row r="3579" spans="1:15" x14ac:dyDescent="0.3">
      <c r="A3579" t="s">
        <v>3664</v>
      </c>
      <c r="B3579" t="s">
        <v>16</v>
      </c>
      <c r="C3579" t="s">
        <v>54</v>
      </c>
      <c r="D3579" t="s">
        <v>70</v>
      </c>
      <c r="E3579" t="s">
        <v>19</v>
      </c>
      <c r="F3579" s="1">
        <v>45669</v>
      </c>
      <c r="G3579">
        <v>7</v>
      </c>
      <c r="H3579">
        <v>2464.4299999999998</v>
      </c>
      <c r="I3579">
        <v>20</v>
      </c>
      <c r="J3579" t="s">
        <v>36</v>
      </c>
      <c r="K3579">
        <v>3450.2</v>
      </c>
      <c r="L3579">
        <v>17251.009999999998</v>
      </c>
      <c r="M3579">
        <v>13800.81</v>
      </c>
      <c r="N3579" t="s">
        <v>116</v>
      </c>
      <c r="O3579">
        <v>2025</v>
      </c>
    </row>
    <row r="3580" spans="1:15" x14ac:dyDescent="0.3">
      <c r="A3580" t="s">
        <v>3665</v>
      </c>
      <c r="B3580" t="s">
        <v>109</v>
      </c>
      <c r="C3580" t="s">
        <v>54</v>
      </c>
      <c r="D3580" t="s">
        <v>137</v>
      </c>
      <c r="E3580" t="s">
        <v>81</v>
      </c>
      <c r="F3580" s="1">
        <v>45574</v>
      </c>
      <c r="G3580">
        <v>3</v>
      </c>
      <c r="H3580">
        <v>1064.5899999999999</v>
      </c>
      <c r="I3580">
        <v>5</v>
      </c>
      <c r="J3580" t="s">
        <v>82</v>
      </c>
      <c r="K3580">
        <v>159.69</v>
      </c>
      <c r="L3580">
        <v>3193.77</v>
      </c>
      <c r="M3580">
        <v>3034.08</v>
      </c>
      <c r="N3580" t="s">
        <v>57</v>
      </c>
      <c r="O3580">
        <v>2024</v>
      </c>
    </row>
    <row r="3581" spans="1:15" x14ac:dyDescent="0.3">
      <c r="A3581" t="s">
        <v>3666</v>
      </c>
      <c r="B3581" t="s">
        <v>93</v>
      </c>
      <c r="C3581" t="s">
        <v>17</v>
      </c>
      <c r="D3581" t="s">
        <v>59</v>
      </c>
      <c r="E3581" t="s">
        <v>30</v>
      </c>
      <c r="F3581" s="1">
        <v>45800</v>
      </c>
      <c r="G3581">
        <v>7</v>
      </c>
      <c r="H3581">
        <v>28176.68</v>
      </c>
      <c r="I3581">
        <v>0</v>
      </c>
      <c r="J3581" t="s">
        <v>36</v>
      </c>
      <c r="K3581">
        <v>0</v>
      </c>
      <c r="L3581">
        <v>197236.76</v>
      </c>
      <c r="M3581">
        <v>197236.76</v>
      </c>
      <c r="N3581" t="s">
        <v>101</v>
      </c>
      <c r="O3581">
        <v>2025</v>
      </c>
    </row>
    <row r="3582" spans="1:15" x14ac:dyDescent="0.3">
      <c r="A3582" t="s">
        <v>3667</v>
      </c>
      <c r="B3582" t="s">
        <v>38</v>
      </c>
      <c r="C3582" t="s">
        <v>62</v>
      </c>
      <c r="D3582" t="s">
        <v>119</v>
      </c>
      <c r="E3582" t="s">
        <v>56</v>
      </c>
      <c r="F3582" s="1">
        <v>45930</v>
      </c>
      <c r="G3582">
        <v>9</v>
      </c>
      <c r="H3582">
        <v>3519.54</v>
      </c>
      <c r="I3582">
        <v>5</v>
      </c>
      <c r="J3582" t="s">
        <v>20</v>
      </c>
      <c r="K3582">
        <v>1583.79</v>
      </c>
      <c r="L3582">
        <v>31675.86</v>
      </c>
      <c r="M3582">
        <v>30092.07</v>
      </c>
      <c r="N3582" t="s">
        <v>86</v>
      </c>
      <c r="O3582">
        <v>2025</v>
      </c>
    </row>
    <row r="3583" spans="1:15" x14ac:dyDescent="0.3">
      <c r="A3583" t="s">
        <v>3668</v>
      </c>
      <c r="B3583" t="s">
        <v>109</v>
      </c>
      <c r="C3583" t="s">
        <v>17</v>
      </c>
      <c r="D3583" t="s">
        <v>39</v>
      </c>
      <c r="E3583" t="s">
        <v>19</v>
      </c>
      <c r="F3583" s="1">
        <v>45513</v>
      </c>
      <c r="G3583">
        <v>2</v>
      </c>
      <c r="H3583">
        <v>18593.7</v>
      </c>
      <c r="I3583">
        <v>15</v>
      </c>
      <c r="J3583" t="s">
        <v>82</v>
      </c>
      <c r="K3583">
        <v>5578.11</v>
      </c>
      <c r="L3583">
        <v>37187.4</v>
      </c>
      <c r="M3583">
        <v>31609.29</v>
      </c>
      <c r="N3583" t="s">
        <v>21</v>
      </c>
      <c r="O3583">
        <v>2024</v>
      </c>
    </row>
    <row r="3584" spans="1:15" x14ac:dyDescent="0.3">
      <c r="A3584" t="s">
        <v>3669</v>
      </c>
      <c r="B3584" t="s">
        <v>89</v>
      </c>
      <c r="C3584" t="s">
        <v>17</v>
      </c>
      <c r="D3584" t="s">
        <v>39</v>
      </c>
      <c r="E3584" t="s">
        <v>19</v>
      </c>
      <c r="F3584" s="1">
        <v>45541</v>
      </c>
      <c r="G3584">
        <v>4</v>
      </c>
      <c r="H3584">
        <v>18682.93</v>
      </c>
      <c r="I3584">
        <v>0</v>
      </c>
      <c r="J3584" t="s">
        <v>71</v>
      </c>
      <c r="K3584">
        <v>0</v>
      </c>
      <c r="L3584">
        <v>74731.72</v>
      </c>
      <c r="M3584">
        <v>74731.72</v>
      </c>
      <c r="N3584" t="s">
        <v>86</v>
      </c>
      <c r="O3584">
        <v>2024</v>
      </c>
    </row>
    <row r="3585" spans="1:15" x14ac:dyDescent="0.3">
      <c r="A3585" t="s">
        <v>3670</v>
      </c>
      <c r="B3585" t="s">
        <v>16</v>
      </c>
      <c r="C3585" t="s">
        <v>62</v>
      </c>
      <c r="D3585" t="s">
        <v>99</v>
      </c>
      <c r="E3585" t="s">
        <v>30</v>
      </c>
      <c r="F3585" s="1">
        <v>45463</v>
      </c>
      <c r="G3585">
        <v>5</v>
      </c>
      <c r="H3585">
        <v>1520.7</v>
      </c>
      <c r="I3585">
        <v>10</v>
      </c>
      <c r="J3585" t="s">
        <v>45</v>
      </c>
      <c r="K3585">
        <v>760.35</v>
      </c>
      <c r="L3585">
        <v>7603.5</v>
      </c>
      <c r="M3585">
        <v>6843.15</v>
      </c>
      <c r="N3585" t="s">
        <v>72</v>
      </c>
      <c r="O3585">
        <v>2024</v>
      </c>
    </row>
    <row r="3586" spans="1:15" x14ac:dyDescent="0.3">
      <c r="A3586" t="s">
        <v>3671</v>
      </c>
      <c r="B3586" t="s">
        <v>29</v>
      </c>
      <c r="C3586" t="s">
        <v>34</v>
      </c>
      <c r="D3586" t="s">
        <v>80</v>
      </c>
      <c r="E3586" t="s">
        <v>19</v>
      </c>
      <c r="F3586" s="1">
        <v>45580</v>
      </c>
      <c r="G3586">
        <v>2</v>
      </c>
      <c r="H3586">
        <v>5967.53</v>
      </c>
      <c r="I3586">
        <v>5</v>
      </c>
      <c r="J3586" t="s">
        <v>40</v>
      </c>
      <c r="K3586">
        <v>596.75</v>
      </c>
      <c r="L3586">
        <v>11935.06</v>
      </c>
      <c r="M3586">
        <v>11338.31</v>
      </c>
      <c r="N3586" t="s">
        <v>57</v>
      </c>
      <c r="O3586">
        <v>2024</v>
      </c>
    </row>
    <row r="3587" spans="1:15" x14ac:dyDescent="0.3">
      <c r="A3587" t="s">
        <v>3672</v>
      </c>
      <c r="B3587" t="s">
        <v>89</v>
      </c>
      <c r="C3587" t="s">
        <v>34</v>
      </c>
      <c r="D3587" t="s">
        <v>66</v>
      </c>
      <c r="E3587" t="s">
        <v>30</v>
      </c>
      <c r="F3587" s="1">
        <v>45657</v>
      </c>
      <c r="G3587">
        <v>2</v>
      </c>
      <c r="H3587">
        <v>45509.98</v>
      </c>
      <c r="I3587">
        <v>15</v>
      </c>
      <c r="J3587" t="s">
        <v>20</v>
      </c>
      <c r="K3587">
        <v>13652.99</v>
      </c>
      <c r="L3587">
        <v>91019.96</v>
      </c>
      <c r="M3587">
        <v>77366.97</v>
      </c>
      <c r="N3587" t="s">
        <v>51</v>
      </c>
      <c r="O3587">
        <v>2024</v>
      </c>
    </row>
    <row r="3588" spans="1:15" x14ac:dyDescent="0.3">
      <c r="A3588" t="s">
        <v>3673</v>
      </c>
      <c r="B3588" t="s">
        <v>114</v>
      </c>
      <c r="C3588" t="s">
        <v>90</v>
      </c>
      <c r="D3588" t="s">
        <v>115</v>
      </c>
      <c r="E3588" t="s">
        <v>44</v>
      </c>
      <c r="F3588" s="1">
        <v>45782</v>
      </c>
      <c r="G3588">
        <v>5</v>
      </c>
      <c r="H3588">
        <v>7391.02</v>
      </c>
      <c r="I3588">
        <v>0</v>
      </c>
      <c r="J3588" t="s">
        <v>71</v>
      </c>
      <c r="K3588">
        <v>0</v>
      </c>
      <c r="L3588">
        <v>36955.1</v>
      </c>
      <c r="M3588">
        <v>36955.1</v>
      </c>
      <c r="N3588" t="s">
        <v>101</v>
      </c>
      <c r="O3588">
        <v>2025</v>
      </c>
    </row>
    <row r="3589" spans="1:15" x14ac:dyDescent="0.3">
      <c r="A3589" t="s">
        <v>3674</v>
      </c>
      <c r="B3589" t="s">
        <v>47</v>
      </c>
      <c r="C3589" t="s">
        <v>34</v>
      </c>
      <c r="D3589" t="s">
        <v>48</v>
      </c>
      <c r="E3589" t="s">
        <v>81</v>
      </c>
      <c r="F3589" s="1">
        <v>45300</v>
      </c>
      <c r="G3589">
        <v>3</v>
      </c>
      <c r="H3589">
        <v>7910.68</v>
      </c>
      <c r="I3589">
        <v>10</v>
      </c>
      <c r="J3589" t="s">
        <v>20</v>
      </c>
      <c r="K3589">
        <v>2373.1999999999998</v>
      </c>
      <c r="L3589">
        <v>23732.04</v>
      </c>
      <c r="M3589">
        <v>21358.84</v>
      </c>
      <c r="N3589" t="s">
        <v>116</v>
      </c>
      <c r="O3589">
        <v>2024</v>
      </c>
    </row>
    <row r="3590" spans="1:15" x14ac:dyDescent="0.3">
      <c r="A3590" t="s">
        <v>3675</v>
      </c>
      <c r="B3590" t="s">
        <v>114</v>
      </c>
      <c r="C3590" t="s">
        <v>34</v>
      </c>
      <c r="D3590" t="s">
        <v>48</v>
      </c>
      <c r="E3590" t="s">
        <v>56</v>
      </c>
      <c r="F3590" s="1">
        <v>45839</v>
      </c>
      <c r="G3590">
        <v>2</v>
      </c>
      <c r="H3590">
        <v>7898.52</v>
      </c>
      <c r="I3590">
        <v>20</v>
      </c>
      <c r="J3590" t="s">
        <v>45</v>
      </c>
      <c r="K3590">
        <v>3159.41</v>
      </c>
      <c r="L3590">
        <v>15797.04</v>
      </c>
      <c r="M3590">
        <v>12637.63</v>
      </c>
      <c r="N3590" t="s">
        <v>122</v>
      </c>
      <c r="O3590">
        <v>2025</v>
      </c>
    </row>
    <row r="3591" spans="1:15" x14ac:dyDescent="0.3">
      <c r="A3591" t="s">
        <v>3676</v>
      </c>
      <c r="B3591" t="s">
        <v>33</v>
      </c>
      <c r="C3591" t="s">
        <v>54</v>
      </c>
      <c r="D3591" t="s">
        <v>77</v>
      </c>
      <c r="E3591" t="s">
        <v>30</v>
      </c>
      <c r="F3591" s="1">
        <v>46002</v>
      </c>
      <c r="G3591">
        <v>2</v>
      </c>
      <c r="H3591">
        <v>5622.32</v>
      </c>
      <c r="I3591">
        <v>20</v>
      </c>
      <c r="J3591" t="s">
        <v>36</v>
      </c>
      <c r="K3591">
        <v>2248.9299999999998</v>
      </c>
      <c r="L3591">
        <v>11244.64</v>
      </c>
      <c r="M3591">
        <v>8995.7099999999991</v>
      </c>
      <c r="N3591" t="s">
        <v>51</v>
      </c>
      <c r="O3591">
        <v>2025</v>
      </c>
    </row>
    <row r="3592" spans="1:15" x14ac:dyDescent="0.3">
      <c r="A3592" t="s">
        <v>3677</v>
      </c>
      <c r="B3592" t="s">
        <v>114</v>
      </c>
      <c r="C3592" t="s">
        <v>62</v>
      </c>
      <c r="D3592" t="s">
        <v>119</v>
      </c>
      <c r="E3592" t="s">
        <v>81</v>
      </c>
      <c r="F3592" s="1">
        <v>45883</v>
      </c>
      <c r="G3592">
        <v>9</v>
      </c>
      <c r="H3592">
        <v>3415.64</v>
      </c>
      <c r="I3592">
        <v>0</v>
      </c>
      <c r="J3592" t="s">
        <v>26</v>
      </c>
      <c r="K3592">
        <v>0</v>
      </c>
      <c r="L3592">
        <v>30740.76</v>
      </c>
      <c r="M3592">
        <v>30740.76</v>
      </c>
      <c r="N3592" t="s">
        <v>21</v>
      </c>
      <c r="O3592">
        <v>2025</v>
      </c>
    </row>
    <row r="3593" spans="1:15" x14ac:dyDescent="0.3">
      <c r="A3593" t="s">
        <v>3678</v>
      </c>
      <c r="B3593" t="s">
        <v>23</v>
      </c>
      <c r="C3593" t="s">
        <v>34</v>
      </c>
      <c r="D3593" t="s">
        <v>66</v>
      </c>
      <c r="E3593" t="s">
        <v>19</v>
      </c>
      <c r="F3593" s="1">
        <v>45823</v>
      </c>
      <c r="G3593">
        <v>2</v>
      </c>
      <c r="H3593">
        <v>39767.9</v>
      </c>
      <c r="I3593">
        <v>10</v>
      </c>
      <c r="J3593" t="s">
        <v>45</v>
      </c>
      <c r="K3593">
        <v>7953.58</v>
      </c>
      <c r="L3593">
        <v>79535.8</v>
      </c>
      <c r="M3593">
        <v>71582.22</v>
      </c>
      <c r="N3593" t="s">
        <v>72</v>
      </c>
      <c r="O3593">
        <v>2025</v>
      </c>
    </row>
    <row r="3594" spans="1:15" x14ac:dyDescent="0.3">
      <c r="A3594" t="s">
        <v>3679</v>
      </c>
      <c r="B3594" t="s">
        <v>29</v>
      </c>
      <c r="C3594" t="s">
        <v>54</v>
      </c>
      <c r="D3594" t="s">
        <v>55</v>
      </c>
      <c r="E3594" t="s">
        <v>81</v>
      </c>
      <c r="F3594" s="1">
        <v>45391</v>
      </c>
      <c r="G3594">
        <v>10</v>
      </c>
      <c r="H3594">
        <v>1146.0999999999999</v>
      </c>
      <c r="I3594">
        <v>20</v>
      </c>
      <c r="J3594" t="s">
        <v>20</v>
      </c>
      <c r="K3594">
        <v>2292.1999999999998</v>
      </c>
      <c r="L3594">
        <v>11461</v>
      </c>
      <c r="M3594">
        <v>9168.7999999999993</v>
      </c>
      <c r="N3594" t="s">
        <v>27</v>
      </c>
      <c r="O3594">
        <v>2024</v>
      </c>
    </row>
    <row r="3595" spans="1:15" x14ac:dyDescent="0.3">
      <c r="A3595" t="s">
        <v>3680</v>
      </c>
      <c r="B3595" t="s">
        <v>65</v>
      </c>
      <c r="C3595" t="s">
        <v>54</v>
      </c>
      <c r="D3595" t="s">
        <v>70</v>
      </c>
      <c r="E3595" t="s">
        <v>30</v>
      </c>
      <c r="F3595" s="1">
        <v>45348</v>
      </c>
      <c r="G3595">
        <v>4</v>
      </c>
      <c r="H3595">
        <v>2850.32</v>
      </c>
      <c r="I3595">
        <v>0</v>
      </c>
      <c r="J3595" t="s">
        <v>26</v>
      </c>
      <c r="K3595">
        <v>0</v>
      </c>
      <c r="L3595">
        <v>11401.28</v>
      </c>
      <c r="M3595">
        <v>11401.28</v>
      </c>
      <c r="N3595" t="s">
        <v>41</v>
      </c>
      <c r="O3595">
        <v>2024</v>
      </c>
    </row>
    <row r="3596" spans="1:15" x14ac:dyDescent="0.3">
      <c r="A3596" t="s">
        <v>3681</v>
      </c>
      <c r="B3596" t="s">
        <v>29</v>
      </c>
      <c r="C3596" t="s">
        <v>62</v>
      </c>
      <c r="D3596" t="s">
        <v>99</v>
      </c>
      <c r="E3596" t="s">
        <v>19</v>
      </c>
      <c r="F3596" s="1">
        <v>46012</v>
      </c>
      <c r="G3596">
        <v>10</v>
      </c>
      <c r="H3596">
        <v>1890.09</v>
      </c>
      <c r="I3596">
        <v>5</v>
      </c>
      <c r="J3596" t="s">
        <v>36</v>
      </c>
      <c r="K3596">
        <v>945.05</v>
      </c>
      <c r="L3596">
        <v>18900.900000000001</v>
      </c>
      <c r="M3596">
        <v>17955.849999999999</v>
      </c>
      <c r="N3596" t="s">
        <v>51</v>
      </c>
      <c r="O3596">
        <v>2025</v>
      </c>
    </row>
    <row r="3597" spans="1:15" x14ac:dyDescent="0.3">
      <c r="A3597" t="s">
        <v>3682</v>
      </c>
      <c r="B3597" t="s">
        <v>47</v>
      </c>
      <c r="C3597" t="s">
        <v>62</v>
      </c>
      <c r="D3597" t="s">
        <v>63</v>
      </c>
      <c r="E3597" t="s">
        <v>30</v>
      </c>
      <c r="F3597" s="1">
        <v>45880</v>
      </c>
      <c r="G3597">
        <v>8</v>
      </c>
      <c r="H3597">
        <v>1955.05</v>
      </c>
      <c r="I3597">
        <v>5</v>
      </c>
      <c r="J3597" t="s">
        <v>45</v>
      </c>
      <c r="K3597">
        <v>782.02</v>
      </c>
      <c r="L3597">
        <v>15640.4</v>
      </c>
      <c r="M3597">
        <v>14858.38</v>
      </c>
      <c r="N3597" t="s">
        <v>21</v>
      </c>
      <c r="O3597">
        <v>2025</v>
      </c>
    </row>
    <row r="3598" spans="1:15" x14ac:dyDescent="0.3">
      <c r="A3598" t="s">
        <v>3683</v>
      </c>
      <c r="B3598" t="s">
        <v>16</v>
      </c>
      <c r="C3598" t="s">
        <v>17</v>
      </c>
      <c r="D3598" t="s">
        <v>24</v>
      </c>
      <c r="E3598" t="s">
        <v>25</v>
      </c>
      <c r="F3598" s="1">
        <v>45356</v>
      </c>
      <c r="G3598">
        <v>9</v>
      </c>
      <c r="H3598">
        <v>2935.8</v>
      </c>
      <c r="I3598">
        <v>15</v>
      </c>
      <c r="J3598" t="s">
        <v>36</v>
      </c>
      <c r="K3598">
        <v>3963.33</v>
      </c>
      <c r="L3598">
        <v>26422.2</v>
      </c>
      <c r="M3598">
        <v>22458.87</v>
      </c>
      <c r="N3598" t="s">
        <v>83</v>
      </c>
      <c r="O3598">
        <v>2024</v>
      </c>
    </row>
    <row r="3599" spans="1:15" x14ac:dyDescent="0.3">
      <c r="A3599" t="s">
        <v>3684</v>
      </c>
      <c r="B3599" t="s">
        <v>47</v>
      </c>
      <c r="C3599" t="s">
        <v>34</v>
      </c>
      <c r="D3599" t="s">
        <v>48</v>
      </c>
      <c r="E3599" t="s">
        <v>25</v>
      </c>
      <c r="F3599" s="1">
        <v>45703</v>
      </c>
      <c r="G3599">
        <v>2</v>
      </c>
      <c r="H3599">
        <v>7593.28</v>
      </c>
      <c r="I3599">
        <v>0</v>
      </c>
      <c r="J3599" t="s">
        <v>40</v>
      </c>
      <c r="K3599">
        <v>0</v>
      </c>
      <c r="L3599">
        <v>15186.56</v>
      </c>
      <c r="M3599">
        <v>15186.56</v>
      </c>
      <c r="N3599" t="s">
        <v>41</v>
      </c>
      <c r="O3599">
        <v>2025</v>
      </c>
    </row>
    <row r="3600" spans="1:15" x14ac:dyDescent="0.3">
      <c r="A3600" t="s">
        <v>3685</v>
      </c>
      <c r="B3600" t="s">
        <v>33</v>
      </c>
      <c r="C3600" t="s">
        <v>62</v>
      </c>
      <c r="D3600" t="s">
        <v>119</v>
      </c>
      <c r="E3600" t="s">
        <v>50</v>
      </c>
      <c r="F3600" s="1">
        <v>45356</v>
      </c>
      <c r="G3600">
        <v>6</v>
      </c>
      <c r="H3600">
        <v>3345.52</v>
      </c>
      <c r="I3600">
        <v>5</v>
      </c>
      <c r="J3600" t="s">
        <v>26</v>
      </c>
      <c r="K3600">
        <v>1003.66</v>
      </c>
      <c r="L3600">
        <v>20073.12</v>
      </c>
      <c r="M3600">
        <v>19069.46</v>
      </c>
      <c r="N3600" t="s">
        <v>83</v>
      </c>
      <c r="O3600">
        <v>2024</v>
      </c>
    </row>
    <row r="3601" spans="1:15" x14ac:dyDescent="0.3">
      <c r="A3601" t="s">
        <v>3686</v>
      </c>
      <c r="B3601" t="s">
        <v>43</v>
      </c>
      <c r="C3601" t="s">
        <v>17</v>
      </c>
      <c r="D3601" t="s">
        <v>39</v>
      </c>
      <c r="E3601" t="s">
        <v>25</v>
      </c>
      <c r="F3601" s="1">
        <v>45743</v>
      </c>
      <c r="G3601">
        <v>9</v>
      </c>
      <c r="H3601">
        <v>16595.78</v>
      </c>
      <c r="I3601">
        <v>0</v>
      </c>
      <c r="J3601" t="s">
        <v>71</v>
      </c>
      <c r="K3601">
        <v>0</v>
      </c>
      <c r="L3601">
        <v>149362.01999999999</v>
      </c>
      <c r="M3601">
        <v>149362.01999999999</v>
      </c>
      <c r="N3601" t="s">
        <v>83</v>
      </c>
      <c r="O3601">
        <v>2025</v>
      </c>
    </row>
    <row r="3602" spans="1:15" x14ac:dyDescent="0.3">
      <c r="A3602" t="s">
        <v>3687</v>
      </c>
      <c r="B3602" t="s">
        <v>114</v>
      </c>
      <c r="C3602" t="s">
        <v>17</v>
      </c>
      <c r="D3602" t="s">
        <v>24</v>
      </c>
      <c r="E3602" t="s">
        <v>30</v>
      </c>
      <c r="F3602" s="1">
        <v>45661</v>
      </c>
      <c r="G3602">
        <v>10</v>
      </c>
      <c r="H3602">
        <v>3111.77</v>
      </c>
      <c r="I3602">
        <v>10</v>
      </c>
      <c r="J3602" t="s">
        <v>31</v>
      </c>
      <c r="K3602">
        <v>3111.77</v>
      </c>
      <c r="L3602">
        <v>31117.7</v>
      </c>
      <c r="M3602">
        <v>28005.93</v>
      </c>
      <c r="N3602" t="s">
        <v>116</v>
      </c>
      <c r="O3602">
        <v>2025</v>
      </c>
    </row>
    <row r="3603" spans="1:15" x14ac:dyDescent="0.3">
      <c r="A3603" t="s">
        <v>3688</v>
      </c>
      <c r="B3603" t="s">
        <v>23</v>
      </c>
      <c r="C3603" t="s">
        <v>62</v>
      </c>
      <c r="D3603" t="s">
        <v>99</v>
      </c>
      <c r="E3603" t="s">
        <v>30</v>
      </c>
      <c r="F3603" s="1">
        <v>45535</v>
      </c>
      <c r="G3603">
        <v>5</v>
      </c>
      <c r="H3603">
        <v>1472.08</v>
      </c>
      <c r="I3603">
        <v>10</v>
      </c>
      <c r="J3603" t="s">
        <v>31</v>
      </c>
      <c r="K3603">
        <v>736.04</v>
      </c>
      <c r="L3603">
        <v>7360.4</v>
      </c>
      <c r="M3603">
        <v>6624.36</v>
      </c>
      <c r="N3603" t="s">
        <v>21</v>
      </c>
      <c r="O3603">
        <v>2024</v>
      </c>
    </row>
    <row r="3604" spans="1:15" x14ac:dyDescent="0.3">
      <c r="A3604" t="s">
        <v>3689</v>
      </c>
      <c r="B3604" t="s">
        <v>16</v>
      </c>
      <c r="C3604" t="s">
        <v>17</v>
      </c>
      <c r="D3604" t="s">
        <v>24</v>
      </c>
      <c r="E3604" t="s">
        <v>50</v>
      </c>
      <c r="F3604" s="1">
        <v>45436</v>
      </c>
      <c r="G3604">
        <v>7</v>
      </c>
      <c r="H3604">
        <v>3404.07</v>
      </c>
      <c r="I3604">
        <v>20</v>
      </c>
      <c r="J3604" t="s">
        <v>82</v>
      </c>
      <c r="K3604">
        <v>4765.7</v>
      </c>
      <c r="L3604">
        <v>23828.49</v>
      </c>
      <c r="M3604">
        <v>19062.79</v>
      </c>
      <c r="N3604" t="s">
        <v>101</v>
      </c>
      <c r="O3604">
        <v>2024</v>
      </c>
    </row>
    <row r="3605" spans="1:15" x14ac:dyDescent="0.3">
      <c r="A3605" t="s">
        <v>3690</v>
      </c>
      <c r="B3605" t="s">
        <v>53</v>
      </c>
      <c r="C3605" t="s">
        <v>62</v>
      </c>
      <c r="D3605" t="s">
        <v>119</v>
      </c>
      <c r="E3605" t="s">
        <v>25</v>
      </c>
      <c r="F3605" s="1">
        <v>45606</v>
      </c>
      <c r="G3605">
        <v>2</v>
      </c>
      <c r="H3605">
        <v>4364.88</v>
      </c>
      <c r="I3605">
        <v>0</v>
      </c>
      <c r="J3605" t="s">
        <v>31</v>
      </c>
      <c r="K3605">
        <v>0</v>
      </c>
      <c r="L3605">
        <v>8729.76</v>
      </c>
      <c r="M3605">
        <v>8729.76</v>
      </c>
      <c r="N3605" t="s">
        <v>96</v>
      </c>
      <c r="O3605">
        <v>2024</v>
      </c>
    </row>
    <row r="3606" spans="1:15" x14ac:dyDescent="0.3">
      <c r="A3606" t="s">
        <v>3691</v>
      </c>
      <c r="B3606" t="s">
        <v>47</v>
      </c>
      <c r="C3606" t="s">
        <v>17</v>
      </c>
      <c r="D3606" t="s">
        <v>157</v>
      </c>
      <c r="E3606" t="s">
        <v>30</v>
      </c>
      <c r="F3606" s="1">
        <v>45948</v>
      </c>
      <c r="G3606">
        <v>7</v>
      </c>
      <c r="H3606">
        <v>8258.2900000000009</v>
      </c>
      <c r="I3606">
        <v>0</v>
      </c>
      <c r="J3606" t="s">
        <v>31</v>
      </c>
      <c r="K3606">
        <v>0</v>
      </c>
      <c r="L3606">
        <v>57808.03</v>
      </c>
      <c r="M3606">
        <v>57808.03</v>
      </c>
      <c r="N3606" t="s">
        <v>57</v>
      </c>
      <c r="O3606">
        <v>2025</v>
      </c>
    </row>
    <row r="3607" spans="1:15" x14ac:dyDescent="0.3">
      <c r="A3607" t="s">
        <v>3692</v>
      </c>
      <c r="B3607" t="s">
        <v>114</v>
      </c>
      <c r="C3607" t="s">
        <v>17</v>
      </c>
      <c r="D3607" t="s">
        <v>18</v>
      </c>
      <c r="E3607" t="s">
        <v>44</v>
      </c>
      <c r="F3607" s="1">
        <v>45455</v>
      </c>
      <c r="G3607">
        <v>5</v>
      </c>
      <c r="H3607">
        <v>60677.46</v>
      </c>
      <c r="I3607">
        <v>0</v>
      </c>
      <c r="J3607" t="s">
        <v>36</v>
      </c>
      <c r="K3607">
        <v>0</v>
      </c>
      <c r="L3607">
        <v>303387.3</v>
      </c>
      <c r="M3607">
        <v>303387.3</v>
      </c>
      <c r="N3607" t="s">
        <v>72</v>
      </c>
      <c r="O3607">
        <v>2024</v>
      </c>
    </row>
    <row r="3608" spans="1:15" x14ac:dyDescent="0.3">
      <c r="A3608" t="s">
        <v>3693</v>
      </c>
      <c r="B3608" t="s">
        <v>53</v>
      </c>
      <c r="C3608" t="s">
        <v>90</v>
      </c>
      <c r="D3608" t="s">
        <v>91</v>
      </c>
      <c r="E3608" t="s">
        <v>56</v>
      </c>
      <c r="F3608" s="1">
        <v>45447</v>
      </c>
      <c r="G3608">
        <v>2</v>
      </c>
      <c r="H3608">
        <v>1587.31</v>
      </c>
      <c r="I3608">
        <v>15</v>
      </c>
      <c r="J3608" t="s">
        <v>36</v>
      </c>
      <c r="K3608">
        <v>476.19</v>
      </c>
      <c r="L3608">
        <v>3174.62</v>
      </c>
      <c r="M3608">
        <v>2698.43</v>
      </c>
      <c r="N3608" t="s">
        <v>72</v>
      </c>
      <c r="O3608">
        <v>2024</v>
      </c>
    </row>
    <row r="3609" spans="1:15" x14ac:dyDescent="0.3">
      <c r="A3609" t="s">
        <v>3694</v>
      </c>
      <c r="B3609" t="s">
        <v>53</v>
      </c>
      <c r="C3609" t="s">
        <v>62</v>
      </c>
      <c r="D3609" t="s">
        <v>99</v>
      </c>
      <c r="E3609" t="s">
        <v>30</v>
      </c>
      <c r="F3609" s="1">
        <v>45925</v>
      </c>
      <c r="G3609">
        <v>10</v>
      </c>
      <c r="H3609">
        <v>1642.16</v>
      </c>
      <c r="I3609">
        <v>5</v>
      </c>
      <c r="J3609" t="s">
        <v>31</v>
      </c>
      <c r="K3609">
        <v>821.08</v>
      </c>
      <c r="L3609">
        <v>16421.599999999999</v>
      </c>
      <c r="M3609">
        <v>15600.52</v>
      </c>
      <c r="N3609" t="s">
        <v>86</v>
      </c>
      <c r="O3609">
        <v>2025</v>
      </c>
    </row>
    <row r="3610" spans="1:15" x14ac:dyDescent="0.3">
      <c r="A3610" t="s">
        <v>3695</v>
      </c>
      <c r="B3610" t="s">
        <v>29</v>
      </c>
      <c r="C3610" t="s">
        <v>17</v>
      </c>
      <c r="D3610" t="s">
        <v>24</v>
      </c>
      <c r="E3610" t="s">
        <v>30</v>
      </c>
      <c r="F3610" s="1">
        <v>45800</v>
      </c>
      <c r="G3610">
        <v>10</v>
      </c>
      <c r="H3610">
        <v>3299.72</v>
      </c>
      <c r="I3610">
        <v>0</v>
      </c>
      <c r="J3610" t="s">
        <v>40</v>
      </c>
      <c r="K3610">
        <v>0</v>
      </c>
      <c r="L3610">
        <v>32997.199999999997</v>
      </c>
      <c r="M3610">
        <v>32997.199999999997</v>
      </c>
      <c r="N3610" t="s">
        <v>101</v>
      </c>
      <c r="O3610">
        <v>2025</v>
      </c>
    </row>
    <row r="3611" spans="1:15" x14ac:dyDescent="0.3">
      <c r="A3611" t="s">
        <v>3696</v>
      </c>
      <c r="B3611" t="s">
        <v>33</v>
      </c>
      <c r="C3611" t="s">
        <v>17</v>
      </c>
      <c r="D3611" t="s">
        <v>18</v>
      </c>
      <c r="E3611" t="s">
        <v>81</v>
      </c>
      <c r="F3611" s="1">
        <v>45434</v>
      </c>
      <c r="G3611">
        <v>6</v>
      </c>
      <c r="H3611">
        <v>66499.5</v>
      </c>
      <c r="I3611">
        <v>5</v>
      </c>
      <c r="J3611" t="s">
        <v>20</v>
      </c>
      <c r="K3611">
        <v>19949.849999999999</v>
      </c>
      <c r="L3611">
        <v>398997</v>
      </c>
      <c r="M3611">
        <v>379047.15</v>
      </c>
      <c r="N3611" t="s">
        <v>101</v>
      </c>
      <c r="O3611">
        <v>2024</v>
      </c>
    </row>
    <row r="3612" spans="1:15" x14ac:dyDescent="0.3">
      <c r="A3612" t="s">
        <v>3697</v>
      </c>
      <c r="B3612" t="s">
        <v>109</v>
      </c>
      <c r="C3612" t="s">
        <v>54</v>
      </c>
      <c r="D3612" t="s">
        <v>68</v>
      </c>
      <c r="E3612" t="s">
        <v>30</v>
      </c>
      <c r="F3612" s="1">
        <v>45453</v>
      </c>
      <c r="G3612">
        <v>3</v>
      </c>
      <c r="H3612">
        <v>4084.32</v>
      </c>
      <c r="I3612">
        <v>15</v>
      </c>
      <c r="J3612" t="s">
        <v>20</v>
      </c>
      <c r="K3612">
        <v>1837.94</v>
      </c>
      <c r="L3612">
        <v>12252.96</v>
      </c>
      <c r="M3612">
        <v>10415.02</v>
      </c>
      <c r="N3612" t="s">
        <v>72</v>
      </c>
      <c r="O3612">
        <v>2024</v>
      </c>
    </row>
    <row r="3613" spans="1:15" x14ac:dyDescent="0.3">
      <c r="A3613" t="s">
        <v>3698</v>
      </c>
      <c r="B3613" t="s">
        <v>33</v>
      </c>
      <c r="C3613" t="s">
        <v>62</v>
      </c>
      <c r="D3613" t="s">
        <v>132</v>
      </c>
      <c r="E3613" t="s">
        <v>81</v>
      </c>
      <c r="F3613" s="1">
        <v>45423</v>
      </c>
      <c r="G3613">
        <v>5</v>
      </c>
      <c r="H3613">
        <v>2753.16</v>
      </c>
      <c r="I3613">
        <v>20</v>
      </c>
      <c r="J3613" t="s">
        <v>71</v>
      </c>
      <c r="K3613">
        <v>2753.16</v>
      </c>
      <c r="L3613">
        <v>13765.8</v>
      </c>
      <c r="M3613">
        <v>11012.64</v>
      </c>
      <c r="N3613" t="s">
        <v>101</v>
      </c>
      <c r="O3613">
        <v>2024</v>
      </c>
    </row>
    <row r="3614" spans="1:15" x14ac:dyDescent="0.3">
      <c r="A3614" t="s">
        <v>3699</v>
      </c>
      <c r="B3614" t="s">
        <v>53</v>
      </c>
      <c r="C3614" t="s">
        <v>90</v>
      </c>
      <c r="D3614" t="s">
        <v>105</v>
      </c>
      <c r="E3614" t="s">
        <v>81</v>
      </c>
      <c r="F3614" s="1">
        <v>45382</v>
      </c>
      <c r="G3614">
        <v>5</v>
      </c>
      <c r="H3614">
        <v>3442.84</v>
      </c>
      <c r="I3614">
        <v>0</v>
      </c>
      <c r="J3614" t="s">
        <v>45</v>
      </c>
      <c r="K3614">
        <v>0</v>
      </c>
      <c r="L3614">
        <v>17214.2</v>
      </c>
      <c r="M3614">
        <v>17214.2</v>
      </c>
      <c r="N3614" t="s">
        <v>83</v>
      </c>
      <c r="O3614">
        <v>2024</v>
      </c>
    </row>
    <row r="3615" spans="1:15" x14ac:dyDescent="0.3">
      <c r="A3615" t="s">
        <v>3700</v>
      </c>
      <c r="B3615" t="s">
        <v>114</v>
      </c>
      <c r="C3615" t="s">
        <v>62</v>
      </c>
      <c r="D3615" t="s">
        <v>132</v>
      </c>
      <c r="E3615" t="s">
        <v>44</v>
      </c>
      <c r="F3615" s="1">
        <v>46015</v>
      </c>
      <c r="G3615">
        <v>3</v>
      </c>
      <c r="H3615">
        <v>3103.05</v>
      </c>
      <c r="I3615">
        <v>20</v>
      </c>
      <c r="J3615" t="s">
        <v>26</v>
      </c>
      <c r="K3615">
        <v>1861.83</v>
      </c>
      <c r="L3615">
        <v>9309.15</v>
      </c>
      <c r="M3615">
        <v>7447.32</v>
      </c>
      <c r="N3615" t="s">
        <v>51</v>
      </c>
      <c r="O3615">
        <v>2025</v>
      </c>
    </row>
    <row r="3616" spans="1:15" x14ac:dyDescent="0.3">
      <c r="A3616" t="s">
        <v>3701</v>
      </c>
      <c r="B3616" t="s">
        <v>74</v>
      </c>
      <c r="C3616" t="s">
        <v>90</v>
      </c>
      <c r="D3616" t="s">
        <v>105</v>
      </c>
      <c r="E3616" t="s">
        <v>56</v>
      </c>
      <c r="F3616" s="1">
        <v>45586</v>
      </c>
      <c r="G3616">
        <v>9</v>
      </c>
      <c r="H3616">
        <v>3492.6</v>
      </c>
      <c r="I3616">
        <v>5</v>
      </c>
      <c r="J3616" t="s">
        <v>26</v>
      </c>
      <c r="K3616">
        <v>1571.67</v>
      </c>
      <c r="L3616">
        <v>31433.4</v>
      </c>
      <c r="M3616">
        <v>29861.73</v>
      </c>
      <c r="N3616" t="s">
        <v>57</v>
      </c>
      <c r="O3616">
        <v>2024</v>
      </c>
    </row>
    <row r="3617" spans="1:15" x14ac:dyDescent="0.3">
      <c r="A3617" t="s">
        <v>3702</v>
      </c>
      <c r="B3617" t="s">
        <v>23</v>
      </c>
      <c r="C3617" t="s">
        <v>62</v>
      </c>
      <c r="D3617" t="s">
        <v>95</v>
      </c>
      <c r="E3617" t="s">
        <v>44</v>
      </c>
      <c r="F3617" s="1">
        <v>45599</v>
      </c>
      <c r="G3617">
        <v>8</v>
      </c>
      <c r="H3617">
        <v>849.97</v>
      </c>
      <c r="I3617">
        <v>15</v>
      </c>
      <c r="J3617" t="s">
        <v>45</v>
      </c>
      <c r="K3617">
        <v>1019.96</v>
      </c>
      <c r="L3617">
        <v>6799.76</v>
      </c>
      <c r="M3617">
        <v>5779.8</v>
      </c>
      <c r="N3617" t="s">
        <v>96</v>
      </c>
      <c r="O3617">
        <v>2024</v>
      </c>
    </row>
    <row r="3618" spans="1:15" x14ac:dyDescent="0.3">
      <c r="A3618" t="s">
        <v>3703</v>
      </c>
      <c r="B3618" t="s">
        <v>109</v>
      </c>
      <c r="C3618" t="s">
        <v>54</v>
      </c>
      <c r="D3618" t="s">
        <v>137</v>
      </c>
      <c r="E3618" t="s">
        <v>30</v>
      </c>
      <c r="F3618" s="1">
        <v>45555</v>
      </c>
      <c r="G3618">
        <v>2</v>
      </c>
      <c r="H3618">
        <v>952.78</v>
      </c>
      <c r="I3618">
        <v>20</v>
      </c>
      <c r="J3618" t="s">
        <v>26</v>
      </c>
      <c r="K3618">
        <v>381.11</v>
      </c>
      <c r="L3618">
        <v>1905.56</v>
      </c>
      <c r="M3618">
        <v>1524.45</v>
      </c>
      <c r="N3618" t="s">
        <v>86</v>
      </c>
      <c r="O3618">
        <v>2024</v>
      </c>
    </row>
    <row r="3619" spans="1:15" x14ac:dyDescent="0.3">
      <c r="A3619" t="s">
        <v>3704</v>
      </c>
      <c r="B3619" t="s">
        <v>23</v>
      </c>
      <c r="C3619" t="s">
        <v>54</v>
      </c>
      <c r="D3619" t="s">
        <v>137</v>
      </c>
      <c r="E3619" t="s">
        <v>56</v>
      </c>
      <c r="F3619" s="1">
        <v>45501</v>
      </c>
      <c r="G3619">
        <v>1</v>
      </c>
      <c r="H3619">
        <v>831.1</v>
      </c>
      <c r="I3619">
        <v>15</v>
      </c>
      <c r="J3619" t="s">
        <v>40</v>
      </c>
      <c r="K3619">
        <v>124.66</v>
      </c>
      <c r="L3619">
        <v>831.1</v>
      </c>
      <c r="M3619">
        <v>706.44</v>
      </c>
      <c r="N3619" t="s">
        <v>122</v>
      </c>
      <c r="O3619">
        <v>2024</v>
      </c>
    </row>
    <row r="3620" spans="1:15" x14ac:dyDescent="0.3">
      <c r="A3620" t="s">
        <v>3705</v>
      </c>
      <c r="B3620" t="s">
        <v>23</v>
      </c>
      <c r="C3620" t="s">
        <v>62</v>
      </c>
      <c r="D3620" t="s">
        <v>119</v>
      </c>
      <c r="E3620" t="s">
        <v>44</v>
      </c>
      <c r="F3620" s="1">
        <v>45517</v>
      </c>
      <c r="G3620">
        <v>9</v>
      </c>
      <c r="H3620">
        <v>3639.01</v>
      </c>
      <c r="I3620">
        <v>20</v>
      </c>
      <c r="J3620" t="s">
        <v>36</v>
      </c>
      <c r="K3620">
        <v>6550.22</v>
      </c>
      <c r="L3620">
        <v>32751.09</v>
      </c>
      <c r="M3620">
        <v>26200.87</v>
      </c>
      <c r="N3620" t="s">
        <v>21</v>
      </c>
      <c r="O3620">
        <v>2024</v>
      </c>
    </row>
    <row r="3621" spans="1:15" x14ac:dyDescent="0.3">
      <c r="A3621" t="s">
        <v>3706</v>
      </c>
      <c r="B3621" t="s">
        <v>89</v>
      </c>
      <c r="C3621" t="s">
        <v>54</v>
      </c>
      <c r="D3621" t="s">
        <v>77</v>
      </c>
      <c r="E3621" t="s">
        <v>30</v>
      </c>
      <c r="F3621" s="1">
        <v>45647</v>
      </c>
      <c r="G3621">
        <v>7</v>
      </c>
      <c r="H3621">
        <v>5908.73</v>
      </c>
      <c r="I3621">
        <v>20</v>
      </c>
      <c r="J3621" t="s">
        <v>31</v>
      </c>
      <c r="K3621">
        <v>8272.2199999999993</v>
      </c>
      <c r="L3621">
        <v>41361.11</v>
      </c>
      <c r="M3621">
        <v>33088.89</v>
      </c>
      <c r="N3621" t="s">
        <v>51</v>
      </c>
      <c r="O3621">
        <v>2024</v>
      </c>
    </row>
    <row r="3622" spans="1:15" x14ac:dyDescent="0.3">
      <c r="A3622" t="s">
        <v>3707</v>
      </c>
      <c r="B3622" t="s">
        <v>47</v>
      </c>
      <c r="C3622" t="s">
        <v>54</v>
      </c>
      <c r="D3622" t="s">
        <v>55</v>
      </c>
      <c r="E3622" t="s">
        <v>50</v>
      </c>
      <c r="F3622" s="1">
        <v>45966</v>
      </c>
      <c r="G3622">
        <v>1</v>
      </c>
      <c r="H3622">
        <v>1325.51</v>
      </c>
      <c r="I3622">
        <v>5</v>
      </c>
      <c r="J3622" t="s">
        <v>31</v>
      </c>
      <c r="K3622">
        <v>66.28</v>
      </c>
      <c r="L3622">
        <v>1325.51</v>
      </c>
      <c r="M3622">
        <v>1259.23</v>
      </c>
      <c r="N3622" t="s">
        <v>96</v>
      </c>
      <c r="O3622">
        <v>2025</v>
      </c>
    </row>
    <row r="3623" spans="1:15" x14ac:dyDescent="0.3">
      <c r="A3623" t="s">
        <v>3708</v>
      </c>
      <c r="B3623" t="s">
        <v>109</v>
      </c>
      <c r="C3623" t="s">
        <v>34</v>
      </c>
      <c r="D3623" t="s">
        <v>66</v>
      </c>
      <c r="E3623" t="s">
        <v>25</v>
      </c>
      <c r="F3623" s="1">
        <v>45490</v>
      </c>
      <c r="G3623">
        <v>9</v>
      </c>
      <c r="H3623">
        <v>39821.910000000003</v>
      </c>
      <c r="I3623">
        <v>10</v>
      </c>
      <c r="J3623" t="s">
        <v>82</v>
      </c>
      <c r="K3623">
        <v>35839.72</v>
      </c>
      <c r="L3623">
        <v>358397.19</v>
      </c>
      <c r="M3623">
        <v>322557.46999999997</v>
      </c>
      <c r="N3623" t="s">
        <v>122</v>
      </c>
      <c r="O3623">
        <v>2024</v>
      </c>
    </row>
    <row r="3624" spans="1:15" x14ac:dyDescent="0.3">
      <c r="A3624" t="s">
        <v>3709</v>
      </c>
      <c r="B3624" t="s">
        <v>43</v>
      </c>
      <c r="C3624" t="s">
        <v>90</v>
      </c>
      <c r="D3624" t="s">
        <v>91</v>
      </c>
      <c r="E3624" t="s">
        <v>30</v>
      </c>
      <c r="F3624" s="1">
        <v>45373</v>
      </c>
      <c r="G3624">
        <v>10</v>
      </c>
      <c r="H3624">
        <v>1580.77</v>
      </c>
      <c r="I3624">
        <v>5</v>
      </c>
      <c r="J3624" t="s">
        <v>71</v>
      </c>
      <c r="K3624">
        <v>790.39</v>
      </c>
      <c r="L3624">
        <v>15807.7</v>
      </c>
      <c r="M3624">
        <v>15017.31</v>
      </c>
      <c r="N3624" t="s">
        <v>83</v>
      </c>
      <c r="O3624">
        <v>2024</v>
      </c>
    </row>
    <row r="3625" spans="1:15" x14ac:dyDescent="0.3">
      <c r="A3625" t="s">
        <v>3710</v>
      </c>
      <c r="B3625" t="s">
        <v>29</v>
      </c>
      <c r="C3625" t="s">
        <v>54</v>
      </c>
      <c r="D3625" t="s">
        <v>70</v>
      </c>
      <c r="E3625" t="s">
        <v>19</v>
      </c>
      <c r="F3625" s="1">
        <v>45554</v>
      </c>
      <c r="G3625">
        <v>9</v>
      </c>
      <c r="H3625">
        <v>2616.79</v>
      </c>
      <c r="I3625">
        <v>10</v>
      </c>
      <c r="J3625" t="s">
        <v>82</v>
      </c>
      <c r="K3625">
        <v>2355.11</v>
      </c>
      <c r="L3625">
        <v>23551.11</v>
      </c>
      <c r="M3625">
        <v>21196</v>
      </c>
      <c r="N3625" t="s">
        <v>86</v>
      </c>
      <c r="O3625">
        <v>2024</v>
      </c>
    </row>
    <row r="3626" spans="1:15" x14ac:dyDescent="0.3">
      <c r="A3626" t="s">
        <v>3711</v>
      </c>
      <c r="B3626" t="s">
        <v>53</v>
      </c>
      <c r="C3626" t="s">
        <v>34</v>
      </c>
      <c r="D3626" t="s">
        <v>66</v>
      </c>
      <c r="E3626" t="s">
        <v>30</v>
      </c>
      <c r="F3626" s="1">
        <v>45607</v>
      </c>
      <c r="G3626">
        <v>2</v>
      </c>
      <c r="H3626">
        <v>46080.33</v>
      </c>
      <c r="I3626">
        <v>0</v>
      </c>
      <c r="J3626" t="s">
        <v>40</v>
      </c>
      <c r="K3626">
        <v>0</v>
      </c>
      <c r="L3626">
        <v>92160.66</v>
      </c>
      <c r="M3626">
        <v>92160.66</v>
      </c>
      <c r="N3626" t="s">
        <v>96</v>
      </c>
      <c r="O3626">
        <v>2024</v>
      </c>
    </row>
    <row r="3627" spans="1:15" x14ac:dyDescent="0.3">
      <c r="A3627" t="s">
        <v>3712</v>
      </c>
      <c r="B3627" t="s">
        <v>74</v>
      </c>
      <c r="C3627" t="s">
        <v>62</v>
      </c>
      <c r="D3627" t="s">
        <v>99</v>
      </c>
      <c r="E3627" t="s">
        <v>81</v>
      </c>
      <c r="F3627" s="1">
        <v>45662</v>
      </c>
      <c r="G3627">
        <v>4</v>
      </c>
      <c r="H3627">
        <v>1465.36</v>
      </c>
      <c r="I3627">
        <v>5</v>
      </c>
      <c r="J3627" t="s">
        <v>26</v>
      </c>
      <c r="K3627">
        <v>293.07</v>
      </c>
      <c r="L3627">
        <v>5861.44</v>
      </c>
      <c r="M3627">
        <v>5568.37</v>
      </c>
      <c r="N3627" t="s">
        <v>116</v>
      </c>
      <c r="O3627">
        <v>2025</v>
      </c>
    </row>
    <row r="3628" spans="1:15" x14ac:dyDescent="0.3">
      <c r="A3628" t="s">
        <v>3713</v>
      </c>
      <c r="B3628" t="s">
        <v>93</v>
      </c>
      <c r="C3628" t="s">
        <v>54</v>
      </c>
      <c r="D3628" t="s">
        <v>55</v>
      </c>
      <c r="E3628" t="s">
        <v>19</v>
      </c>
      <c r="F3628" s="1">
        <v>45710</v>
      </c>
      <c r="G3628">
        <v>8</v>
      </c>
      <c r="H3628">
        <v>1144.52</v>
      </c>
      <c r="I3628">
        <v>0</v>
      </c>
      <c r="J3628" t="s">
        <v>82</v>
      </c>
      <c r="K3628">
        <v>0</v>
      </c>
      <c r="L3628">
        <v>9156.16</v>
      </c>
      <c r="M3628">
        <v>9156.16</v>
      </c>
      <c r="N3628" t="s">
        <v>41</v>
      </c>
      <c r="O3628">
        <v>2025</v>
      </c>
    </row>
    <row r="3629" spans="1:15" x14ac:dyDescent="0.3">
      <c r="A3629" t="s">
        <v>3714</v>
      </c>
      <c r="B3629" t="s">
        <v>16</v>
      </c>
      <c r="C3629" t="s">
        <v>54</v>
      </c>
      <c r="D3629" t="s">
        <v>137</v>
      </c>
      <c r="E3629" t="s">
        <v>50</v>
      </c>
      <c r="F3629" s="1">
        <v>45965</v>
      </c>
      <c r="G3629">
        <v>7</v>
      </c>
      <c r="H3629">
        <v>1013.12</v>
      </c>
      <c r="I3629">
        <v>20</v>
      </c>
      <c r="J3629" t="s">
        <v>36</v>
      </c>
      <c r="K3629">
        <v>1418.37</v>
      </c>
      <c r="L3629">
        <v>7091.84</v>
      </c>
      <c r="M3629">
        <v>5673.47</v>
      </c>
      <c r="N3629" t="s">
        <v>96</v>
      </c>
      <c r="O3629">
        <v>2025</v>
      </c>
    </row>
    <row r="3630" spans="1:15" x14ac:dyDescent="0.3">
      <c r="A3630" t="s">
        <v>3715</v>
      </c>
      <c r="B3630" t="s">
        <v>74</v>
      </c>
      <c r="C3630" t="s">
        <v>62</v>
      </c>
      <c r="D3630" t="s">
        <v>132</v>
      </c>
      <c r="E3630" t="s">
        <v>81</v>
      </c>
      <c r="F3630" s="1">
        <v>45933</v>
      </c>
      <c r="G3630">
        <v>9</v>
      </c>
      <c r="H3630">
        <v>2989.4</v>
      </c>
      <c r="I3630">
        <v>15</v>
      </c>
      <c r="J3630" t="s">
        <v>31</v>
      </c>
      <c r="K3630">
        <v>4035.69</v>
      </c>
      <c r="L3630">
        <v>26904.6</v>
      </c>
      <c r="M3630">
        <v>22868.91</v>
      </c>
      <c r="N3630" t="s">
        <v>57</v>
      </c>
      <c r="O3630">
        <v>2025</v>
      </c>
    </row>
    <row r="3631" spans="1:15" x14ac:dyDescent="0.3">
      <c r="A3631" t="s">
        <v>3716</v>
      </c>
      <c r="B3631" t="s">
        <v>16</v>
      </c>
      <c r="C3631" t="s">
        <v>62</v>
      </c>
      <c r="D3631" t="s">
        <v>99</v>
      </c>
      <c r="E3631" t="s">
        <v>30</v>
      </c>
      <c r="F3631" s="1">
        <v>45899</v>
      </c>
      <c r="G3631">
        <v>3</v>
      </c>
      <c r="H3631">
        <v>1487.83</v>
      </c>
      <c r="I3631">
        <v>20</v>
      </c>
      <c r="J3631" t="s">
        <v>36</v>
      </c>
      <c r="K3631">
        <v>892.7</v>
      </c>
      <c r="L3631">
        <v>4463.49</v>
      </c>
      <c r="M3631">
        <v>3570.79</v>
      </c>
      <c r="N3631" t="s">
        <v>21</v>
      </c>
      <c r="O3631">
        <v>2025</v>
      </c>
    </row>
    <row r="3632" spans="1:15" x14ac:dyDescent="0.3">
      <c r="A3632" t="s">
        <v>3717</v>
      </c>
      <c r="B3632" t="s">
        <v>65</v>
      </c>
      <c r="C3632" t="s">
        <v>34</v>
      </c>
      <c r="D3632" t="s">
        <v>85</v>
      </c>
      <c r="E3632" t="s">
        <v>50</v>
      </c>
      <c r="F3632" s="1">
        <v>45405</v>
      </c>
      <c r="G3632">
        <v>9</v>
      </c>
      <c r="H3632">
        <v>11455</v>
      </c>
      <c r="I3632">
        <v>5</v>
      </c>
      <c r="J3632" t="s">
        <v>26</v>
      </c>
      <c r="K3632">
        <v>5154.75</v>
      </c>
      <c r="L3632">
        <v>103095</v>
      </c>
      <c r="M3632">
        <v>97940.25</v>
      </c>
      <c r="N3632" t="s">
        <v>27</v>
      </c>
      <c r="O3632">
        <v>2024</v>
      </c>
    </row>
    <row r="3633" spans="1:15" x14ac:dyDescent="0.3">
      <c r="A3633" t="s">
        <v>3718</v>
      </c>
      <c r="B3633" t="s">
        <v>109</v>
      </c>
      <c r="C3633" t="s">
        <v>62</v>
      </c>
      <c r="D3633" t="s">
        <v>63</v>
      </c>
      <c r="E3633" t="s">
        <v>56</v>
      </c>
      <c r="F3633" s="1">
        <v>45729</v>
      </c>
      <c r="G3633">
        <v>9</v>
      </c>
      <c r="H3633">
        <v>1947.37</v>
      </c>
      <c r="I3633">
        <v>15</v>
      </c>
      <c r="J3633" t="s">
        <v>45</v>
      </c>
      <c r="K3633">
        <v>2628.95</v>
      </c>
      <c r="L3633">
        <v>17526.330000000002</v>
      </c>
      <c r="M3633">
        <v>14897.38</v>
      </c>
      <c r="N3633" t="s">
        <v>83</v>
      </c>
      <c r="O3633">
        <v>2025</v>
      </c>
    </row>
    <row r="3634" spans="1:15" x14ac:dyDescent="0.3">
      <c r="A3634" t="s">
        <v>3719</v>
      </c>
      <c r="B3634" t="s">
        <v>61</v>
      </c>
      <c r="C3634" t="s">
        <v>90</v>
      </c>
      <c r="D3634" t="s">
        <v>152</v>
      </c>
      <c r="E3634" t="s">
        <v>56</v>
      </c>
      <c r="F3634" s="1">
        <v>45917</v>
      </c>
      <c r="G3634">
        <v>7</v>
      </c>
      <c r="H3634">
        <v>9696.35</v>
      </c>
      <c r="I3634">
        <v>20</v>
      </c>
      <c r="J3634" t="s">
        <v>26</v>
      </c>
      <c r="K3634">
        <v>13574.89</v>
      </c>
      <c r="L3634">
        <v>67874.45</v>
      </c>
      <c r="M3634">
        <v>54299.56</v>
      </c>
      <c r="N3634" t="s">
        <v>86</v>
      </c>
      <c r="O3634">
        <v>2025</v>
      </c>
    </row>
    <row r="3635" spans="1:15" x14ac:dyDescent="0.3">
      <c r="A3635" t="s">
        <v>3720</v>
      </c>
      <c r="B3635" t="s">
        <v>43</v>
      </c>
      <c r="C3635" t="s">
        <v>34</v>
      </c>
      <c r="D3635" t="s">
        <v>35</v>
      </c>
      <c r="E3635" t="s">
        <v>30</v>
      </c>
      <c r="F3635" s="1">
        <v>45880</v>
      </c>
      <c r="G3635">
        <v>6</v>
      </c>
      <c r="H3635">
        <v>27693.439999999999</v>
      </c>
      <c r="I3635">
        <v>15</v>
      </c>
      <c r="J3635" t="s">
        <v>40</v>
      </c>
      <c r="K3635">
        <v>24924.1</v>
      </c>
      <c r="L3635">
        <v>166160.64000000001</v>
      </c>
      <c r="M3635">
        <v>141236.54</v>
      </c>
      <c r="N3635" t="s">
        <v>21</v>
      </c>
      <c r="O3635">
        <v>2025</v>
      </c>
    </row>
    <row r="3636" spans="1:15" x14ac:dyDescent="0.3">
      <c r="A3636" t="s">
        <v>3721</v>
      </c>
      <c r="B3636" t="s">
        <v>47</v>
      </c>
      <c r="C3636" t="s">
        <v>62</v>
      </c>
      <c r="D3636" t="s">
        <v>63</v>
      </c>
      <c r="E3636" t="s">
        <v>50</v>
      </c>
      <c r="F3636" s="1">
        <v>45943</v>
      </c>
      <c r="G3636">
        <v>4</v>
      </c>
      <c r="H3636">
        <v>1822.17</v>
      </c>
      <c r="I3636">
        <v>15</v>
      </c>
      <c r="J3636" t="s">
        <v>45</v>
      </c>
      <c r="K3636">
        <v>1093.3</v>
      </c>
      <c r="L3636">
        <v>7288.68</v>
      </c>
      <c r="M3636">
        <v>6195.38</v>
      </c>
      <c r="N3636" t="s">
        <v>57</v>
      </c>
      <c r="O3636">
        <v>2025</v>
      </c>
    </row>
    <row r="3637" spans="1:15" x14ac:dyDescent="0.3">
      <c r="A3637" t="s">
        <v>3722</v>
      </c>
      <c r="B3637" t="s">
        <v>61</v>
      </c>
      <c r="C3637" t="s">
        <v>62</v>
      </c>
      <c r="D3637" t="s">
        <v>119</v>
      </c>
      <c r="E3637" t="s">
        <v>44</v>
      </c>
      <c r="F3637" s="1">
        <v>45906</v>
      </c>
      <c r="G3637">
        <v>3</v>
      </c>
      <c r="H3637">
        <v>3958.3</v>
      </c>
      <c r="I3637">
        <v>20</v>
      </c>
      <c r="J3637" t="s">
        <v>45</v>
      </c>
      <c r="K3637">
        <v>2374.98</v>
      </c>
      <c r="L3637">
        <v>11874.9</v>
      </c>
      <c r="M3637">
        <v>9499.92</v>
      </c>
      <c r="N3637" t="s">
        <v>86</v>
      </c>
      <c r="O3637">
        <v>2025</v>
      </c>
    </row>
    <row r="3638" spans="1:15" x14ac:dyDescent="0.3">
      <c r="A3638" t="s">
        <v>3723</v>
      </c>
      <c r="B3638" t="s">
        <v>65</v>
      </c>
      <c r="C3638" t="s">
        <v>90</v>
      </c>
      <c r="D3638" t="s">
        <v>115</v>
      </c>
      <c r="E3638" t="s">
        <v>30</v>
      </c>
      <c r="F3638" s="1">
        <v>45575</v>
      </c>
      <c r="G3638">
        <v>2</v>
      </c>
      <c r="H3638">
        <v>10047.33</v>
      </c>
      <c r="I3638">
        <v>0</v>
      </c>
      <c r="J3638" t="s">
        <v>71</v>
      </c>
      <c r="K3638">
        <v>0</v>
      </c>
      <c r="L3638">
        <v>20094.66</v>
      </c>
      <c r="M3638">
        <v>20094.66</v>
      </c>
      <c r="N3638" t="s">
        <v>57</v>
      </c>
      <c r="O3638">
        <v>2024</v>
      </c>
    </row>
    <row r="3639" spans="1:15" x14ac:dyDescent="0.3">
      <c r="A3639" t="s">
        <v>3724</v>
      </c>
      <c r="B3639" t="s">
        <v>23</v>
      </c>
      <c r="C3639" t="s">
        <v>62</v>
      </c>
      <c r="D3639" t="s">
        <v>132</v>
      </c>
      <c r="E3639" t="s">
        <v>30</v>
      </c>
      <c r="F3639" s="1">
        <v>45730</v>
      </c>
      <c r="G3639">
        <v>8</v>
      </c>
      <c r="H3639">
        <v>2452.02</v>
      </c>
      <c r="I3639">
        <v>0</v>
      </c>
      <c r="J3639" t="s">
        <v>36</v>
      </c>
      <c r="K3639">
        <v>0</v>
      </c>
      <c r="L3639">
        <v>19616.16</v>
      </c>
      <c r="M3639">
        <v>19616.16</v>
      </c>
      <c r="N3639" t="s">
        <v>83</v>
      </c>
      <c r="O3639">
        <v>2025</v>
      </c>
    </row>
    <row r="3640" spans="1:15" x14ac:dyDescent="0.3">
      <c r="A3640" t="s">
        <v>3725</v>
      </c>
      <c r="B3640" t="s">
        <v>93</v>
      </c>
      <c r="C3640" t="s">
        <v>17</v>
      </c>
      <c r="D3640" t="s">
        <v>24</v>
      </c>
      <c r="E3640" t="s">
        <v>56</v>
      </c>
      <c r="F3640" s="1">
        <v>45555</v>
      </c>
      <c r="G3640">
        <v>6</v>
      </c>
      <c r="H3640">
        <v>2868.01</v>
      </c>
      <c r="I3640">
        <v>20</v>
      </c>
      <c r="J3640" t="s">
        <v>31</v>
      </c>
      <c r="K3640">
        <v>3441.61</v>
      </c>
      <c r="L3640">
        <v>17208.060000000001</v>
      </c>
      <c r="M3640">
        <v>13766.45</v>
      </c>
      <c r="N3640" t="s">
        <v>86</v>
      </c>
      <c r="O3640">
        <v>2024</v>
      </c>
    </row>
    <row r="3641" spans="1:15" x14ac:dyDescent="0.3">
      <c r="A3641" t="s">
        <v>3726</v>
      </c>
      <c r="B3641" t="s">
        <v>74</v>
      </c>
      <c r="C3641" t="s">
        <v>90</v>
      </c>
      <c r="D3641" t="s">
        <v>115</v>
      </c>
      <c r="E3641" t="s">
        <v>19</v>
      </c>
      <c r="F3641" s="1">
        <v>45658</v>
      </c>
      <c r="G3641">
        <v>7</v>
      </c>
      <c r="H3641">
        <v>7821.36</v>
      </c>
      <c r="I3641">
        <v>0</v>
      </c>
      <c r="J3641" t="s">
        <v>82</v>
      </c>
      <c r="K3641">
        <v>0</v>
      </c>
      <c r="L3641">
        <v>54749.52</v>
      </c>
      <c r="M3641">
        <v>54749.52</v>
      </c>
      <c r="N3641" t="s">
        <v>116</v>
      </c>
      <c r="O3641">
        <v>2025</v>
      </c>
    </row>
    <row r="3642" spans="1:15" x14ac:dyDescent="0.3">
      <c r="A3642" t="s">
        <v>3727</v>
      </c>
      <c r="B3642" t="s">
        <v>89</v>
      </c>
      <c r="C3642" t="s">
        <v>54</v>
      </c>
      <c r="D3642" t="s">
        <v>68</v>
      </c>
      <c r="E3642" t="s">
        <v>81</v>
      </c>
      <c r="F3642" s="1">
        <v>45535</v>
      </c>
      <c r="G3642">
        <v>1</v>
      </c>
      <c r="H3642">
        <v>5077.7</v>
      </c>
      <c r="I3642">
        <v>0</v>
      </c>
      <c r="J3642" t="s">
        <v>31</v>
      </c>
      <c r="K3642">
        <v>0</v>
      </c>
      <c r="L3642">
        <v>5077.7</v>
      </c>
      <c r="M3642">
        <v>5077.7</v>
      </c>
      <c r="N3642" t="s">
        <v>21</v>
      </c>
      <c r="O3642">
        <v>2024</v>
      </c>
    </row>
    <row r="3643" spans="1:15" x14ac:dyDescent="0.3">
      <c r="A3643" t="s">
        <v>3728</v>
      </c>
      <c r="B3643" t="s">
        <v>33</v>
      </c>
      <c r="C3643" t="s">
        <v>54</v>
      </c>
      <c r="D3643" t="s">
        <v>55</v>
      </c>
      <c r="E3643" t="s">
        <v>30</v>
      </c>
      <c r="F3643" s="1">
        <v>45354</v>
      </c>
      <c r="G3643">
        <v>2</v>
      </c>
      <c r="H3643">
        <v>1198.8</v>
      </c>
      <c r="I3643">
        <v>5</v>
      </c>
      <c r="J3643" t="s">
        <v>36</v>
      </c>
      <c r="K3643">
        <v>119.88</v>
      </c>
      <c r="L3643">
        <v>2397.6</v>
      </c>
      <c r="M3643">
        <v>2277.7199999999998</v>
      </c>
      <c r="N3643" t="s">
        <v>83</v>
      </c>
      <c r="O3643">
        <v>2024</v>
      </c>
    </row>
    <row r="3644" spans="1:15" x14ac:dyDescent="0.3">
      <c r="A3644" t="s">
        <v>3729</v>
      </c>
      <c r="B3644" t="s">
        <v>74</v>
      </c>
      <c r="C3644" t="s">
        <v>17</v>
      </c>
      <c r="D3644" t="s">
        <v>18</v>
      </c>
      <c r="E3644" t="s">
        <v>30</v>
      </c>
      <c r="F3644" s="1">
        <v>45881</v>
      </c>
      <c r="G3644">
        <v>8</v>
      </c>
      <c r="H3644">
        <v>69098.37</v>
      </c>
      <c r="I3644">
        <v>5</v>
      </c>
      <c r="J3644" t="s">
        <v>45</v>
      </c>
      <c r="K3644">
        <v>27639.35</v>
      </c>
      <c r="L3644">
        <v>552786.96</v>
      </c>
      <c r="M3644">
        <v>525147.61</v>
      </c>
      <c r="N3644" t="s">
        <v>21</v>
      </c>
      <c r="O3644">
        <v>2025</v>
      </c>
    </row>
    <row r="3645" spans="1:15" x14ac:dyDescent="0.3">
      <c r="A3645" t="s">
        <v>3730</v>
      </c>
      <c r="B3645" t="s">
        <v>53</v>
      </c>
      <c r="C3645" t="s">
        <v>34</v>
      </c>
      <c r="D3645" t="s">
        <v>48</v>
      </c>
      <c r="E3645" t="s">
        <v>50</v>
      </c>
      <c r="F3645" s="1">
        <v>45846</v>
      </c>
      <c r="G3645">
        <v>4</v>
      </c>
      <c r="H3645">
        <v>7810.62</v>
      </c>
      <c r="I3645">
        <v>20</v>
      </c>
      <c r="J3645" t="s">
        <v>40</v>
      </c>
      <c r="K3645">
        <v>6248.5</v>
      </c>
      <c r="L3645">
        <v>31242.48</v>
      </c>
      <c r="M3645">
        <v>24993.98</v>
      </c>
      <c r="N3645" t="s">
        <v>122</v>
      </c>
      <c r="O3645">
        <v>2025</v>
      </c>
    </row>
    <row r="3646" spans="1:15" x14ac:dyDescent="0.3">
      <c r="A3646" t="s">
        <v>3731</v>
      </c>
      <c r="B3646" t="s">
        <v>23</v>
      </c>
      <c r="C3646" t="s">
        <v>34</v>
      </c>
      <c r="D3646" t="s">
        <v>35</v>
      </c>
      <c r="E3646" t="s">
        <v>56</v>
      </c>
      <c r="F3646" s="1">
        <v>45873</v>
      </c>
      <c r="G3646">
        <v>9</v>
      </c>
      <c r="H3646">
        <v>27289.33</v>
      </c>
      <c r="I3646">
        <v>15</v>
      </c>
      <c r="J3646" t="s">
        <v>26</v>
      </c>
      <c r="K3646">
        <v>36840.6</v>
      </c>
      <c r="L3646">
        <v>245603.97</v>
      </c>
      <c r="M3646">
        <v>208763.37</v>
      </c>
      <c r="N3646" t="s">
        <v>21</v>
      </c>
      <c r="O3646">
        <v>2025</v>
      </c>
    </row>
    <row r="3647" spans="1:15" x14ac:dyDescent="0.3">
      <c r="A3647" t="s">
        <v>3732</v>
      </c>
      <c r="B3647" t="s">
        <v>74</v>
      </c>
      <c r="C3647" t="s">
        <v>17</v>
      </c>
      <c r="D3647" t="s">
        <v>18</v>
      </c>
      <c r="E3647" t="s">
        <v>30</v>
      </c>
      <c r="F3647" s="1">
        <v>45573</v>
      </c>
      <c r="G3647">
        <v>1</v>
      </c>
      <c r="H3647">
        <v>78536.210000000006</v>
      </c>
      <c r="I3647">
        <v>5</v>
      </c>
      <c r="J3647" t="s">
        <v>26</v>
      </c>
      <c r="K3647">
        <v>3926.81</v>
      </c>
      <c r="L3647">
        <v>78536.210000000006</v>
      </c>
      <c r="M3647">
        <v>74609.399999999994</v>
      </c>
      <c r="N3647" t="s">
        <v>57</v>
      </c>
      <c r="O3647">
        <v>2024</v>
      </c>
    </row>
    <row r="3648" spans="1:15" x14ac:dyDescent="0.3">
      <c r="A3648" t="s">
        <v>3733</v>
      </c>
      <c r="B3648" t="s">
        <v>109</v>
      </c>
      <c r="C3648" t="s">
        <v>62</v>
      </c>
      <c r="D3648" t="s">
        <v>132</v>
      </c>
      <c r="E3648" t="s">
        <v>25</v>
      </c>
      <c r="F3648" s="1">
        <v>45516</v>
      </c>
      <c r="G3648">
        <v>8</v>
      </c>
      <c r="H3648">
        <v>2717.34</v>
      </c>
      <c r="I3648">
        <v>10</v>
      </c>
      <c r="J3648" t="s">
        <v>45</v>
      </c>
      <c r="K3648">
        <v>2173.87</v>
      </c>
      <c r="L3648">
        <v>21738.720000000001</v>
      </c>
      <c r="M3648">
        <v>19564.849999999999</v>
      </c>
      <c r="N3648" t="s">
        <v>21</v>
      </c>
      <c r="O3648">
        <v>2024</v>
      </c>
    </row>
    <row r="3649" spans="1:15" x14ac:dyDescent="0.3">
      <c r="A3649" t="s">
        <v>3734</v>
      </c>
      <c r="B3649" t="s">
        <v>23</v>
      </c>
      <c r="C3649" t="s">
        <v>54</v>
      </c>
      <c r="D3649" t="s">
        <v>68</v>
      </c>
      <c r="E3649" t="s">
        <v>30</v>
      </c>
      <c r="F3649" s="1">
        <v>45398</v>
      </c>
      <c r="G3649">
        <v>6</v>
      </c>
      <c r="H3649">
        <v>4417.08</v>
      </c>
      <c r="I3649">
        <v>10</v>
      </c>
      <c r="J3649" t="s">
        <v>71</v>
      </c>
      <c r="K3649">
        <v>2650.25</v>
      </c>
      <c r="L3649">
        <v>26502.48</v>
      </c>
      <c r="M3649">
        <v>23852.23</v>
      </c>
      <c r="N3649" t="s">
        <v>27</v>
      </c>
      <c r="O3649">
        <v>2024</v>
      </c>
    </row>
    <row r="3650" spans="1:15" x14ac:dyDescent="0.3">
      <c r="A3650" t="s">
        <v>3735</v>
      </c>
      <c r="B3650" t="s">
        <v>33</v>
      </c>
      <c r="C3650" t="s">
        <v>90</v>
      </c>
      <c r="D3650" t="s">
        <v>105</v>
      </c>
      <c r="E3650" t="s">
        <v>50</v>
      </c>
      <c r="F3650" s="1">
        <v>45694</v>
      </c>
      <c r="G3650">
        <v>1</v>
      </c>
      <c r="H3650">
        <v>3688.17</v>
      </c>
      <c r="I3650">
        <v>15</v>
      </c>
      <c r="J3650" t="s">
        <v>36</v>
      </c>
      <c r="K3650">
        <v>553.23</v>
      </c>
      <c r="L3650">
        <v>3688.17</v>
      </c>
      <c r="M3650">
        <v>3134.94</v>
      </c>
      <c r="N3650" t="s">
        <v>41</v>
      </c>
      <c r="O3650">
        <v>2025</v>
      </c>
    </row>
    <row r="3651" spans="1:15" x14ac:dyDescent="0.3">
      <c r="A3651" t="s">
        <v>3736</v>
      </c>
      <c r="B3651" t="s">
        <v>114</v>
      </c>
      <c r="C3651" t="s">
        <v>90</v>
      </c>
      <c r="D3651" t="s">
        <v>115</v>
      </c>
      <c r="E3651" t="s">
        <v>30</v>
      </c>
      <c r="F3651" s="1">
        <v>45940</v>
      </c>
      <c r="G3651">
        <v>3</v>
      </c>
      <c r="H3651">
        <v>9010.7000000000007</v>
      </c>
      <c r="I3651">
        <v>0</v>
      </c>
      <c r="J3651" t="s">
        <v>31</v>
      </c>
      <c r="K3651">
        <v>0</v>
      </c>
      <c r="L3651">
        <v>27032.1</v>
      </c>
      <c r="M3651">
        <v>27032.1</v>
      </c>
      <c r="N3651" t="s">
        <v>57</v>
      </c>
      <c r="O3651">
        <v>2025</v>
      </c>
    </row>
    <row r="3652" spans="1:15" x14ac:dyDescent="0.3">
      <c r="A3652" t="s">
        <v>3737</v>
      </c>
      <c r="B3652" t="s">
        <v>23</v>
      </c>
      <c r="C3652" t="s">
        <v>62</v>
      </c>
      <c r="D3652" t="s">
        <v>63</v>
      </c>
      <c r="E3652" t="s">
        <v>30</v>
      </c>
      <c r="F3652" s="1">
        <v>45931</v>
      </c>
      <c r="G3652">
        <v>10</v>
      </c>
      <c r="H3652">
        <v>1813.17</v>
      </c>
      <c r="I3652">
        <v>20</v>
      </c>
      <c r="J3652" t="s">
        <v>40</v>
      </c>
      <c r="K3652">
        <v>3626.34</v>
      </c>
      <c r="L3652">
        <v>18131.7</v>
      </c>
      <c r="M3652">
        <v>14505.36</v>
      </c>
      <c r="N3652" t="s">
        <v>57</v>
      </c>
      <c r="O3652">
        <v>2025</v>
      </c>
    </row>
    <row r="3653" spans="1:15" x14ac:dyDescent="0.3">
      <c r="A3653" t="s">
        <v>3738</v>
      </c>
      <c r="B3653" t="s">
        <v>38</v>
      </c>
      <c r="C3653" t="s">
        <v>34</v>
      </c>
      <c r="D3653" t="s">
        <v>66</v>
      </c>
      <c r="E3653" t="s">
        <v>19</v>
      </c>
      <c r="F3653" s="1">
        <v>45747</v>
      </c>
      <c r="G3653">
        <v>3</v>
      </c>
      <c r="H3653">
        <v>44030.2</v>
      </c>
      <c r="I3653">
        <v>10</v>
      </c>
      <c r="J3653" t="s">
        <v>31</v>
      </c>
      <c r="K3653">
        <v>13209.06</v>
      </c>
      <c r="L3653">
        <v>132090.6</v>
      </c>
      <c r="M3653">
        <v>118881.54</v>
      </c>
      <c r="N3653" t="s">
        <v>83</v>
      </c>
      <c r="O3653">
        <v>2025</v>
      </c>
    </row>
    <row r="3654" spans="1:15" x14ac:dyDescent="0.3">
      <c r="A3654" t="s">
        <v>3739</v>
      </c>
      <c r="B3654" t="s">
        <v>47</v>
      </c>
      <c r="C3654" t="s">
        <v>17</v>
      </c>
      <c r="D3654" t="s">
        <v>59</v>
      </c>
      <c r="E3654" t="s">
        <v>19</v>
      </c>
      <c r="F3654" s="1">
        <v>45956</v>
      </c>
      <c r="G3654">
        <v>4</v>
      </c>
      <c r="H3654">
        <v>28579.94</v>
      </c>
      <c r="I3654">
        <v>0</v>
      </c>
      <c r="J3654" t="s">
        <v>45</v>
      </c>
      <c r="K3654">
        <v>0</v>
      </c>
      <c r="L3654">
        <v>114319.76</v>
      </c>
      <c r="M3654">
        <v>114319.76</v>
      </c>
      <c r="N3654" t="s">
        <v>57</v>
      </c>
      <c r="O3654">
        <v>2025</v>
      </c>
    </row>
    <row r="3655" spans="1:15" x14ac:dyDescent="0.3">
      <c r="A3655" t="s">
        <v>3740</v>
      </c>
      <c r="B3655" t="s">
        <v>33</v>
      </c>
      <c r="C3655" t="s">
        <v>90</v>
      </c>
      <c r="D3655" t="s">
        <v>152</v>
      </c>
      <c r="E3655" t="s">
        <v>44</v>
      </c>
      <c r="F3655" s="1">
        <v>45854</v>
      </c>
      <c r="G3655">
        <v>3</v>
      </c>
      <c r="H3655">
        <v>9223.35</v>
      </c>
      <c r="I3655">
        <v>5</v>
      </c>
      <c r="J3655" t="s">
        <v>45</v>
      </c>
      <c r="K3655">
        <v>1383.5</v>
      </c>
      <c r="L3655">
        <v>27670.05</v>
      </c>
      <c r="M3655">
        <v>26286.55</v>
      </c>
      <c r="N3655" t="s">
        <v>122</v>
      </c>
      <c r="O3655">
        <v>2025</v>
      </c>
    </row>
    <row r="3656" spans="1:15" x14ac:dyDescent="0.3">
      <c r="A3656" t="s">
        <v>3741</v>
      </c>
      <c r="B3656" t="s">
        <v>23</v>
      </c>
      <c r="C3656" t="s">
        <v>90</v>
      </c>
      <c r="D3656" t="s">
        <v>107</v>
      </c>
      <c r="E3656" t="s">
        <v>19</v>
      </c>
      <c r="F3656" s="1">
        <v>45913</v>
      </c>
      <c r="G3656">
        <v>6</v>
      </c>
      <c r="H3656">
        <v>11992.99</v>
      </c>
      <c r="I3656">
        <v>20</v>
      </c>
      <c r="J3656" t="s">
        <v>20</v>
      </c>
      <c r="K3656">
        <v>14391.59</v>
      </c>
      <c r="L3656">
        <v>71957.94</v>
      </c>
      <c r="M3656">
        <v>57566.35</v>
      </c>
      <c r="N3656" t="s">
        <v>86</v>
      </c>
      <c r="O3656">
        <v>2025</v>
      </c>
    </row>
    <row r="3657" spans="1:15" x14ac:dyDescent="0.3">
      <c r="A3657" t="s">
        <v>3742</v>
      </c>
      <c r="B3657" t="s">
        <v>16</v>
      </c>
      <c r="C3657" t="s">
        <v>62</v>
      </c>
      <c r="D3657" t="s">
        <v>119</v>
      </c>
      <c r="E3657" t="s">
        <v>56</v>
      </c>
      <c r="F3657" s="1">
        <v>45748</v>
      </c>
      <c r="G3657">
        <v>9</v>
      </c>
      <c r="H3657">
        <v>3683.32</v>
      </c>
      <c r="I3657">
        <v>0</v>
      </c>
      <c r="J3657" t="s">
        <v>26</v>
      </c>
      <c r="K3657">
        <v>0</v>
      </c>
      <c r="L3657">
        <v>33149.879999999997</v>
      </c>
      <c r="M3657">
        <v>33149.879999999997</v>
      </c>
      <c r="N3657" t="s">
        <v>27</v>
      </c>
      <c r="O3657">
        <v>2025</v>
      </c>
    </row>
    <row r="3658" spans="1:15" x14ac:dyDescent="0.3">
      <c r="A3658" t="s">
        <v>3743</v>
      </c>
      <c r="B3658" t="s">
        <v>47</v>
      </c>
      <c r="C3658" t="s">
        <v>90</v>
      </c>
      <c r="D3658" t="s">
        <v>115</v>
      </c>
      <c r="E3658" t="s">
        <v>30</v>
      </c>
      <c r="F3658" s="1">
        <v>45913</v>
      </c>
      <c r="G3658">
        <v>9</v>
      </c>
      <c r="H3658">
        <v>7329.35</v>
      </c>
      <c r="I3658">
        <v>15</v>
      </c>
      <c r="J3658" t="s">
        <v>82</v>
      </c>
      <c r="K3658">
        <v>9894.6200000000008</v>
      </c>
      <c r="L3658">
        <v>65964.149999999994</v>
      </c>
      <c r="M3658">
        <v>56069.53</v>
      </c>
      <c r="N3658" t="s">
        <v>86</v>
      </c>
      <c r="O3658">
        <v>2025</v>
      </c>
    </row>
    <row r="3659" spans="1:15" x14ac:dyDescent="0.3">
      <c r="A3659" t="s">
        <v>3744</v>
      </c>
      <c r="B3659" t="s">
        <v>47</v>
      </c>
      <c r="C3659" t="s">
        <v>62</v>
      </c>
      <c r="D3659" t="s">
        <v>119</v>
      </c>
      <c r="E3659" t="s">
        <v>50</v>
      </c>
      <c r="F3659" s="1">
        <v>45598</v>
      </c>
      <c r="G3659">
        <v>2</v>
      </c>
      <c r="H3659">
        <v>4228.71</v>
      </c>
      <c r="I3659">
        <v>20</v>
      </c>
      <c r="J3659" t="s">
        <v>40</v>
      </c>
      <c r="K3659">
        <v>1691.48</v>
      </c>
      <c r="L3659">
        <v>8457.42</v>
      </c>
      <c r="M3659">
        <v>6765.94</v>
      </c>
      <c r="N3659" t="s">
        <v>96</v>
      </c>
      <c r="O3659">
        <v>2024</v>
      </c>
    </row>
    <row r="3660" spans="1:15" x14ac:dyDescent="0.3">
      <c r="A3660" t="s">
        <v>3745</v>
      </c>
      <c r="B3660" t="s">
        <v>29</v>
      </c>
      <c r="C3660" t="s">
        <v>34</v>
      </c>
      <c r="D3660" t="s">
        <v>48</v>
      </c>
      <c r="E3660" t="s">
        <v>30</v>
      </c>
      <c r="F3660" s="1">
        <v>45731</v>
      </c>
      <c r="G3660">
        <v>5</v>
      </c>
      <c r="H3660">
        <v>8439.83</v>
      </c>
      <c r="I3660">
        <v>5</v>
      </c>
      <c r="J3660" t="s">
        <v>82</v>
      </c>
      <c r="K3660">
        <v>2109.96</v>
      </c>
      <c r="L3660">
        <v>42199.15</v>
      </c>
      <c r="M3660">
        <v>40089.19</v>
      </c>
      <c r="N3660" t="s">
        <v>83</v>
      </c>
      <c r="O3660">
        <v>2025</v>
      </c>
    </row>
    <row r="3661" spans="1:15" x14ac:dyDescent="0.3">
      <c r="A3661" t="s">
        <v>3746</v>
      </c>
      <c r="B3661" t="s">
        <v>65</v>
      </c>
      <c r="C3661" t="s">
        <v>54</v>
      </c>
      <c r="D3661" t="s">
        <v>55</v>
      </c>
      <c r="E3661" t="s">
        <v>44</v>
      </c>
      <c r="F3661" s="1">
        <v>45970</v>
      </c>
      <c r="G3661">
        <v>10</v>
      </c>
      <c r="H3661">
        <v>1345.04</v>
      </c>
      <c r="I3661">
        <v>15</v>
      </c>
      <c r="J3661" t="s">
        <v>45</v>
      </c>
      <c r="K3661">
        <v>2017.56</v>
      </c>
      <c r="L3661">
        <v>13450.4</v>
      </c>
      <c r="M3661">
        <v>11432.84</v>
      </c>
      <c r="N3661" t="s">
        <v>96</v>
      </c>
      <c r="O3661">
        <v>2025</v>
      </c>
    </row>
    <row r="3662" spans="1:15" x14ac:dyDescent="0.3">
      <c r="A3662" t="s">
        <v>3747</v>
      </c>
      <c r="B3662" t="s">
        <v>33</v>
      </c>
      <c r="C3662" t="s">
        <v>90</v>
      </c>
      <c r="D3662" t="s">
        <v>152</v>
      </c>
      <c r="E3662" t="s">
        <v>56</v>
      </c>
      <c r="F3662" s="1">
        <v>45888</v>
      </c>
      <c r="G3662">
        <v>1</v>
      </c>
      <c r="H3662">
        <v>10203.52</v>
      </c>
      <c r="I3662">
        <v>10</v>
      </c>
      <c r="J3662" t="s">
        <v>45</v>
      </c>
      <c r="K3662">
        <v>1020.35</v>
      </c>
      <c r="L3662">
        <v>10203.52</v>
      </c>
      <c r="M3662">
        <v>9183.17</v>
      </c>
      <c r="N3662" t="s">
        <v>21</v>
      </c>
      <c r="O3662">
        <v>2025</v>
      </c>
    </row>
    <row r="3663" spans="1:15" x14ac:dyDescent="0.3">
      <c r="A3663" t="s">
        <v>3748</v>
      </c>
      <c r="B3663" t="s">
        <v>16</v>
      </c>
      <c r="C3663" t="s">
        <v>62</v>
      </c>
      <c r="D3663" t="s">
        <v>119</v>
      </c>
      <c r="E3663" t="s">
        <v>81</v>
      </c>
      <c r="F3663" s="1">
        <v>45956</v>
      </c>
      <c r="G3663">
        <v>4</v>
      </c>
      <c r="H3663">
        <v>4079.7</v>
      </c>
      <c r="I3663">
        <v>10</v>
      </c>
      <c r="J3663" t="s">
        <v>40</v>
      </c>
      <c r="K3663">
        <v>1631.88</v>
      </c>
      <c r="L3663">
        <v>16318.8</v>
      </c>
      <c r="M3663">
        <v>14686.92</v>
      </c>
      <c r="N3663" t="s">
        <v>57</v>
      </c>
      <c r="O3663">
        <v>2025</v>
      </c>
    </row>
    <row r="3664" spans="1:15" x14ac:dyDescent="0.3">
      <c r="A3664" t="s">
        <v>3749</v>
      </c>
      <c r="B3664" t="s">
        <v>65</v>
      </c>
      <c r="C3664" t="s">
        <v>34</v>
      </c>
      <c r="D3664" t="s">
        <v>35</v>
      </c>
      <c r="E3664" t="s">
        <v>56</v>
      </c>
      <c r="F3664" s="1">
        <v>45396</v>
      </c>
      <c r="G3664">
        <v>6</v>
      </c>
      <c r="H3664">
        <v>27873.9</v>
      </c>
      <c r="I3664">
        <v>20</v>
      </c>
      <c r="J3664" t="s">
        <v>71</v>
      </c>
      <c r="K3664">
        <v>33448.68</v>
      </c>
      <c r="L3664">
        <v>167243.4</v>
      </c>
      <c r="M3664">
        <v>133794.72</v>
      </c>
      <c r="N3664" t="s">
        <v>27</v>
      </c>
      <c r="O3664">
        <v>2024</v>
      </c>
    </row>
    <row r="3665" spans="1:15" x14ac:dyDescent="0.3">
      <c r="A3665" t="s">
        <v>3750</v>
      </c>
      <c r="B3665" t="s">
        <v>16</v>
      </c>
      <c r="C3665" t="s">
        <v>34</v>
      </c>
      <c r="D3665" t="s">
        <v>85</v>
      </c>
      <c r="E3665" t="s">
        <v>25</v>
      </c>
      <c r="F3665" s="1">
        <v>45919</v>
      </c>
      <c r="G3665">
        <v>1</v>
      </c>
      <c r="H3665">
        <v>12260.63</v>
      </c>
      <c r="I3665">
        <v>5</v>
      </c>
      <c r="J3665" t="s">
        <v>40</v>
      </c>
      <c r="K3665">
        <v>613.03</v>
      </c>
      <c r="L3665">
        <v>12260.63</v>
      </c>
      <c r="M3665">
        <v>11647.6</v>
      </c>
      <c r="N3665" t="s">
        <v>86</v>
      </c>
      <c r="O3665">
        <v>2025</v>
      </c>
    </row>
    <row r="3666" spans="1:15" x14ac:dyDescent="0.3">
      <c r="A3666" t="s">
        <v>3751</v>
      </c>
      <c r="B3666" t="s">
        <v>33</v>
      </c>
      <c r="C3666" t="s">
        <v>62</v>
      </c>
      <c r="D3666" t="s">
        <v>95</v>
      </c>
      <c r="E3666" t="s">
        <v>50</v>
      </c>
      <c r="F3666" s="1">
        <v>45899</v>
      </c>
      <c r="G3666">
        <v>8</v>
      </c>
      <c r="H3666">
        <v>813.32</v>
      </c>
      <c r="I3666">
        <v>0</v>
      </c>
      <c r="J3666" t="s">
        <v>45</v>
      </c>
      <c r="K3666">
        <v>0</v>
      </c>
      <c r="L3666">
        <v>6506.56</v>
      </c>
      <c r="M3666">
        <v>6506.56</v>
      </c>
      <c r="N3666" t="s">
        <v>21</v>
      </c>
      <c r="O3666">
        <v>2025</v>
      </c>
    </row>
    <row r="3667" spans="1:15" x14ac:dyDescent="0.3">
      <c r="A3667" t="s">
        <v>3752</v>
      </c>
      <c r="B3667" t="s">
        <v>47</v>
      </c>
      <c r="C3667" t="s">
        <v>17</v>
      </c>
      <c r="D3667" t="s">
        <v>18</v>
      </c>
      <c r="E3667" t="s">
        <v>19</v>
      </c>
      <c r="F3667" s="1">
        <v>45765</v>
      </c>
      <c r="G3667">
        <v>8</v>
      </c>
      <c r="H3667">
        <v>72455.63</v>
      </c>
      <c r="I3667">
        <v>10</v>
      </c>
      <c r="J3667" t="s">
        <v>40</v>
      </c>
      <c r="K3667">
        <v>57964.5</v>
      </c>
      <c r="L3667">
        <v>579645.04</v>
      </c>
      <c r="M3667">
        <v>521680.54</v>
      </c>
      <c r="N3667" t="s">
        <v>27</v>
      </c>
      <c r="O3667">
        <v>2025</v>
      </c>
    </row>
    <row r="3668" spans="1:15" x14ac:dyDescent="0.3">
      <c r="A3668" t="s">
        <v>3753</v>
      </c>
      <c r="B3668" t="s">
        <v>29</v>
      </c>
      <c r="C3668" t="s">
        <v>54</v>
      </c>
      <c r="D3668" t="s">
        <v>137</v>
      </c>
      <c r="E3668" t="s">
        <v>30</v>
      </c>
      <c r="F3668" s="1">
        <v>45967</v>
      </c>
      <c r="G3668">
        <v>5</v>
      </c>
      <c r="H3668">
        <v>1062.82</v>
      </c>
      <c r="I3668">
        <v>15</v>
      </c>
      <c r="J3668" t="s">
        <v>82</v>
      </c>
      <c r="K3668">
        <v>797.12</v>
      </c>
      <c r="L3668">
        <v>5314.1</v>
      </c>
      <c r="M3668">
        <v>4516.9799999999996</v>
      </c>
      <c r="N3668" t="s">
        <v>96</v>
      </c>
      <c r="O3668">
        <v>2025</v>
      </c>
    </row>
    <row r="3669" spans="1:15" x14ac:dyDescent="0.3">
      <c r="A3669" t="s">
        <v>3754</v>
      </c>
      <c r="B3669" t="s">
        <v>33</v>
      </c>
      <c r="C3669" t="s">
        <v>34</v>
      </c>
      <c r="D3669" t="s">
        <v>85</v>
      </c>
      <c r="E3669" t="s">
        <v>19</v>
      </c>
      <c r="F3669" s="1">
        <v>45804</v>
      </c>
      <c r="G3669">
        <v>6</v>
      </c>
      <c r="H3669">
        <v>12003.87</v>
      </c>
      <c r="I3669">
        <v>0</v>
      </c>
      <c r="J3669" t="s">
        <v>71</v>
      </c>
      <c r="K3669">
        <v>0</v>
      </c>
      <c r="L3669">
        <v>72023.22</v>
      </c>
      <c r="M3669">
        <v>72023.22</v>
      </c>
      <c r="N3669" t="s">
        <v>101</v>
      </c>
      <c r="O3669">
        <v>2025</v>
      </c>
    </row>
    <row r="3670" spans="1:15" x14ac:dyDescent="0.3">
      <c r="A3670" t="s">
        <v>3755</v>
      </c>
      <c r="B3670" t="s">
        <v>43</v>
      </c>
      <c r="C3670" t="s">
        <v>34</v>
      </c>
      <c r="D3670" t="s">
        <v>48</v>
      </c>
      <c r="E3670" t="s">
        <v>30</v>
      </c>
      <c r="F3670" s="1">
        <v>45608</v>
      </c>
      <c r="G3670">
        <v>2</v>
      </c>
      <c r="H3670">
        <v>8785.7199999999993</v>
      </c>
      <c r="I3670">
        <v>10</v>
      </c>
      <c r="J3670" t="s">
        <v>71</v>
      </c>
      <c r="K3670">
        <v>1757.14</v>
      </c>
      <c r="L3670">
        <v>17571.439999999999</v>
      </c>
      <c r="M3670">
        <v>15814.3</v>
      </c>
      <c r="N3670" t="s">
        <v>96</v>
      </c>
      <c r="O3670">
        <v>2024</v>
      </c>
    </row>
    <row r="3671" spans="1:15" x14ac:dyDescent="0.3">
      <c r="A3671" t="s">
        <v>3756</v>
      </c>
      <c r="B3671" t="s">
        <v>29</v>
      </c>
      <c r="C3671" t="s">
        <v>62</v>
      </c>
      <c r="D3671" t="s">
        <v>99</v>
      </c>
      <c r="E3671" t="s">
        <v>81</v>
      </c>
      <c r="F3671" s="1">
        <v>45447</v>
      </c>
      <c r="G3671">
        <v>4</v>
      </c>
      <c r="H3671">
        <v>1672.76</v>
      </c>
      <c r="I3671">
        <v>20</v>
      </c>
      <c r="J3671" t="s">
        <v>45</v>
      </c>
      <c r="K3671">
        <v>1338.21</v>
      </c>
      <c r="L3671">
        <v>6691.04</v>
      </c>
      <c r="M3671">
        <v>5352.83</v>
      </c>
      <c r="N3671" t="s">
        <v>72</v>
      </c>
      <c r="O3671">
        <v>2024</v>
      </c>
    </row>
    <row r="3672" spans="1:15" x14ac:dyDescent="0.3">
      <c r="A3672" t="s">
        <v>3757</v>
      </c>
      <c r="B3672" t="s">
        <v>33</v>
      </c>
      <c r="C3672" t="s">
        <v>62</v>
      </c>
      <c r="D3672" t="s">
        <v>119</v>
      </c>
      <c r="E3672" t="s">
        <v>81</v>
      </c>
      <c r="F3672" s="1">
        <v>45982</v>
      </c>
      <c r="G3672">
        <v>10</v>
      </c>
      <c r="H3672">
        <v>4221.29</v>
      </c>
      <c r="I3672">
        <v>10</v>
      </c>
      <c r="J3672" t="s">
        <v>26</v>
      </c>
      <c r="K3672">
        <v>4221.29</v>
      </c>
      <c r="L3672">
        <v>42212.9</v>
      </c>
      <c r="M3672">
        <v>37991.61</v>
      </c>
      <c r="N3672" t="s">
        <v>96</v>
      </c>
      <c r="O3672">
        <v>2025</v>
      </c>
    </row>
    <row r="3673" spans="1:15" x14ac:dyDescent="0.3">
      <c r="A3673" t="s">
        <v>3758</v>
      </c>
      <c r="B3673" t="s">
        <v>43</v>
      </c>
      <c r="C3673" t="s">
        <v>90</v>
      </c>
      <c r="D3673" t="s">
        <v>91</v>
      </c>
      <c r="E3673" t="s">
        <v>44</v>
      </c>
      <c r="F3673" s="1">
        <v>45662</v>
      </c>
      <c r="G3673">
        <v>9</v>
      </c>
      <c r="H3673">
        <v>1386.65</v>
      </c>
      <c r="I3673">
        <v>15</v>
      </c>
      <c r="J3673" t="s">
        <v>71</v>
      </c>
      <c r="K3673">
        <v>1871.98</v>
      </c>
      <c r="L3673">
        <v>12479.85</v>
      </c>
      <c r="M3673">
        <v>10607.87</v>
      </c>
      <c r="N3673" t="s">
        <v>116</v>
      </c>
      <c r="O3673">
        <v>2025</v>
      </c>
    </row>
    <row r="3674" spans="1:15" x14ac:dyDescent="0.3">
      <c r="A3674" t="s">
        <v>3759</v>
      </c>
      <c r="B3674" t="s">
        <v>53</v>
      </c>
      <c r="C3674" t="s">
        <v>90</v>
      </c>
      <c r="D3674" t="s">
        <v>105</v>
      </c>
      <c r="E3674" t="s">
        <v>44</v>
      </c>
      <c r="F3674" s="1">
        <v>45935</v>
      </c>
      <c r="G3674">
        <v>2</v>
      </c>
      <c r="H3674">
        <v>4212.57</v>
      </c>
      <c r="I3674">
        <v>15</v>
      </c>
      <c r="J3674" t="s">
        <v>40</v>
      </c>
      <c r="K3674">
        <v>1263.77</v>
      </c>
      <c r="L3674">
        <v>8425.14</v>
      </c>
      <c r="M3674">
        <v>7161.37</v>
      </c>
      <c r="N3674" t="s">
        <v>57</v>
      </c>
      <c r="O3674">
        <v>2025</v>
      </c>
    </row>
    <row r="3675" spans="1:15" x14ac:dyDescent="0.3">
      <c r="A3675" t="s">
        <v>3760</v>
      </c>
      <c r="B3675" t="s">
        <v>29</v>
      </c>
      <c r="C3675" t="s">
        <v>34</v>
      </c>
      <c r="D3675" t="s">
        <v>85</v>
      </c>
      <c r="E3675" t="s">
        <v>30</v>
      </c>
      <c r="F3675" s="1">
        <v>45746</v>
      </c>
      <c r="G3675">
        <v>1</v>
      </c>
      <c r="H3675">
        <v>11701.75</v>
      </c>
      <c r="I3675">
        <v>15</v>
      </c>
      <c r="J3675" t="s">
        <v>40</v>
      </c>
      <c r="K3675">
        <v>1755.26</v>
      </c>
      <c r="L3675">
        <v>11701.75</v>
      </c>
      <c r="M3675">
        <v>9946.49</v>
      </c>
      <c r="N3675" t="s">
        <v>83</v>
      </c>
      <c r="O3675">
        <v>2025</v>
      </c>
    </row>
    <row r="3676" spans="1:15" x14ac:dyDescent="0.3">
      <c r="A3676" t="s">
        <v>3761</v>
      </c>
      <c r="B3676" t="s">
        <v>23</v>
      </c>
      <c r="C3676" t="s">
        <v>17</v>
      </c>
      <c r="D3676" t="s">
        <v>39</v>
      </c>
      <c r="E3676" t="s">
        <v>44</v>
      </c>
      <c r="F3676" s="1">
        <v>45940</v>
      </c>
      <c r="G3676">
        <v>2</v>
      </c>
      <c r="H3676">
        <v>19079.7</v>
      </c>
      <c r="I3676">
        <v>15</v>
      </c>
      <c r="J3676" t="s">
        <v>71</v>
      </c>
      <c r="K3676">
        <v>5723.91</v>
      </c>
      <c r="L3676">
        <v>38159.4</v>
      </c>
      <c r="M3676">
        <v>32435.49</v>
      </c>
      <c r="N3676" t="s">
        <v>57</v>
      </c>
      <c r="O3676">
        <v>2025</v>
      </c>
    </row>
    <row r="3677" spans="1:15" x14ac:dyDescent="0.3">
      <c r="A3677" t="s">
        <v>3762</v>
      </c>
      <c r="B3677" t="s">
        <v>16</v>
      </c>
      <c r="C3677" t="s">
        <v>54</v>
      </c>
      <c r="D3677" t="s">
        <v>68</v>
      </c>
      <c r="E3677" t="s">
        <v>44</v>
      </c>
      <c r="F3677" s="1">
        <v>45589</v>
      </c>
      <c r="G3677">
        <v>2</v>
      </c>
      <c r="H3677">
        <v>5143.01</v>
      </c>
      <c r="I3677">
        <v>10</v>
      </c>
      <c r="J3677" t="s">
        <v>20</v>
      </c>
      <c r="K3677">
        <v>1028.5999999999999</v>
      </c>
      <c r="L3677">
        <v>10286.02</v>
      </c>
      <c r="M3677">
        <v>9257.42</v>
      </c>
      <c r="N3677" t="s">
        <v>57</v>
      </c>
      <c r="O3677">
        <v>2024</v>
      </c>
    </row>
    <row r="3678" spans="1:15" x14ac:dyDescent="0.3">
      <c r="A3678" t="s">
        <v>3763</v>
      </c>
      <c r="B3678" t="s">
        <v>109</v>
      </c>
      <c r="C3678" t="s">
        <v>54</v>
      </c>
      <c r="D3678" t="s">
        <v>137</v>
      </c>
      <c r="E3678" t="s">
        <v>81</v>
      </c>
      <c r="F3678" s="1">
        <v>45803</v>
      </c>
      <c r="G3678">
        <v>5</v>
      </c>
      <c r="H3678">
        <v>893.89</v>
      </c>
      <c r="I3678">
        <v>15</v>
      </c>
      <c r="J3678" t="s">
        <v>20</v>
      </c>
      <c r="K3678">
        <v>670.42</v>
      </c>
      <c r="L3678">
        <v>4469.45</v>
      </c>
      <c r="M3678">
        <v>3799.03</v>
      </c>
      <c r="N3678" t="s">
        <v>101</v>
      </c>
      <c r="O3678">
        <v>2025</v>
      </c>
    </row>
    <row r="3679" spans="1:15" x14ac:dyDescent="0.3">
      <c r="A3679" t="s">
        <v>3764</v>
      </c>
      <c r="B3679" t="s">
        <v>89</v>
      </c>
      <c r="C3679" t="s">
        <v>17</v>
      </c>
      <c r="D3679" t="s">
        <v>18</v>
      </c>
      <c r="E3679" t="s">
        <v>25</v>
      </c>
      <c r="F3679" s="1">
        <v>45915</v>
      </c>
      <c r="G3679">
        <v>7</v>
      </c>
      <c r="H3679">
        <v>60137.56</v>
      </c>
      <c r="I3679">
        <v>0</v>
      </c>
      <c r="J3679" t="s">
        <v>20</v>
      </c>
      <c r="K3679">
        <v>0</v>
      </c>
      <c r="L3679">
        <v>420962.92</v>
      </c>
      <c r="M3679">
        <v>420962.92</v>
      </c>
      <c r="N3679" t="s">
        <v>86</v>
      </c>
      <c r="O3679">
        <v>2025</v>
      </c>
    </row>
    <row r="3680" spans="1:15" x14ac:dyDescent="0.3">
      <c r="A3680" t="s">
        <v>3765</v>
      </c>
      <c r="B3680" t="s">
        <v>93</v>
      </c>
      <c r="C3680" t="s">
        <v>90</v>
      </c>
      <c r="D3680" t="s">
        <v>115</v>
      </c>
      <c r="E3680" t="s">
        <v>30</v>
      </c>
      <c r="F3680" s="1">
        <v>45966</v>
      </c>
      <c r="G3680">
        <v>1</v>
      </c>
      <c r="H3680">
        <v>9587.5499999999993</v>
      </c>
      <c r="I3680">
        <v>15</v>
      </c>
      <c r="J3680" t="s">
        <v>26</v>
      </c>
      <c r="K3680">
        <v>1438.13</v>
      </c>
      <c r="L3680">
        <v>9587.5499999999993</v>
      </c>
      <c r="M3680">
        <v>8149.42</v>
      </c>
      <c r="N3680" t="s">
        <v>96</v>
      </c>
      <c r="O3680">
        <v>2025</v>
      </c>
    </row>
    <row r="3681" spans="1:15" x14ac:dyDescent="0.3">
      <c r="A3681" t="s">
        <v>3766</v>
      </c>
      <c r="B3681" t="s">
        <v>89</v>
      </c>
      <c r="C3681" t="s">
        <v>17</v>
      </c>
      <c r="D3681" t="s">
        <v>157</v>
      </c>
      <c r="E3681" t="s">
        <v>81</v>
      </c>
      <c r="F3681" s="1">
        <v>45880</v>
      </c>
      <c r="G3681">
        <v>1</v>
      </c>
      <c r="H3681">
        <v>7155.54</v>
      </c>
      <c r="I3681">
        <v>15</v>
      </c>
      <c r="J3681" t="s">
        <v>40</v>
      </c>
      <c r="K3681">
        <v>1073.33</v>
      </c>
      <c r="L3681">
        <v>7155.54</v>
      </c>
      <c r="M3681">
        <v>6082.21</v>
      </c>
      <c r="N3681" t="s">
        <v>21</v>
      </c>
      <c r="O3681">
        <v>2025</v>
      </c>
    </row>
    <row r="3682" spans="1:15" x14ac:dyDescent="0.3">
      <c r="A3682" t="s">
        <v>3767</v>
      </c>
      <c r="B3682" t="s">
        <v>65</v>
      </c>
      <c r="C3682" t="s">
        <v>54</v>
      </c>
      <c r="D3682" t="s">
        <v>55</v>
      </c>
      <c r="E3682" t="s">
        <v>19</v>
      </c>
      <c r="F3682" s="1">
        <v>45988</v>
      </c>
      <c r="G3682">
        <v>2</v>
      </c>
      <c r="H3682">
        <v>1319.3</v>
      </c>
      <c r="I3682">
        <v>5</v>
      </c>
      <c r="J3682" t="s">
        <v>45</v>
      </c>
      <c r="K3682">
        <v>131.93</v>
      </c>
      <c r="L3682">
        <v>2638.6</v>
      </c>
      <c r="M3682">
        <v>2506.67</v>
      </c>
      <c r="N3682" t="s">
        <v>96</v>
      </c>
      <c r="O3682">
        <v>2025</v>
      </c>
    </row>
    <row r="3683" spans="1:15" x14ac:dyDescent="0.3">
      <c r="A3683" t="s">
        <v>3768</v>
      </c>
      <c r="B3683" t="s">
        <v>93</v>
      </c>
      <c r="C3683" t="s">
        <v>17</v>
      </c>
      <c r="D3683" t="s">
        <v>39</v>
      </c>
      <c r="E3683" t="s">
        <v>44</v>
      </c>
      <c r="F3683" s="1">
        <v>45972</v>
      </c>
      <c r="G3683">
        <v>9</v>
      </c>
      <c r="H3683">
        <v>21634.720000000001</v>
      </c>
      <c r="I3683">
        <v>20</v>
      </c>
      <c r="J3683" t="s">
        <v>20</v>
      </c>
      <c r="K3683">
        <v>38942.5</v>
      </c>
      <c r="L3683">
        <v>194712.48</v>
      </c>
      <c r="M3683">
        <v>155769.98000000001</v>
      </c>
      <c r="N3683" t="s">
        <v>96</v>
      </c>
      <c r="O3683">
        <v>2025</v>
      </c>
    </row>
    <row r="3684" spans="1:15" x14ac:dyDescent="0.3">
      <c r="A3684" t="s">
        <v>3769</v>
      </c>
      <c r="B3684" t="s">
        <v>23</v>
      </c>
      <c r="C3684" t="s">
        <v>90</v>
      </c>
      <c r="D3684" t="s">
        <v>152</v>
      </c>
      <c r="E3684" t="s">
        <v>30</v>
      </c>
      <c r="F3684" s="1">
        <v>45653</v>
      </c>
      <c r="G3684">
        <v>4</v>
      </c>
      <c r="H3684">
        <v>12074.11</v>
      </c>
      <c r="I3684">
        <v>15</v>
      </c>
      <c r="J3684" t="s">
        <v>20</v>
      </c>
      <c r="K3684">
        <v>7244.47</v>
      </c>
      <c r="L3684">
        <v>48296.44</v>
      </c>
      <c r="M3684">
        <v>41051.97</v>
      </c>
      <c r="N3684" t="s">
        <v>51</v>
      </c>
      <c r="O3684">
        <v>2024</v>
      </c>
    </row>
    <row r="3685" spans="1:15" x14ac:dyDescent="0.3">
      <c r="A3685" t="s">
        <v>3770</v>
      </c>
      <c r="B3685" t="s">
        <v>114</v>
      </c>
      <c r="C3685" t="s">
        <v>34</v>
      </c>
      <c r="D3685" t="s">
        <v>48</v>
      </c>
      <c r="E3685" t="s">
        <v>30</v>
      </c>
      <c r="F3685" s="1">
        <v>46012</v>
      </c>
      <c r="G3685">
        <v>9</v>
      </c>
      <c r="H3685">
        <v>9227.56</v>
      </c>
      <c r="I3685">
        <v>0</v>
      </c>
      <c r="J3685" t="s">
        <v>45</v>
      </c>
      <c r="K3685">
        <v>0</v>
      </c>
      <c r="L3685">
        <v>83048.039999999994</v>
      </c>
      <c r="M3685">
        <v>83048.039999999994</v>
      </c>
      <c r="N3685" t="s">
        <v>51</v>
      </c>
      <c r="O3685">
        <v>2025</v>
      </c>
    </row>
    <row r="3686" spans="1:15" x14ac:dyDescent="0.3">
      <c r="A3686" t="s">
        <v>3771</v>
      </c>
      <c r="B3686" t="s">
        <v>89</v>
      </c>
      <c r="C3686" t="s">
        <v>90</v>
      </c>
      <c r="D3686" t="s">
        <v>105</v>
      </c>
      <c r="E3686" t="s">
        <v>50</v>
      </c>
      <c r="F3686" s="1">
        <v>45838</v>
      </c>
      <c r="G3686">
        <v>9</v>
      </c>
      <c r="H3686">
        <v>3337.6</v>
      </c>
      <c r="I3686">
        <v>0</v>
      </c>
      <c r="J3686" t="s">
        <v>36</v>
      </c>
      <c r="K3686">
        <v>0</v>
      </c>
      <c r="L3686">
        <v>30038.400000000001</v>
      </c>
      <c r="M3686">
        <v>30038.400000000001</v>
      </c>
      <c r="N3686" t="s">
        <v>72</v>
      </c>
      <c r="O3686">
        <v>2025</v>
      </c>
    </row>
    <row r="3687" spans="1:15" x14ac:dyDescent="0.3">
      <c r="A3687" t="s">
        <v>3772</v>
      </c>
      <c r="B3687" t="s">
        <v>74</v>
      </c>
      <c r="C3687" t="s">
        <v>34</v>
      </c>
      <c r="D3687" t="s">
        <v>85</v>
      </c>
      <c r="E3687" t="s">
        <v>19</v>
      </c>
      <c r="F3687" s="1">
        <v>45490</v>
      </c>
      <c r="G3687">
        <v>10</v>
      </c>
      <c r="H3687">
        <v>10821.9</v>
      </c>
      <c r="I3687">
        <v>10</v>
      </c>
      <c r="J3687" t="s">
        <v>82</v>
      </c>
      <c r="K3687">
        <v>10821.9</v>
      </c>
      <c r="L3687">
        <v>108219</v>
      </c>
      <c r="M3687">
        <v>97397.1</v>
      </c>
      <c r="N3687" t="s">
        <v>122</v>
      </c>
      <c r="O3687">
        <v>2024</v>
      </c>
    </row>
    <row r="3688" spans="1:15" x14ac:dyDescent="0.3">
      <c r="A3688" t="s">
        <v>3773</v>
      </c>
      <c r="B3688" t="s">
        <v>93</v>
      </c>
      <c r="C3688" t="s">
        <v>34</v>
      </c>
      <c r="D3688" t="s">
        <v>80</v>
      </c>
      <c r="E3688" t="s">
        <v>56</v>
      </c>
      <c r="F3688" s="1">
        <v>45460</v>
      </c>
      <c r="G3688">
        <v>8</v>
      </c>
      <c r="H3688">
        <v>6352.88</v>
      </c>
      <c r="I3688">
        <v>20</v>
      </c>
      <c r="J3688" t="s">
        <v>40</v>
      </c>
      <c r="K3688">
        <v>10164.61</v>
      </c>
      <c r="L3688">
        <v>50823.040000000001</v>
      </c>
      <c r="M3688">
        <v>40658.43</v>
      </c>
      <c r="N3688" t="s">
        <v>72</v>
      </c>
      <c r="O3688">
        <v>2024</v>
      </c>
    </row>
    <row r="3689" spans="1:15" x14ac:dyDescent="0.3">
      <c r="A3689" t="s">
        <v>3774</v>
      </c>
      <c r="B3689" t="s">
        <v>23</v>
      </c>
      <c r="C3689" t="s">
        <v>34</v>
      </c>
      <c r="D3689" t="s">
        <v>35</v>
      </c>
      <c r="E3689" t="s">
        <v>44</v>
      </c>
      <c r="F3689" s="1">
        <v>45613</v>
      </c>
      <c r="G3689">
        <v>8</v>
      </c>
      <c r="H3689">
        <v>29646.84</v>
      </c>
      <c r="I3689">
        <v>20</v>
      </c>
      <c r="J3689" t="s">
        <v>20</v>
      </c>
      <c r="K3689">
        <v>47434.94</v>
      </c>
      <c r="L3689">
        <v>237174.72</v>
      </c>
      <c r="M3689">
        <v>189739.78</v>
      </c>
      <c r="N3689" t="s">
        <v>96</v>
      </c>
      <c r="O3689">
        <v>2024</v>
      </c>
    </row>
    <row r="3690" spans="1:15" x14ac:dyDescent="0.3">
      <c r="A3690" t="s">
        <v>3775</v>
      </c>
      <c r="B3690" t="s">
        <v>74</v>
      </c>
      <c r="C3690" t="s">
        <v>90</v>
      </c>
      <c r="D3690" t="s">
        <v>152</v>
      </c>
      <c r="E3690" t="s">
        <v>44</v>
      </c>
      <c r="F3690" s="1">
        <v>46003</v>
      </c>
      <c r="G3690">
        <v>5</v>
      </c>
      <c r="H3690">
        <v>11330.44</v>
      </c>
      <c r="I3690">
        <v>0</v>
      </c>
      <c r="J3690" t="s">
        <v>82</v>
      </c>
      <c r="K3690">
        <v>0</v>
      </c>
      <c r="L3690">
        <v>56652.2</v>
      </c>
      <c r="M3690">
        <v>56652.2</v>
      </c>
      <c r="N3690" t="s">
        <v>51</v>
      </c>
      <c r="O3690">
        <v>2025</v>
      </c>
    </row>
    <row r="3691" spans="1:15" x14ac:dyDescent="0.3">
      <c r="A3691" t="s">
        <v>3776</v>
      </c>
      <c r="B3691" t="s">
        <v>61</v>
      </c>
      <c r="C3691" t="s">
        <v>34</v>
      </c>
      <c r="D3691" t="s">
        <v>80</v>
      </c>
      <c r="E3691" t="s">
        <v>25</v>
      </c>
      <c r="F3691" s="1">
        <v>45981</v>
      </c>
      <c r="G3691">
        <v>4</v>
      </c>
      <c r="H3691">
        <v>7267.58</v>
      </c>
      <c r="I3691">
        <v>15</v>
      </c>
      <c r="J3691" t="s">
        <v>71</v>
      </c>
      <c r="K3691">
        <v>4360.55</v>
      </c>
      <c r="L3691">
        <v>29070.32</v>
      </c>
      <c r="M3691">
        <v>24709.77</v>
      </c>
      <c r="N3691" t="s">
        <v>96</v>
      </c>
      <c r="O3691">
        <v>2025</v>
      </c>
    </row>
    <row r="3692" spans="1:15" x14ac:dyDescent="0.3">
      <c r="A3692" t="s">
        <v>3777</v>
      </c>
      <c r="B3692" t="s">
        <v>38</v>
      </c>
      <c r="C3692" t="s">
        <v>62</v>
      </c>
      <c r="D3692" t="s">
        <v>132</v>
      </c>
      <c r="E3692" t="s">
        <v>50</v>
      </c>
      <c r="F3692" s="1">
        <v>45317</v>
      </c>
      <c r="G3692">
        <v>9</v>
      </c>
      <c r="H3692">
        <v>2358.8200000000002</v>
      </c>
      <c r="I3692">
        <v>10</v>
      </c>
      <c r="J3692" t="s">
        <v>31</v>
      </c>
      <c r="K3692">
        <v>2122.94</v>
      </c>
      <c r="L3692">
        <v>21229.38</v>
      </c>
      <c r="M3692">
        <v>19106.439999999999</v>
      </c>
      <c r="N3692" t="s">
        <v>116</v>
      </c>
      <c r="O3692">
        <v>2024</v>
      </c>
    </row>
    <row r="3693" spans="1:15" x14ac:dyDescent="0.3">
      <c r="A3693" t="s">
        <v>3778</v>
      </c>
      <c r="B3693" t="s">
        <v>29</v>
      </c>
      <c r="C3693" t="s">
        <v>34</v>
      </c>
      <c r="D3693" t="s">
        <v>35</v>
      </c>
      <c r="E3693" t="s">
        <v>30</v>
      </c>
      <c r="F3693" s="1">
        <v>45897</v>
      </c>
      <c r="G3693">
        <v>5</v>
      </c>
      <c r="H3693">
        <v>26922.14</v>
      </c>
      <c r="I3693">
        <v>0</v>
      </c>
      <c r="J3693" t="s">
        <v>71</v>
      </c>
      <c r="K3693">
        <v>0</v>
      </c>
      <c r="L3693">
        <v>134610.70000000001</v>
      </c>
      <c r="M3693">
        <v>134610.70000000001</v>
      </c>
      <c r="N3693" t="s">
        <v>21</v>
      </c>
      <c r="O3693">
        <v>2025</v>
      </c>
    </row>
    <row r="3694" spans="1:15" x14ac:dyDescent="0.3">
      <c r="A3694" t="s">
        <v>3779</v>
      </c>
      <c r="B3694" t="s">
        <v>38</v>
      </c>
      <c r="C3694" t="s">
        <v>34</v>
      </c>
      <c r="D3694" t="s">
        <v>66</v>
      </c>
      <c r="E3694" t="s">
        <v>44</v>
      </c>
      <c r="F3694" s="1">
        <v>45731</v>
      </c>
      <c r="G3694">
        <v>10</v>
      </c>
      <c r="H3694">
        <v>37036.86</v>
      </c>
      <c r="I3694">
        <v>5</v>
      </c>
      <c r="J3694" t="s">
        <v>31</v>
      </c>
      <c r="K3694">
        <v>18518.43</v>
      </c>
      <c r="L3694">
        <v>370368.6</v>
      </c>
      <c r="M3694">
        <v>351850.17</v>
      </c>
      <c r="N3694" t="s">
        <v>83</v>
      </c>
      <c r="O3694">
        <v>2025</v>
      </c>
    </row>
    <row r="3695" spans="1:15" x14ac:dyDescent="0.3">
      <c r="A3695" t="s">
        <v>3780</v>
      </c>
      <c r="B3695" t="s">
        <v>74</v>
      </c>
      <c r="C3695" t="s">
        <v>34</v>
      </c>
      <c r="D3695" t="s">
        <v>85</v>
      </c>
      <c r="E3695" t="s">
        <v>44</v>
      </c>
      <c r="F3695" s="1">
        <v>45369</v>
      </c>
      <c r="G3695">
        <v>5</v>
      </c>
      <c r="H3695">
        <v>12679.87</v>
      </c>
      <c r="I3695">
        <v>5</v>
      </c>
      <c r="J3695" t="s">
        <v>36</v>
      </c>
      <c r="K3695">
        <v>3169.97</v>
      </c>
      <c r="L3695">
        <v>63399.35</v>
      </c>
      <c r="M3695">
        <v>60229.38</v>
      </c>
      <c r="N3695" t="s">
        <v>83</v>
      </c>
      <c r="O3695">
        <v>2024</v>
      </c>
    </row>
    <row r="3696" spans="1:15" x14ac:dyDescent="0.3">
      <c r="A3696" t="s">
        <v>3781</v>
      </c>
      <c r="B3696" t="s">
        <v>74</v>
      </c>
      <c r="C3696" t="s">
        <v>62</v>
      </c>
      <c r="D3696" t="s">
        <v>63</v>
      </c>
      <c r="E3696" t="s">
        <v>56</v>
      </c>
      <c r="F3696" s="1">
        <v>45402</v>
      </c>
      <c r="G3696">
        <v>10</v>
      </c>
      <c r="H3696">
        <v>1840.15</v>
      </c>
      <c r="I3696">
        <v>20</v>
      </c>
      <c r="J3696" t="s">
        <v>82</v>
      </c>
      <c r="K3696">
        <v>3680.3</v>
      </c>
      <c r="L3696">
        <v>18401.5</v>
      </c>
      <c r="M3696">
        <v>14721.2</v>
      </c>
      <c r="N3696" t="s">
        <v>27</v>
      </c>
      <c r="O3696">
        <v>2024</v>
      </c>
    </row>
    <row r="3697" spans="1:15" x14ac:dyDescent="0.3">
      <c r="A3697" t="s">
        <v>3782</v>
      </c>
      <c r="B3697" t="s">
        <v>38</v>
      </c>
      <c r="C3697" t="s">
        <v>54</v>
      </c>
      <c r="D3697" t="s">
        <v>55</v>
      </c>
      <c r="E3697" t="s">
        <v>19</v>
      </c>
      <c r="F3697" s="1">
        <v>45695</v>
      </c>
      <c r="G3697">
        <v>6</v>
      </c>
      <c r="H3697">
        <v>1215.45</v>
      </c>
      <c r="I3697">
        <v>10</v>
      </c>
      <c r="J3697" t="s">
        <v>40</v>
      </c>
      <c r="K3697">
        <v>729.27</v>
      </c>
      <c r="L3697">
        <v>7292.7</v>
      </c>
      <c r="M3697">
        <v>6563.43</v>
      </c>
      <c r="N3697" t="s">
        <v>41</v>
      </c>
      <c r="O3697">
        <v>2025</v>
      </c>
    </row>
    <row r="3698" spans="1:15" x14ac:dyDescent="0.3">
      <c r="A3698" t="s">
        <v>3783</v>
      </c>
      <c r="B3698" t="s">
        <v>114</v>
      </c>
      <c r="C3698" t="s">
        <v>62</v>
      </c>
      <c r="D3698" t="s">
        <v>99</v>
      </c>
      <c r="E3698" t="s">
        <v>19</v>
      </c>
      <c r="F3698" s="1">
        <v>45477</v>
      </c>
      <c r="G3698">
        <v>6</v>
      </c>
      <c r="H3698">
        <v>1607.42</v>
      </c>
      <c r="I3698">
        <v>10</v>
      </c>
      <c r="J3698" t="s">
        <v>20</v>
      </c>
      <c r="K3698">
        <v>964.45</v>
      </c>
      <c r="L3698">
        <v>9644.52</v>
      </c>
      <c r="M3698">
        <v>8680.07</v>
      </c>
      <c r="N3698" t="s">
        <v>122</v>
      </c>
      <c r="O3698">
        <v>2024</v>
      </c>
    </row>
    <row r="3699" spans="1:15" x14ac:dyDescent="0.3">
      <c r="A3699" t="s">
        <v>3784</v>
      </c>
      <c r="B3699" t="s">
        <v>114</v>
      </c>
      <c r="C3699" t="s">
        <v>62</v>
      </c>
      <c r="D3699" t="s">
        <v>119</v>
      </c>
      <c r="E3699" t="s">
        <v>25</v>
      </c>
      <c r="F3699" s="1">
        <v>45825</v>
      </c>
      <c r="G3699">
        <v>2</v>
      </c>
      <c r="H3699">
        <v>3847.63</v>
      </c>
      <c r="I3699">
        <v>20</v>
      </c>
      <c r="J3699" t="s">
        <v>82</v>
      </c>
      <c r="K3699">
        <v>1539.05</v>
      </c>
      <c r="L3699">
        <v>7695.26</v>
      </c>
      <c r="M3699">
        <v>6156.21</v>
      </c>
      <c r="N3699" t="s">
        <v>72</v>
      </c>
      <c r="O3699">
        <v>2025</v>
      </c>
    </row>
    <row r="3700" spans="1:15" x14ac:dyDescent="0.3">
      <c r="A3700" t="s">
        <v>3785</v>
      </c>
      <c r="B3700" t="s">
        <v>29</v>
      </c>
      <c r="C3700" t="s">
        <v>62</v>
      </c>
      <c r="D3700" t="s">
        <v>95</v>
      </c>
      <c r="E3700" t="s">
        <v>56</v>
      </c>
      <c r="F3700" s="1">
        <v>45484</v>
      </c>
      <c r="G3700">
        <v>9</v>
      </c>
      <c r="H3700">
        <v>913.27</v>
      </c>
      <c r="I3700">
        <v>10</v>
      </c>
      <c r="J3700" t="s">
        <v>71</v>
      </c>
      <c r="K3700">
        <v>821.94</v>
      </c>
      <c r="L3700">
        <v>8219.43</v>
      </c>
      <c r="M3700">
        <v>7397.49</v>
      </c>
      <c r="N3700" t="s">
        <v>122</v>
      </c>
      <c r="O3700">
        <v>2024</v>
      </c>
    </row>
    <row r="3701" spans="1:15" x14ac:dyDescent="0.3">
      <c r="A3701" t="s">
        <v>3786</v>
      </c>
      <c r="B3701" t="s">
        <v>29</v>
      </c>
      <c r="C3701" t="s">
        <v>34</v>
      </c>
      <c r="D3701" t="s">
        <v>80</v>
      </c>
      <c r="E3701" t="s">
        <v>81</v>
      </c>
      <c r="F3701" s="1">
        <v>45998</v>
      </c>
      <c r="G3701">
        <v>10</v>
      </c>
      <c r="H3701">
        <v>6297.04</v>
      </c>
      <c r="I3701">
        <v>15</v>
      </c>
      <c r="J3701" t="s">
        <v>82</v>
      </c>
      <c r="K3701">
        <v>9445.56</v>
      </c>
      <c r="L3701">
        <v>62970.400000000001</v>
      </c>
      <c r="M3701">
        <v>53524.84</v>
      </c>
      <c r="N3701" t="s">
        <v>51</v>
      </c>
      <c r="O3701">
        <v>2025</v>
      </c>
    </row>
    <row r="3702" spans="1:15" x14ac:dyDescent="0.3">
      <c r="A3702" t="s">
        <v>3787</v>
      </c>
      <c r="B3702" t="s">
        <v>74</v>
      </c>
      <c r="C3702" t="s">
        <v>54</v>
      </c>
      <c r="D3702" t="s">
        <v>137</v>
      </c>
      <c r="E3702" t="s">
        <v>25</v>
      </c>
      <c r="F3702" s="1">
        <v>45800</v>
      </c>
      <c r="G3702">
        <v>2</v>
      </c>
      <c r="H3702">
        <v>868.54</v>
      </c>
      <c r="I3702">
        <v>5</v>
      </c>
      <c r="J3702" t="s">
        <v>40</v>
      </c>
      <c r="K3702">
        <v>86.85</v>
      </c>
      <c r="L3702">
        <v>1737.08</v>
      </c>
      <c r="M3702">
        <v>1650.23</v>
      </c>
      <c r="N3702" t="s">
        <v>101</v>
      </c>
      <c r="O3702">
        <v>2025</v>
      </c>
    </row>
    <row r="3703" spans="1:15" x14ac:dyDescent="0.3">
      <c r="A3703" t="s">
        <v>3788</v>
      </c>
      <c r="B3703" t="s">
        <v>47</v>
      </c>
      <c r="C3703" t="s">
        <v>34</v>
      </c>
      <c r="D3703" t="s">
        <v>80</v>
      </c>
      <c r="E3703" t="s">
        <v>19</v>
      </c>
      <c r="F3703" s="1">
        <v>45495</v>
      </c>
      <c r="G3703">
        <v>4</v>
      </c>
      <c r="H3703">
        <v>5885.46</v>
      </c>
      <c r="I3703">
        <v>0</v>
      </c>
      <c r="J3703" t="s">
        <v>20</v>
      </c>
      <c r="K3703">
        <v>0</v>
      </c>
      <c r="L3703">
        <v>23541.84</v>
      </c>
      <c r="M3703">
        <v>23541.84</v>
      </c>
      <c r="N3703" t="s">
        <v>122</v>
      </c>
      <c r="O3703">
        <v>2024</v>
      </c>
    </row>
    <row r="3704" spans="1:15" x14ac:dyDescent="0.3">
      <c r="A3704" t="s">
        <v>3789</v>
      </c>
      <c r="B3704" t="s">
        <v>53</v>
      </c>
      <c r="C3704" t="s">
        <v>17</v>
      </c>
      <c r="D3704" t="s">
        <v>18</v>
      </c>
      <c r="E3704" t="s">
        <v>56</v>
      </c>
      <c r="F3704" s="1">
        <v>45846</v>
      </c>
      <c r="G3704">
        <v>4</v>
      </c>
      <c r="H3704">
        <v>73310.55</v>
      </c>
      <c r="I3704">
        <v>0</v>
      </c>
      <c r="J3704" t="s">
        <v>36</v>
      </c>
      <c r="K3704">
        <v>0</v>
      </c>
      <c r="L3704">
        <v>293242.2</v>
      </c>
      <c r="M3704">
        <v>293242.2</v>
      </c>
      <c r="N3704" t="s">
        <v>122</v>
      </c>
      <c r="O3704">
        <v>2025</v>
      </c>
    </row>
    <row r="3705" spans="1:15" x14ac:dyDescent="0.3">
      <c r="A3705" t="s">
        <v>3790</v>
      </c>
      <c r="B3705" t="s">
        <v>65</v>
      </c>
      <c r="C3705" t="s">
        <v>34</v>
      </c>
      <c r="D3705" t="s">
        <v>80</v>
      </c>
      <c r="E3705" t="s">
        <v>56</v>
      </c>
      <c r="F3705" s="1">
        <v>45590</v>
      </c>
      <c r="G3705">
        <v>8</v>
      </c>
      <c r="H3705">
        <v>7438.1</v>
      </c>
      <c r="I3705">
        <v>0</v>
      </c>
      <c r="J3705" t="s">
        <v>31</v>
      </c>
      <c r="K3705">
        <v>0</v>
      </c>
      <c r="L3705">
        <v>59504.800000000003</v>
      </c>
      <c r="M3705">
        <v>59504.800000000003</v>
      </c>
      <c r="N3705" t="s">
        <v>57</v>
      </c>
      <c r="O3705">
        <v>2024</v>
      </c>
    </row>
    <row r="3706" spans="1:15" x14ac:dyDescent="0.3">
      <c r="A3706" t="s">
        <v>3791</v>
      </c>
      <c r="B3706" t="s">
        <v>23</v>
      </c>
      <c r="C3706" t="s">
        <v>54</v>
      </c>
      <c r="D3706" t="s">
        <v>70</v>
      </c>
      <c r="E3706" t="s">
        <v>30</v>
      </c>
      <c r="F3706" s="1">
        <v>45737</v>
      </c>
      <c r="G3706">
        <v>2</v>
      </c>
      <c r="H3706">
        <v>2857.08</v>
      </c>
      <c r="I3706">
        <v>5</v>
      </c>
      <c r="J3706" t="s">
        <v>71</v>
      </c>
      <c r="K3706">
        <v>285.70999999999998</v>
      </c>
      <c r="L3706">
        <v>5714.16</v>
      </c>
      <c r="M3706">
        <v>5428.45</v>
      </c>
      <c r="N3706" t="s">
        <v>83</v>
      </c>
      <c r="O3706">
        <v>2025</v>
      </c>
    </row>
    <row r="3707" spans="1:15" x14ac:dyDescent="0.3">
      <c r="A3707" t="s">
        <v>3792</v>
      </c>
      <c r="B3707" t="s">
        <v>53</v>
      </c>
      <c r="C3707" t="s">
        <v>90</v>
      </c>
      <c r="D3707" t="s">
        <v>152</v>
      </c>
      <c r="E3707" t="s">
        <v>30</v>
      </c>
      <c r="F3707" s="1">
        <v>45294</v>
      </c>
      <c r="G3707">
        <v>8</v>
      </c>
      <c r="H3707">
        <v>10052.67</v>
      </c>
      <c r="I3707">
        <v>15</v>
      </c>
      <c r="J3707" t="s">
        <v>45</v>
      </c>
      <c r="K3707">
        <v>12063.2</v>
      </c>
      <c r="L3707">
        <v>80421.36</v>
      </c>
      <c r="M3707">
        <v>68358.16</v>
      </c>
      <c r="N3707" t="s">
        <v>116</v>
      </c>
      <c r="O3707">
        <v>2024</v>
      </c>
    </row>
    <row r="3708" spans="1:15" x14ac:dyDescent="0.3">
      <c r="A3708" t="s">
        <v>3793</v>
      </c>
      <c r="B3708" t="s">
        <v>53</v>
      </c>
      <c r="C3708" t="s">
        <v>17</v>
      </c>
      <c r="D3708" t="s">
        <v>157</v>
      </c>
      <c r="E3708" t="s">
        <v>25</v>
      </c>
      <c r="F3708" s="1">
        <v>45442</v>
      </c>
      <c r="G3708">
        <v>1</v>
      </c>
      <c r="H3708">
        <v>6793.39</v>
      </c>
      <c r="I3708">
        <v>20</v>
      </c>
      <c r="J3708" t="s">
        <v>71</v>
      </c>
      <c r="K3708">
        <v>1358.68</v>
      </c>
      <c r="L3708">
        <v>6793.39</v>
      </c>
      <c r="M3708">
        <v>5434.71</v>
      </c>
      <c r="N3708" t="s">
        <v>101</v>
      </c>
      <c r="O3708">
        <v>2024</v>
      </c>
    </row>
    <row r="3709" spans="1:15" x14ac:dyDescent="0.3">
      <c r="A3709" t="s">
        <v>3794</v>
      </c>
      <c r="B3709" t="s">
        <v>65</v>
      </c>
      <c r="C3709" t="s">
        <v>54</v>
      </c>
      <c r="D3709" t="s">
        <v>68</v>
      </c>
      <c r="E3709" t="s">
        <v>25</v>
      </c>
      <c r="F3709" s="1">
        <v>45397</v>
      </c>
      <c r="G3709">
        <v>9</v>
      </c>
      <c r="H3709">
        <v>4488.67</v>
      </c>
      <c r="I3709">
        <v>20</v>
      </c>
      <c r="J3709" t="s">
        <v>40</v>
      </c>
      <c r="K3709">
        <v>8079.61</v>
      </c>
      <c r="L3709">
        <v>40398.03</v>
      </c>
      <c r="M3709">
        <v>32318.42</v>
      </c>
      <c r="N3709" t="s">
        <v>27</v>
      </c>
      <c r="O3709">
        <v>2024</v>
      </c>
    </row>
    <row r="3710" spans="1:15" x14ac:dyDescent="0.3">
      <c r="A3710" t="s">
        <v>3795</v>
      </c>
      <c r="B3710" t="s">
        <v>29</v>
      </c>
      <c r="C3710" t="s">
        <v>34</v>
      </c>
      <c r="D3710" t="s">
        <v>80</v>
      </c>
      <c r="E3710" t="s">
        <v>44</v>
      </c>
      <c r="F3710" s="1">
        <v>45688</v>
      </c>
      <c r="G3710">
        <v>5</v>
      </c>
      <c r="H3710">
        <v>6381.51</v>
      </c>
      <c r="I3710">
        <v>15</v>
      </c>
      <c r="J3710" t="s">
        <v>36</v>
      </c>
      <c r="K3710">
        <v>4786.13</v>
      </c>
      <c r="L3710">
        <v>31907.55</v>
      </c>
      <c r="M3710">
        <v>27121.42</v>
      </c>
      <c r="N3710" t="s">
        <v>116</v>
      </c>
      <c r="O3710">
        <v>2025</v>
      </c>
    </row>
    <row r="3711" spans="1:15" x14ac:dyDescent="0.3">
      <c r="A3711" t="s">
        <v>3796</v>
      </c>
      <c r="B3711" t="s">
        <v>23</v>
      </c>
      <c r="C3711" t="s">
        <v>62</v>
      </c>
      <c r="D3711" t="s">
        <v>132</v>
      </c>
      <c r="E3711" t="s">
        <v>56</v>
      </c>
      <c r="F3711" s="1">
        <v>45403</v>
      </c>
      <c r="G3711">
        <v>10</v>
      </c>
      <c r="H3711">
        <v>2633.05</v>
      </c>
      <c r="I3711">
        <v>15</v>
      </c>
      <c r="J3711" t="s">
        <v>40</v>
      </c>
      <c r="K3711">
        <v>3949.57</v>
      </c>
      <c r="L3711">
        <v>26330.5</v>
      </c>
      <c r="M3711">
        <v>22380.93</v>
      </c>
      <c r="N3711" t="s">
        <v>27</v>
      </c>
      <c r="O3711">
        <v>2024</v>
      </c>
    </row>
    <row r="3712" spans="1:15" x14ac:dyDescent="0.3">
      <c r="A3712" t="s">
        <v>3797</v>
      </c>
      <c r="B3712" t="s">
        <v>16</v>
      </c>
      <c r="C3712" t="s">
        <v>17</v>
      </c>
      <c r="D3712" t="s">
        <v>39</v>
      </c>
      <c r="E3712" t="s">
        <v>30</v>
      </c>
      <c r="F3712" s="1">
        <v>45915</v>
      </c>
      <c r="G3712">
        <v>1</v>
      </c>
      <c r="H3712">
        <v>17941.07</v>
      </c>
      <c r="I3712">
        <v>10</v>
      </c>
      <c r="J3712" t="s">
        <v>20</v>
      </c>
      <c r="K3712">
        <v>1794.11</v>
      </c>
      <c r="L3712">
        <v>17941.07</v>
      </c>
      <c r="M3712">
        <v>16146.96</v>
      </c>
      <c r="N3712" t="s">
        <v>86</v>
      </c>
      <c r="O3712">
        <v>2025</v>
      </c>
    </row>
    <row r="3713" spans="1:15" x14ac:dyDescent="0.3">
      <c r="A3713" t="s">
        <v>3798</v>
      </c>
      <c r="B3713" t="s">
        <v>93</v>
      </c>
      <c r="C3713" t="s">
        <v>54</v>
      </c>
      <c r="D3713" t="s">
        <v>70</v>
      </c>
      <c r="E3713" t="s">
        <v>30</v>
      </c>
      <c r="F3713" s="1">
        <v>45952</v>
      </c>
      <c r="G3713">
        <v>1</v>
      </c>
      <c r="H3713">
        <v>2632.76</v>
      </c>
      <c r="I3713">
        <v>5</v>
      </c>
      <c r="J3713" t="s">
        <v>71</v>
      </c>
      <c r="K3713">
        <v>131.63999999999999</v>
      </c>
      <c r="L3713">
        <v>2632.76</v>
      </c>
      <c r="M3713">
        <v>2501.12</v>
      </c>
      <c r="N3713" t="s">
        <v>57</v>
      </c>
      <c r="O3713">
        <v>2025</v>
      </c>
    </row>
    <row r="3714" spans="1:15" x14ac:dyDescent="0.3">
      <c r="A3714" t="s">
        <v>3799</v>
      </c>
      <c r="B3714" t="s">
        <v>16</v>
      </c>
      <c r="C3714" t="s">
        <v>62</v>
      </c>
      <c r="D3714" t="s">
        <v>95</v>
      </c>
      <c r="E3714" t="s">
        <v>81</v>
      </c>
      <c r="F3714" s="1">
        <v>45991</v>
      </c>
      <c r="G3714">
        <v>1</v>
      </c>
      <c r="H3714">
        <v>819.14</v>
      </c>
      <c r="I3714">
        <v>0</v>
      </c>
      <c r="J3714" t="s">
        <v>71</v>
      </c>
      <c r="K3714">
        <v>0</v>
      </c>
      <c r="L3714">
        <v>819.14</v>
      </c>
      <c r="M3714">
        <v>819.14</v>
      </c>
      <c r="N3714" t="s">
        <v>96</v>
      </c>
      <c r="O3714">
        <v>2025</v>
      </c>
    </row>
    <row r="3715" spans="1:15" x14ac:dyDescent="0.3">
      <c r="A3715" t="s">
        <v>3800</v>
      </c>
      <c r="B3715" t="s">
        <v>93</v>
      </c>
      <c r="C3715" t="s">
        <v>62</v>
      </c>
      <c r="D3715" t="s">
        <v>132</v>
      </c>
      <c r="E3715" t="s">
        <v>25</v>
      </c>
      <c r="F3715" s="1">
        <v>45698</v>
      </c>
      <c r="G3715">
        <v>9</v>
      </c>
      <c r="H3715">
        <v>2338.88</v>
      </c>
      <c r="I3715">
        <v>15</v>
      </c>
      <c r="J3715" t="s">
        <v>20</v>
      </c>
      <c r="K3715">
        <v>3157.49</v>
      </c>
      <c r="L3715">
        <v>21049.919999999998</v>
      </c>
      <c r="M3715">
        <v>17892.43</v>
      </c>
      <c r="N3715" t="s">
        <v>41</v>
      </c>
      <c r="O3715">
        <v>2025</v>
      </c>
    </row>
    <row r="3716" spans="1:15" x14ac:dyDescent="0.3">
      <c r="A3716" t="s">
        <v>3801</v>
      </c>
      <c r="B3716" t="s">
        <v>89</v>
      </c>
      <c r="C3716" t="s">
        <v>90</v>
      </c>
      <c r="D3716" t="s">
        <v>105</v>
      </c>
      <c r="E3716" t="s">
        <v>19</v>
      </c>
      <c r="F3716" s="1">
        <v>45412</v>
      </c>
      <c r="G3716">
        <v>6</v>
      </c>
      <c r="H3716">
        <v>3956.99</v>
      </c>
      <c r="I3716">
        <v>0</v>
      </c>
      <c r="J3716" t="s">
        <v>36</v>
      </c>
      <c r="K3716">
        <v>0</v>
      </c>
      <c r="L3716">
        <v>23741.94</v>
      </c>
      <c r="M3716">
        <v>23741.94</v>
      </c>
      <c r="N3716" t="s">
        <v>27</v>
      </c>
      <c r="O3716">
        <v>2024</v>
      </c>
    </row>
    <row r="3717" spans="1:15" x14ac:dyDescent="0.3">
      <c r="A3717" t="s">
        <v>3802</v>
      </c>
      <c r="B3717" t="s">
        <v>61</v>
      </c>
      <c r="C3717" t="s">
        <v>54</v>
      </c>
      <c r="D3717" t="s">
        <v>55</v>
      </c>
      <c r="E3717" t="s">
        <v>56</v>
      </c>
      <c r="F3717" s="1">
        <v>45641</v>
      </c>
      <c r="G3717">
        <v>3</v>
      </c>
      <c r="H3717">
        <v>1320.5</v>
      </c>
      <c r="I3717">
        <v>0</v>
      </c>
      <c r="J3717" t="s">
        <v>36</v>
      </c>
      <c r="K3717">
        <v>0</v>
      </c>
      <c r="L3717">
        <v>3961.5</v>
      </c>
      <c r="M3717">
        <v>3961.5</v>
      </c>
      <c r="N3717" t="s">
        <v>51</v>
      </c>
      <c r="O3717">
        <v>2024</v>
      </c>
    </row>
    <row r="3718" spans="1:15" x14ac:dyDescent="0.3">
      <c r="A3718" t="s">
        <v>3803</v>
      </c>
      <c r="B3718" t="s">
        <v>47</v>
      </c>
      <c r="C3718" t="s">
        <v>34</v>
      </c>
      <c r="D3718" t="s">
        <v>85</v>
      </c>
      <c r="E3718" t="s">
        <v>56</v>
      </c>
      <c r="F3718" s="1">
        <v>45855</v>
      </c>
      <c r="G3718">
        <v>9</v>
      </c>
      <c r="H3718">
        <v>12166.49</v>
      </c>
      <c r="I3718">
        <v>10</v>
      </c>
      <c r="J3718" t="s">
        <v>26</v>
      </c>
      <c r="K3718">
        <v>10949.84</v>
      </c>
      <c r="L3718">
        <v>109498.41</v>
      </c>
      <c r="M3718">
        <v>98548.57</v>
      </c>
      <c r="N3718" t="s">
        <v>122</v>
      </c>
      <c r="O3718">
        <v>2025</v>
      </c>
    </row>
    <row r="3719" spans="1:15" x14ac:dyDescent="0.3">
      <c r="A3719" t="s">
        <v>3804</v>
      </c>
      <c r="B3719" t="s">
        <v>53</v>
      </c>
      <c r="C3719" t="s">
        <v>54</v>
      </c>
      <c r="D3719" t="s">
        <v>70</v>
      </c>
      <c r="E3719" t="s">
        <v>44</v>
      </c>
      <c r="F3719" s="1">
        <v>45495</v>
      </c>
      <c r="G3719">
        <v>6</v>
      </c>
      <c r="H3719">
        <v>2590.77</v>
      </c>
      <c r="I3719">
        <v>20</v>
      </c>
      <c r="J3719" t="s">
        <v>20</v>
      </c>
      <c r="K3719">
        <v>3108.92</v>
      </c>
      <c r="L3719">
        <v>15544.62</v>
      </c>
      <c r="M3719">
        <v>12435.7</v>
      </c>
      <c r="N3719" t="s">
        <v>122</v>
      </c>
      <c r="O3719">
        <v>2024</v>
      </c>
    </row>
    <row r="3720" spans="1:15" x14ac:dyDescent="0.3">
      <c r="A3720" t="s">
        <v>3805</v>
      </c>
      <c r="B3720" t="s">
        <v>61</v>
      </c>
      <c r="C3720" t="s">
        <v>62</v>
      </c>
      <c r="D3720" t="s">
        <v>63</v>
      </c>
      <c r="E3720" t="s">
        <v>44</v>
      </c>
      <c r="F3720" s="1">
        <v>45296</v>
      </c>
      <c r="G3720">
        <v>7</v>
      </c>
      <c r="H3720">
        <v>1782.94</v>
      </c>
      <c r="I3720">
        <v>5</v>
      </c>
      <c r="J3720" t="s">
        <v>82</v>
      </c>
      <c r="K3720">
        <v>624.03</v>
      </c>
      <c r="L3720">
        <v>12480.58</v>
      </c>
      <c r="M3720">
        <v>11856.55</v>
      </c>
      <c r="N3720" t="s">
        <v>116</v>
      </c>
      <c r="O3720">
        <v>2024</v>
      </c>
    </row>
    <row r="3721" spans="1:15" x14ac:dyDescent="0.3">
      <c r="A3721" t="s">
        <v>3806</v>
      </c>
      <c r="B3721" t="s">
        <v>89</v>
      </c>
      <c r="C3721" t="s">
        <v>62</v>
      </c>
      <c r="D3721" t="s">
        <v>95</v>
      </c>
      <c r="E3721" t="s">
        <v>19</v>
      </c>
      <c r="F3721" s="1">
        <v>45551</v>
      </c>
      <c r="G3721">
        <v>7</v>
      </c>
      <c r="H3721">
        <v>834.78</v>
      </c>
      <c r="I3721">
        <v>10</v>
      </c>
      <c r="J3721" t="s">
        <v>45</v>
      </c>
      <c r="K3721">
        <v>584.35</v>
      </c>
      <c r="L3721">
        <v>5843.46</v>
      </c>
      <c r="M3721">
        <v>5259.11</v>
      </c>
      <c r="N3721" t="s">
        <v>86</v>
      </c>
      <c r="O3721">
        <v>2024</v>
      </c>
    </row>
    <row r="3722" spans="1:15" x14ac:dyDescent="0.3">
      <c r="A3722" t="s">
        <v>3807</v>
      </c>
      <c r="B3722" t="s">
        <v>114</v>
      </c>
      <c r="C3722" t="s">
        <v>17</v>
      </c>
      <c r="D3722" t="s">
        <v>18</v>
      </c>
      <c r="E3722" t="s">
        <v>50</v>
      </c>
      <c r="F3722" s="1">
        <v>45603</v>
      </c>
      <c r="G3722">
        <v>1</v>
      </c>
      <c r="H3722">
        <v>80568.81</v>
      </c>
      <c r="I3722">
        <v>0</v>
      </c>
      <c r="J3722" t="s">
        <v>82</v>
      </c>
      <c r="K3722">
        <v>0</v>
      </c>
      <c r="L3722">
        <v>80568.81</v>
      </c>
      <c r="M3722">
        <v>80568.81</v>
      </c>
      <c r="N3722" t="s">
        <v>96</v>
      </c>
      <c r="O3722">
        <v>2024</v>
      </c>
    </row>
    <row r="3723" spans="1:15" x14ac:dyDescent="0.3">
      <c r="A3723" t="s">
        <v>3808</v>
      </c>
      <c r="B3723" t="s">
        <v>29</v>
      </c>
      <c r="C3723" t="s">
        <v>34</v>
      </c>
      <c r="D3723" t="s">
        <v>66</v>
      </c>
      <c r="E3723" t="s">
        <v>50</v>
      </c>
      <c r="F3723" s="1">
        <v>45877</v>
      </c>
      <c r="G3723">
        <v>6</v>
      </c>
      <c r="H3723">
        <v>39676.43</v>
      </c>
      <c r="I3723">
        <v>20</v>
      </c>
      <c r="J3723" t="s">
        <v>82</v>
      </c>
      <c r="K3723">
        <v>47611.72</v>
      </c>
      <c r="L3723">
        <v>238058.58</v>
      </c>
      <c r="M3723">
        <v>190446.86</v>
      </c>
      <c r="N3723" t="s">
        <v>21</v>
      </c>
      <c r="O3723">
        <v>2025</v>
      </c>
    </row>
    <row r="3724" spans="1:15" x14ac:dyDescent="0.3">
      <c r="A3724" t="s">
        <v>3809</v>
      </c>
      <c r="B3724" t="s">
        <v>93</v>
      </c>
      <c r="C3724" t="s">
        <v>90</v>
      </c>
      <c r="D3724" t="s">
        <v>91</v>
      </c>
      <c r="E3724" t="s">
        <v>25</v>
      </c>
      <c r="F3724" s="1">
        <v>45639</v>
      </c>
      <c r="G3724">
        <v>10</v>
      </c>
      <c r="H3724">
        <v>1672.19</v>
      </c>
      <c r="I3724">
        <v>15</v>
      </c>
      <c r="J3724" t="s">
        <v>20</v>
      </c>
      <c r="K3724">
        <v>2508.29</v>
      </c>
      <c r="L3724">
        <v>16721.900000000001</v>
      </c>
      <c r="M3724">
        <v>14213.61</v>
      </c>
      <c r="N3724" t="s">
        <v>51</v>
      </c>
      <c r="O3724">
        <v>2024</v>
      </c>
    </row>
    <row r="3725" spans="1:15" x14ac:dyDescent="0.3">
      <c r="A3725" t="s">
        <v>3810</v>
      </c>
      <c r="B3725" t="s">
        <v>38</v>
      </c>
      <c r="C3725" t="s">
        <v>90</v>
      </c>
      <c r="D3725" t="s">
        <v>105</v>
      </c>
      <c r="E3725" t="s">
        <v>56</v>
      </c>
      <c r="F3725" s="1">
        <v>45488</v>
      </c>
      <c r="G3725">
        <v>1</v>
      </c>
      <c r="H3725">
        <v>3452.22</v>
      </c>
      <c r="I3725">
        <v>20</v>
      </c>
      <c r="J3725" t="s">
        <v>26</v>
      </c>
      <c r="K3725">
        <v>690.44</v>
      </c>
      <c r="L3725">
        <v>3452.22</v>
      </c>
      <c r="M3725">
        <v>2761.78</v>
      </c>
      <c r="N3725" t="s">
        <v>122</v>
      </c>
      <c r="O3725">
        <v>2024</v>
      </c>
    </row>
    <row r="3726" spans="1:15" x14ac:dyDescent="0.3">
      <c r="A3726" t="s">
        <v>3811</v>
      </c>
      <c r="B3726" t="s">
        <v>114</v>
      </c>
      <c r="C3726" t="s">
        <v>90</v>
      </c>
      <c r="D3726" t="s">
        <v>105</v>
      </c>
      <c r="E3726" t="s">
        <v>81</v>
      </c>
      <c r="F3726" s="1">
        <v>45367</v>
      </c>
      <c r="G3726">
        <v>3</v>
      </c>
      <c r="H3726">
        <v>3371.94</v>
      </c>
      <c r="I3726">
        <v>15</v>
      </c>
      <c r="J3726" t="s">
        <v>40</v>
      </c>
      <c r="K3726">
        <v>1517.37</v>
      </c>
      <c r="L3726">
        <v>10115.82</v>
      </c>
      <c r="M3726">
        <v>8598.4500000000007</v>
      </c>
      <c r="N3726" t="s">
        <v>83</v>
      </c>
      <c r="O3726">
        <v>2024</v>
      </c>
    </row>
    <row r="3727" spans="1:15" x14ac:dyDescent="0.3">
      <c r="A3727" t="s">
        <v>3812</v>
      </c>
      <c r="B3727" t="s">
        <v>47</v>
      </c>
      <c r="C3727" t="s">
        <v>17</v>
      </c>
      <c r="D3727" t="s">
        <v>39</v>
      </c>
      <c r="E3727" t="s">
        <v>56</v>
      </c>
      <c r="F3727" s="1">
        <v>45845</v>
      </c>
      <c r="G3727">
        <v>4</v>
      </c>
      <c r="H3727">
        <v>19623.45</v>
      </c>
      <c r="I3727">
        <v>20</v>
      </c>
      <c r="J3727" t="s">
        <v>40</v>
      </c>
      <c r="K3727">
        <v>15698.76</v>
      </c>
      <c r="L3727">
        <v>78493.8</v>
      </c>
      <c r="M3727">
        <v>62795.040000000001</v>
      </c>
      <c r="N3727" t="s">
        <v>122</v>
      </c>
      <c r="O3727">
        <v>2025</v>
      </c>
    </row>
    <row r="3728" spans="1:15" x14ac:dyDescent="0.3">
      <c r="A3728" t="s">
        <v>3813</v>
      </c>
      <c r="B3728" t="s">
        <v>29</v>
      </c>
      <c r="C3728" t="s">
        <v>54</v>
      </c>
      <c r="D3728" t="s">
        <v>137</v>
      </c>
      <c r="E3728" t="s">
        <v>50</v>
      </c>
      <c r="F3728" s="1">
        <v>45686</v>
      </c>
      <c r="G3728">
        <v>9</v>
      </c>
      <c r="H3728">
        <v>868.25</v>
      </c>
      <c r="I3728">
        <v>20</v>
      </c>
      <c r="J3728" t="s">
        <v>71</v>
      </c>
      <c r="K3728">
        <v>1562.85</v>
      </c>
      <c r="L3728">
        <v>7814.25</v>
      </c>
      <c r="M3728">
        <v>6251.4</v>
      </c>
      <c r="N3728" t="s">
        <v>116</v>
      </c>
      <c r="O3728">
        <v>2025</v>
      </c>
    </row>
    <row r="3729" spans="1:15" x14ac:dyDescent="0.3">
      <c r="A3729" t="s">
        <v>3814</v>
      </c>
      <c r="B3729" t="s">
        <v>89</v>
      </c>
      <c r="C3729" t="s">
        <v>90</v>
      </c>
      <c r="D3729" t="s">
        <v>152</v>
      </c>
      <c r="E3729" t="s">
        <v>56</v>
      </c>
      <c r="F3729" s="1">
        <v>45354</v>
      </c>
      <c r="G3729">
        <v>1</v>
      </c>
      <c r="H3729">
        <v>9969.43</v>
      </c>
      <c r="I3729">
        <v>5</v>
      </c>
      <c r="J3729" t="s">
        <v>31</v>
      </c>
      <c r="K3729">
        <v>498.47</v>
      </c>
      <c r="L3729">
        <v>9969.43</v>
      </c>
      <c r="M3729">
        <v>9470.9599999999991</v>
      </c>
      <c r="N3729" t="s">
        <v>83</v>
      </c>
      <c r="O3729">
        <v>2024</v>
      </c>
    </row>
    <row r="3730" spans="1:15" x14ac:dyDescent="0.3">
      <c r="A3730" t="s">
        <v>3815</v>
      </c>
      <c r="B3730" t="s">
        <v>61</v>
      </c>
      <c r="C3730" t="s">
        <v>62</v>
      </c>
      <c r="D3730" t="s">
        <v>119</v>
      </c>
      <c r="E3730" t="s">
        <v>44</v>
      </c>
      <c r="F3730" s="1">
        <v>45984</v>
      </c>
      <c r="G3730">
        <v>4</v>
      </c>
      <c r="H3730">
        <v>4276.16</v>
      </c>
      <c r="I3730">
        <v>15</v>
      </c>
      <c r="J3730" t="s">
        <v>71</v>
      </c>
      <c r="K3730">
        <v>2565.6999999999998</v>
      </c>
      <c r="L3730">
        <v>17104.64</v>
      </c>
      <c r="M3730">
        <v>14538.94</v>
      </c>
      <c r="N3730" t="s">
        <v>96</v>
      </c>
      <c r="O3730">
        <v>2025</v>
      </c>
    </row>
    <row r="3731" spans="1:15" x14ac:dyDescent="0.3">
      <c r="A3731" t="s">
        <v>3816</v>
      </c>
      <c r="B3731" t="s">
        <v>29</v>
      </c>
      <c r="C3731" t="s">
        <v>34</v>
      </c>
      <c r="D3731" t="s">
        <v>80</v>
      </c>
      <c r="E3731" t="s">
        <v>50</v>
      </c>
      <c r="F3731" s="1">
        <v>45562</v>
      </c>
      <c r="G3731">
        <v>10</v>
      </c>
      <c r="H3731">
        <v>6586.87</v>
      </c>
      <c r="I3731">
        <v>15</v>
      </c>
      <c r="J3731" t="s">
        <v>36</v>
      </c>
      <c r="K3731">
        <v>9880.2999999999993</v>
      </c>
      <c r="L3731">
        <v>65868.7</v>
      </c>
      <c r="M3731">
        <v>55988.4</v>
      </c>
      <c r="N3731" t="s">
        <v>86</v>
      </c>
      <c r="O3731">
        <v>2024</v>
      </c>
    </row>
    <row r="3732" spans="1:15" x14ac:dyDescent="0.3">
      <c r="A3732" t="s">
        <v>3817</v>
      </c>
      <c r="B3732" t="s">
        <v>114</v>
      </c>
      <c r="C3732" t="s">
        <v>62</v>
      </c>
      <c r="D3732" t="s">
        <v>99</v>
      </c>
      <c r="E3732" t="s">
        <v>19</v>
      </c>
      <c r="F3732" s="1">
        <v>45411</v>
      </c>
      <c r="G3732">
        <v>1</v>
      </c>
      <c r="H3732">
        <v>1463.32</v>
      </c>
      <c r="I3732">
        <v>10</v>
      </c>
      <c r="J3732" t="s">
        <v>45</v>
      </c>
      <c r="K3732">
        <v>146.33000000000001</v>
      </c>
      <c r="L3732">
        <v>1463.32</v>
      </c>
      <c r="M3732">
        <v>1316.99</v>
      </c>
      <c r="N3732" t="s">
        <v>27</v>
      </c>
      <c r="O3732">
        <v>2024</v>
      </c>
    </row>
    <row r="3733" spans="1:15" x14ac:dyDescent="0.3">
      <c r="A3733" t="s">
        <v>3818</v>
      </c>
      <c r="B3733" t="s">
        <v>93</v>
      </c>
      <c r="C3733" t="s">
        <v>54</v>
      </c>
      <c r="D3733" t="s">
        <v>70</v>
      </c>
      <c r="E3733" t="s">
        <v>19</v>
      </c>
      <c r="F3733" s="1">
        <v>45514</v>
      </c>
      <c r="G3733">
        <v>2</v>
      </c>
      <c r="H3733">
        <v>2588.38</v>
      </c>
      <c r="I3733">
        <v>10</v>
      </c>
      <c r="J3733" t="s">
        <v>71</v>
      </c>
      <c r="K3733">
        <v>517.67999999999995</v>
      </c>
      <c r="L3733">
        <v>5176.76</v>
      </c>
      <c r="M3733">
        <v>4659.08</v>
      </c>
      <c r="N3733" t="s">
        <v>21</v>
      </c>
      <c r="O3733">
        <v>2024</v>
      </c>
    </row>
    <row r="3734" spans="1:15" x14ac:dyDescent="0.3">
      <c r="A3734" t="s">
        <v>3819</v>
      </c>
      <c r="B3734" t="s">
        <v>38</v>
      </c>
      <c r="C3734" t="s">
        <v>90</v>
      </c>
      <c r="D3734" t="s">
        <v>105</v>
      </c>
      <c r="E3734" t="s">
        <v>19</v>
      </c>
      <c r="F3734" s="1">
        <v>45458</v>
      </c>
      <c r="G3734">
        <v>8</v>
      </c>
      <c r="H3734">
        <v>3195.03</v>
      </c>
      <c r="I3734">
        <v>20</v>
      </c>
      <c r="J3734" t="s">
        <v>40</v>
      </c>
      <c r="K3734">
        <v>5112.05</v>
      </c>
      <c r="L3734">
        <v>25560.240000000002</v>
      </c>
      <c r="M3734">
        <v>20448.189999999999</v>
      </c>
      <c r="N3734" t="s">
        <v>72</v>
      </c>
      <c r="O3734">
        <v>2024</v>
      </c>
    </row>
    <row r="3735" spans="1:15" x14ac:dyDescent="0.3">
      <c r="A3735" t="s">
        <v>3820</v>
      </c>
      <c r="B3735" t="s">
        <v>38</v>
      </c>
      <c r="C3735" t="s">
        <v>54</v>
      </c>
      <c r="D3735" t="s">
        <v>137</v>
      </c>
      <c r="E3735" t="s">
        <v>81</v>
      </c>
      <c r="F3735" s="1">
        <v>45780</v>
      </c>
      <c r="G3735">
        <v>7</v>
      </c>
      <c r="H3735">
        <v>997.19</v>
      </c>
      <c r="I3735">
        <v>0</v>
      </c>
      <c r="J3735" t="s">
        <v>40</v>
      </c>
      <c r="K3735">
        <v>0</v>
      </c>
      <c r="L3735">
        <v>6980.33</v>
      </c>
      <c r="M3735">
        <v>6980.33</v>
      </c>
      <c r="N3735" t="s">
        <v>101</v>
      </c>
      <c r="O3735">
        <v>2025</v>
      </c>
    </row>
    <row r="3736" spans="1:15" x14ac:dyDescent="0.3">
      <c r="A3736" t="s">
        <v>3821</v>
      </c>
      <c r="B3736" t="s">
        <v>89</v>
      </c>
      <c r="C3736" t="s">
        <v>17</v>
      </c>
      <c r="D3736" t="s">
        <v>18</v>
      </c>
      <c r="E3736" t="s">
        <v>81</v>
      </c>
      <c r="F3736" s="1">
        <v>45693</v>
      </c>
      <c r="G3736">
        <v>5</v>
      </c>
      <c r="H3736">
        <v>72818.080000000002</v>
      </c>
      <c r="I3736">
        <v>10</v>
      </c>
      <c r="J3736" t="s">
        <v>71</v>
      </c>
      <c r="K3736">
        <v>36409.040000000001</v>
      </c>
      <c r="L3736">
        <v>364090.4</v>
      </c>
      <c r="M3736">
        <v>327681.36</v>
      </c>
      <c r="N3736" t="s">
        <v>41</v>
      </c>
      <c r="O3736">
        <v>2025</v>
      </c>
    </row>
    <row r="3737" spans="1:15" x14ac:dyDescent="0.3">
      <c r="A3737" t="s">
        <v>3822</v>
      </c>
      <c r="B3737" t="s">
        <v>23</v>
      </c>
      <c r="C3737" t="s">
        <v>62</v>
      </c>
      <c r="D3737" t="s">
        <v>119</v>
      </c>
      <c r="E3737" t="s">
        <v>19</v>
      </c>
      <c r="F3737" s="1">
        <v>45445</v>
      </c>
      <c r="G3737">
        <v>9</v>
      </c>
      <c r="H3737">
        <v>3644.62</v>
      </c>
      <c r="I3737">
        <v>15</v>
      </c>
      <c r="J3737" t="s">
        <v>71</v>
      </c>
      <c r="K3737">
        <v>4920.24</v>
      </c>
      <c r="L3737">
        <v>32801.58</v>
      </c>
      <c r="M3737">
        <v>27881.34</v>
      </c>
      <c r="N3737" t="s">
        <v>72</v>
      </c>
      <c r="O3737">
        <v>2024</v>
      </c>
    </row>
    <row r="3738" spans="1:15" x14ac:dyDescent="0.3">
      <c r="A3738" t="s">
        <v>3823</v>
      </c>
      <c r="B3738" t="s">
        <v>23</v>
      </c>
      <c r="C3738" t="s">
        <v>34</v>
      </c>
      <c r="D3738" t="s">
        <v>85</v>
      </c>
      <c r="E3738" t="s">
        <v>30</v>
      </c>
      <c r="F3738" s="1">
        <v>45595</v>
      </c>
      <c r="G3738">
        <v>9</v>
      </c>
      <c r="H3738">
        <v>12994.92</v>
      </c>
      <c r="I3738">
        <v>0</v>
      </c>
      <c r="J3738" t="s">
        <v>20</v>
      </c>
      <c r="K3738">
        <v>0</v>
      </c>
      <c r="L3738">
        <v>116954.28</v>
      </c>
      <c r="M3738">
        <v>116954.28</v>
      </c>
      <c r="N3738" t="s">
        <v>57</v>
      </c>
      <c r="O3738">
        <v>2024</v>
      </c>
    </row>
    <row r="3739" spans="1:15" x14ac:dyDescent="0.3">
      <c r="A3739" t="s">
        <v>3824</v>
      </c>
      <c r="B3739" t="s">
        <v>109</v>
      </c>
      <c r="C3739" t="s">
        <v>34</v>
      </c>
      <c r="D3739" t="s">
        <v>66</v>
      </c>
      <c r="E3739" t="s">
        <v>81</v>
      </c>
      <c r="F3739" s="1">
        <v>45993</v>
      </c>
      <c r="G3739">
        <v>7</v>
      </c>
      <c r="H3739">
        <v>45412.67</v>
      </c>
      <c r="I3739">
        <v>10</v>
      </c>
      <c r="J3739" t="s">
        <v>40</v>
      </c>
      <c r="K3739">
        <v>31788.87</v>
      </c>
      <c r="L3739">
        <v>317888.69</v>
      </c>
      <c r="M3739">
        <v>286099.82</v>
      </c>
      <c r="N3739" t="s">
        <v>51</v>
      </c>
      <c r="O3739">
        <v>2025</v>
      </c>
    </row>
    <row r="3740" spans="1:15" x14ac:dyDescent="0.3">
      <c r="A3740" t="s">
        <v>3825</v>
      </c>
      <c r="B3740" t="s">
        <v>38</v>
      </c>
      <c r="C3740" t="s">
        <v>90</v>
      </c>
      <c r="D3740" t="s">
        <v>105</v>
      </c>
      <c r="E3740" t="s">
        <v>56</v>
      </c>
      <c r="F3740" s="1">
        <v>45896</v>
      </c>
      <c r="G3740">
        <v>10</v>
      </c>
      <c r="H3740">
        <v>3309.25</v>
      </c>
      <c r="I3740">
        <v>15</v>
      </c>
      <c r="J3740" t="s">
        <v>31</v>
      </c>
      <c r="K3740">
        <v>4963.88</v>
      </c>
      <c r="L3740">
        <v>33092.5</v>
      </c>
      <c r="M3740">
        <v>28128.62</v>
      </c>
      <c r="N3740" t="s">
        <v>21</v>
      </c>
      <c r="O3740">
        <v>2025</v>
      </c>
    </row>
    <row r="3741" spans="1:15" x14ac:dyDescent="0.3">
      <c r="A3741" t="s">
        <v>3826</v>
      </c>
      <c r="B3741" t="s">
        <v>65</v>
      </c>
      <c r="C3741" t="s">
        <v>17</v>
      </c>
      <c r="D3741" t="s">
        <v>59</v>
      </c>
      <c r="E3741" t="s">
        <v>50</v>
      </c>
      <c r="F3741" s="1">
        <v>45853</v>
      </c>
      <c r="G3741">
        <v>8</v>
      </c>
      <c r="H3741">
        <v>22711.06</v>
      </c>
      <c r="I3741">
        <v>15</v>
      </c>
      <c r="J3741" t="s">
        <v>31</v>
      </c>
      <c r="K3741">
        <v>27253.27</v>
      </c>
      <c r="L3741">
        <v>181688.48</v>
      </c>
      <c r="M3741">
        <v>154435.21</v>
      </c>
      <c r="N3741" t="s">
        <v>122</v>
      </c>
      <c r="O3741">
        <v>2025</v>
      </c>
    </row>
    <row r="3742" spans="1:15" x14ac:dyDescent="0.3">
      <c r="A3742" t="s">
        <v>3827</v>
      </c>
      <c r="B3742" t="s">
        <v>89</v>
      </c>
      <c r="C3742" t="s">
        <v>90</v>
      </c>
      <c r="D3742" t="s">
        <v>152</v>
      </c>
      <c r="E3742" t="s">
        <v>81</v>
      </c>
      <c r="F3742" s="1">
        <v>45771</v>
      </c>
      <c r="G3742">
        <v>1</v>
      </c>
      <c r="H3742">
        <v>10892.17</v>
      </c>
      <c r="I3742">
        <v>5</v>
      </c>
      <c r="J3742" t="s">
        <v>45</v>
      </c>
      <c r="K3742">
        <v>544.61</v>
      </c>
      <c r="L3742">
        <v>10892.17</v>
      </c>
      <c r="M3742">
        <v>10347.56</v>
      </c>
      <c r="N3742" t="s">
        <v>27</v>
      </c>
      <c r="O3742">
        <v>2025</v>
      </c>
    </row>
    <row r="3743" spans="1:15" x14ac:dyDescent="0.3">
      <c r="A3743" t="s">
        <v>3828</v>
      </c>
      <c r="B3743" t="s">
        <v>114</v>
      </c>
      <c r="C3743" t="s">
        <v>54</v>
      </c>
      <c r="D3743" t="s">
        <v>77</v>
      </c>
      <c r="E3743" t="s">
        <v>44</v>
      </c>
      <c r="F3743" s="1">
        <v>45439</v>
      </c>
      <c r="G3743">
        <v>7</v>
      </c>
      <c r="H3743">
        <v>4778.53</v>
      </c>
      <c r="I3743">
        <v>15</v>
      </c>
      <c r="J3743" t="s">
        <v>31</v>
      </c>
      <c r="K3743">
        <v>5017.46</v>
      </c>
      <c r="L3743">
        <v>33449.71</v>
      </c>
      <c r="M3743">
        <v>28432.25</v>
      </c>
      <c r="N3743" t="s">
        <v>101</v>
      </c>
      <c r="O3743">
        <v>2024</v>
      </c>
    </row>
    <row r="3744" spans="1:15" x14ac:dyDescent="0.3">
      <c r="A3744" t="s">
        <v>3829</v>
      </c>
      <c r="B3744" t="s">
        <v>114</v>
      </c>
      <c r="C3744" t="s">
        <v>54</v>
      </c>
      <c r="D3744" t="s">
        <v>55</v>
      </c>
      <c r="E3744" t="s">
        <v>30</v>
      </c>
      <c r="F3744" s="1">
        <v>45363</v>
      </c>
      <c r="G3744">
        <v>2</v>
      </c>
      <c r="H3744">
        <v>1096.55</v>
      </c>
      <c r="I3744">
        <v>15</v>
      </c>
      <c r="J3744" t="s">
        <v>71</v>
      </c>
      <c r="K3744">
        <v>328.96</v>
      </c>
      <c r="L3744">
        <v>2193.1</v>
      </c>
      <c r="M3744">
        <v>1864.14</v>
      </c>
      <c r="N3744" t="s">
        <v>83</v>
      </c>
      <c r="O3744">
        <v>2024</v>
      </c>
    </row>
    <row r="3745" spans="1:15" x14ac:dyDescent="0.3">
      <c r="A3745" t="s">
        <v>3830</v>
      </c>
      <c r="B3745" t="s">
        <v>47</v>
      </c>
      <c r="C3745" t="s">
        <v>34</v>
      </c>
      <c r="D3745" t="s">
        <v>48</v>
      </c>
      <c r="E3745" t="s">
        <v>50</v>
      </c>
      <c r="F3745" s="1">
        <v>45468</v>
      </c>
      <c r="G3745">
        <v>3</v>
      </c>
      <c r="H3745">
        <v>8521.3799999999992</v>
      </c>
      <c r="I3745">
        <v>0</v>
      </c>
      <c r="J3745" t="s">
        <v>31</v>
      </c>
      <c r="K3745">
        <v>0</v>
      </c>
      <c r="L3745">
        <v>25564.14</v>
      </c>
      <c r="M3745">
        <v>25564.14</v>
      </c>
      <c r="N3745" t="s">
        <v>72</v>
      </c>
      <c r="O3745">
        <v>2024</v>
      </c>
    </row>
    <row r="3746" spans="1:15" x14ac:dyDescent="0.3">
      <c r="A3746" t="s">
        <v>3831</v>
      </c>
      <c r="B3746" t="s">
        <v>114</v>
      </c>
      <c r="C3746" t="s">
        <v>90</v>
      </c>
      <c r="D3746" t="s">
        <v>91</v>
      </c>
      <c r="E3746" t="s">
        <v>30</v>
      </c>
      <c r="F3746" s="1">
        <v>45586</v>
      </c>
      <c r="G3746">
        <v>4</v>
      </c>
      <c r="H3746">
        <v>1552.63</v>
      </c>
      <c r="I3746">
        <v>5</v>
      </c>
      <c r="J3746" t="s">
        <v>36</v>
      </c>
      <c r="K3746">
        <v>310.52999999999997</v>
      </c>
      <c r="L3746">
        <v>6210.52</v>
      </c>
      <c r="M3746">
        <v>5899.99</v>
      </c>
      <c r="N3746" t="s">
        <v>57</v>
      </c>
      <c r="O3746">
        <v>2024</v>
      </c>
    </row>
    <row r="3747" spans="1:15" x14ac:dyDescent="0.3">
      <c r="A3747" t="s">
        <v>3832</v>
      </c>
      <c r="B3747" t="s">
        <v>74</v>
      </c>
      <c r="C3747" t="s">
        <v>34</v>
      </c>
      <c r="D3747" t="s">
        <v>80</v>
      </c>
      <c r="E3747" t="s">
        <v>50</v>
      </c>
      <c r="F3747" s="1">
        <v>45923</v>
      </c>
      <c r="G3747">
        <v>10</v>
      </c>
      <c r="H3747">
        <v>6793.61</v>
      </c>
      <c r="I3747">
        <v>10</v>
      </c>
      <c r="J3747" t="s">
        <v>20</v>
      </c>
      <c r="K3747">
        <v>6793.61</v>
      </c>
      <c r="L3747">
        <v>67936.100000000006</v>
      </c>
      <c r="M3747">
        <v>61142.49</v>
      </c>
      <c r="N3747" t="s">
        <v>86</v>
      </c>
      <c r="O3747">
        <v>2025</v>
      </c>
    </row>
    <row r="3748" spans="1:15" x14ac:dyDescent="0.3">
      <c r="A3748" t="s">
        <v>3833</v>
      </c>
      <c r="B3748" t="s">
        <v>109</v>
      </c>
      <c r="C3748" t="s">
        <v>62</v>
      </c>
      <c r="D3748" t="s">
        <v>99</v>
      </c>
      <c r="E3748" t="s">
        <v>44</v>
      </c>
      <c r="F3748" s="1">
        <v>46017</v>
      </c>
      <c r="G3748">
        <v>1</v>
      </c>
      <c r="H3748">
        <v>1829.24</v>
      </c>
      <c r="I3748">
        <v>15</v>
      </c>
      <c r="J3748" t="s">
        <v>31</v>
      </c>
      <c r="K3748">
        <v>274.39</v>
      </c>
      <c r="L3748">
        <v>1829.24</v>
      </c>
      <c r="M3748">
        <v>1554.85</v>
      </c>
      <c r="N3748" t="s">
        <v>51</v>
      </c>
      <c r="O3748">
        <v>2025</v>
      </c>
    </row>
    <row r="3749" spans="1:15" x14ac:dyDescent="0.3">
      <c r="A3749" t="s">
        <v>3834</v>
      </c>
      <c r="B3749" t="s">
        <v>16</v>
      </c>
      <c r="C3749" t="s">
        <v>54</v>
      </c>
      <c r="D3749" t="s">
        <v>137</v>
      </c>
      <c r="E3749" t="s">
        <v>50</v>
      </c>
      <c r="F3749" s="1">
        <v>45700</v>
      </c>
      <c r="G3749">
        <v>10</v>
      </c>
      <c r="H3749">
        <v>887.35</v>
      </c>
      <c r="I3749">
        <v>5</v>
      </c>
      <c r="J3749" t="s">
        <v>26</v>
      </c>
      <c r="K3749">
        <v>443.68</v>
      </c>
      <c r="L3749">
        <v>8873.5</v>
      </c>
      <c r="M3749">
        <v>8429.82</v>
      </c>
      <c r="N3749" t="s">
        <v>41</v>
      </c>
      <c r="O3749">
        <v>2025</v>
      </c>
    </row>
    <row r="3750" spans="1:15" x14ac:dyDescent="0.3">
      <c r="A3750" t="s">
        <v>3835</v>
      </c>
      <c r="B3750" t="s">
        <v>89</v>
      </c>
      <c r="C3750" t="s">
        <v>34</v>
      </c>
      <c r="D3750" t="s">
        <v>48</v>
      </c>
      <c r="E3750" t="s">
        <v>81</v>
      </c>
      <c r="F3750" s="1">
        <v>45622</v>
      </c>
      <c r="G3750">
        <v>3</v>
      </c>
      <c r="H3750">
        <v>9237.33</v>
      </c>
      <c r="I3750">
        <v>0</v>
      </c>
      <c r="J3750" t="s">
        <v>31</v>
      </c>
      <c r="K3750">
        <v>0</v>
      </c>
      <c r="L3750">
        <v>27711.99</v>
      </c>
      <c r="M3750">
        <v>27711.99</v>
      </c>
      <c r="N3750" t="s">
        <v>96</v>
      </c>
      <c r="O3750">
        <v>2024</v>
      </c>
    </row>
    <row r="3751" spans="1:15" x14ac:dyDescent="0.3">
      <c r="A3751" t="s">
        <v>3836</v>
      </c>
      <c r="B3751" t="s">
        <v>33</v>
      </c>
      <c r="C3751" t="s">
        <v>34</v>
      </c>
      <c r="D3751" t="s">
        <v>66</v>
      </c>
      <c r="E3751" t="s">
        <v>50</v>
      </c>
      <c r="F3751" s="1">
        <v>45341</v>
      </c>
      <c r="G3751">
        <v>1</v>
      </c>
      <c r="H3751">
        <v>43854.7</v>
      </c>
      <c r="I3751">
        <v>10</v>
      </c>
      <c r="J3751" t="s">
        <v>71</v>
      </c>
      <c r="K3751">
        <v>4385.47</v>
      </c>
      <c r="L3751">
        <v>43854.7</v>
      </c>
      <c r="M3751">
        <v>39469.230000000003</v>
      </c>
      <c r="N3751" t="s">
        <v>41</v>
      </c>
      <c r="O3751">
        <v>2024</v>
      </c>
    </row>
    <row r="3752" spans="1:15" x14ac:dyDescent="0.3">
      <c r="A3752" t="s">
        <v>3837</v>
      </c>
      <c r="B3752" t="s">
        <v>114</v>
      </c>
      <c r="C3752" t="s">
        <v>62</v>
      </c>
      <c r="D3752" t="s">
        <v>132</v>
      </c>
      <c r="E3752" t="s">
        <v>44</v>
      </c>
      <c r="F3752" s="1">
        <v>45586</v>
      </c>
      <c r="G3752">
        <v>9</v>
      </c>
      <c r="H3752">
        <v>2804.23</v>
      </c>
      <c r="I3752">
        <v>10</v>
      </c>
      <c r="J3752" t="s">
        <v>45</v>
      </c>
      <c r="K3752">
        <v>2523.81</v>
      </c>
      <c r="L3752">
        <v>25238.07</v>
      </c>
      <c r="M3752">
        <v>22714.26</v>
      </c>
      <c r="N3752" t="s">
        <v>57</v>
      </c>
      <c r="O3752">
        <v>2024</v>
      </c>
    </row>
    <row r="3753" spans="1:15" x14ac:dyDescent="0.3">
      <c r="A3753" t="s">
        <v>3838</v>
      </c>
      <c r="B3753" t="s">
        <v>47</v>
      </c>
      <c r="C3753" t="s">
        <v>34</v>
      </c>
      <c r="D3753" t="s">
        <v>80</v>
      </c>
      <c r="E3753" t="s">
        <v>81</v>
      </c>
      <c r="F3753" s="1">
        <v>45554</v>
      </c>
      <c r="G3753">
        <v>3</v>
      </c>
      <c r="H3753">
        <v>5943.16</v>
      </c>
      <c r="I3753">
        <v>10</v>
      </c>
      <c r="J3753" t="s">
        <v>26</v>
      </c>
      <c r="K3753">
        <v>1782.95</v>
      </c>
      <c r="L3753">
        <v>17829.48</v>
      </c>
      <c r="M3753">
        <v>16046.53</v>
      </c>
      <c r="N3753" t="s">
        <v>86</v>
      </c>
      <c r="O3753">
        <v>2024</v>
      </c>
    </row>
    <row r="3754" spans="1:15" x14ac:dyDescent="0.3">
      <c r="A3754" t="s">
        <v>3839</v>
      </c>
      <c r="B3754" t="s">
        <v>74</v>
      </c>
      <c r="C3754" t="s">
        <v>34</v>
      </c>
      <c r="D3754" t="s">
        <v>66</v>
      </c>
      <c r="E3754" t="s">
        <v>25</v>
      </c>
      <c r="F3754" s="1">
        <v>45545</v>
      </c>
      <c r="G3754">
        <v>8</v>
      </c>
      <c r="H3754">
        <v>40101.97</v>
      </c>
      <c r="I3754">
        <v>10</v>
      </c>
      <c r="J3754" t="s">
        <v>45</v>
      </c>
      <c r="K3754">
        <v>32081.58</v>
      </c>
      <c r="L3754">
        <v>320815.76</v>
      </c>
      <c r="M3754">
        <v>288734.18</v>
      </c>
      <c r="N3754" t="s">
        <v>86</v>
      </c>
      <c r="O3754">
        <v>2024</v>
      </c>
    </row>
    <row r="3755" spans="1:15" x14ac:dyDescent="0.3">
      <c r="A3755" t="s">
        <v>3840</v>
      </c>
      <c r="B3755" t="s">
        <v>33</v>
      </c>
      <c r="C3755" t="s">
        <v>34</v>
      </c>
      <c r="D3755" t="s">
        <v>48</v>
      </c>
      <c r="E3755" t="s">
        <v>44</v>
      </c>
      <c r="F3755" s="1">
        <v>45783</v>
      </c>
      <c r="G3755">
        <v>9</v>
      </c>
      <c r="H3755">
        <v>8919.2800000000007</v>
      </c>
      <c r="I3755">
        <v>15</v>
      </c>
      <c r="J3755" t="s">
        <v>26</v>
      </c>
      <c r="K3755">
        <v>12041.03</v>
      </c>
      <c r="L3755">
        <v>80273.52</v>
      </c>
      <c r="M3755">
        <v>68232.490000000005</v>
      </c>
      <c r="N3755" t="s">
        <v>101</v>
      </c>
      <c r="O3755">
        <v>2025</v>
      </c>
    </row>
    <row r="3756" spans="1:15" x14ac:dyDescent="0.3">
      <c r="A3756" t="s">
        <v>3841</v>
      </c>
      <c r="B3756" t="s">
        <v>61</v>
      </c>
      <c r="C3756" t="s">
        <v>54</v>
      </c>
      <c r="D3756" t="s">
        <v>77</v>
      </c>
      <c r="E3756" t="s">
        <v>56</v>
      </c>
      <c r="F3756" s="1">
        <v>45320</v>
      </c>
      <c r="G3756">
        <v>3</v>
      </c>
      <c r="H3756">
        <v>4552.55</v>
      </c>
      <c r="I3756">
        <v>20</v>
      </c>
      <c r="J3756" t="s">
        <v>31</v>
      </c>
      <c r="K3756">
        <v>2731.53</v>
      </c>
      <c r="L3756">
        <v>13657.65</v>
      </c>
      <c r="M3756">
        <v>10926.12</v>
      </c>
      <c r="N3756" t="s">
        <v>116</v>
      </c>
      <c r="O3756">
        <v>2024</v>
      </c>
    </row>
    <row r="3757" spans="1:15" x14ac:dyDescent="0.3">
      <c r="A3757" t="s">
        <v>3842</v>
      </c>
      <c r="B3757" t="s">
        <v>47</v>
      </c>
      <c r="C3757" t="s">
        <v>34</v>
      </c>
      <c r="D3757" t="s">
        <v>85</v>
      </c>
      <c r="E3757" t="s">
        <v>50</v>
      </c>
      <c r="F3757" s="1">
        <v>45784</v>
      </c>
      <c r="G3757">
        <v>1</v>
      </c>
      <c r="H3757">
        <v>13505.89</v>
      </c>
      <c r="I3757">
        <v>0</v>
      </c>
      <c r="J3757" t="s">
        <v>82</v>
      </c>
      <c r="K3757">
        <v>0</v>
      </c>
      <c r="L3757">
        <v>13505.89</v>
      </c>
      <c r="M3757">
        <v>13505.89</v>
      </c>
      <c r="N3757" t="s">
        <v>101</v>
      </c>
      <c r="O3757">
        <v>2025</v>
      </c>
    </row>
    <row r="3758" spans="1:15" x14ac:dyDescent="0.3">
      <c r="A3758" t="s">
        <v>3843</v>
      </c>
      <c r="B3758" t="s">
        <v>65</v>
      </c>
      <c r="C3758" t="s">
        <v>54</v>
      </c>
      <c r="D3758" t="s">
        <v>137</v>
      </c>
      <c r="E3758" t="s">
        <v>56</v>
      </c>
      <c r="F3758" s="1">
        <v>45505</v>
      </c>
      <c r="G3758">
        <v>10</v>
      </c>
      <c r="H3758">
        <v>984.53</v>
      </c>
      <c r="I3758">
        <v>5</v>
      </c>
      <c r="J3758" t="s">
        <v>31</v>
      </c>
      <c r="K3758">
        <v>492.26</v>
      </c>
      <c r="L3758">
        <v>9845.2999999999993</v>
      </c>
      <c r="M3758">
        <v>9353.0400000000009</v>
      </c>
      <c r="N3758" t="s">
        <v>21</v>
      </c>
      <c r="O3758">
        <v>2024</v>
      </c>
    </row>
    <row r="3759" spans="1:15" x14ac:dyDescent="0.3">
      <c r="A3759" t="s">
        <v>3844</v>
      </c>
      <c r="B3759" t="s">
        <v>93</v>
      </c>
      <c r="C3759" t="s">
        <v>54</v>
      </c>
      <c r="D3759" t="s">
        <v>68</v>
      </c>
      <c r="E3759" t="s">
        <v>81</v>
      </c>
      <c r="F3759" s="1">
        <v>45455</v>
      </c>
      <c r="G3759">
        <v>9</v>
      </c>
      <c r="H3759">
        <v>4609.2</v>
      </c>
      <c r="I3759">
        <v>0</v>
      </c>
      <c r="J3759" t="s">
        <v>71</v>
      </c>
      <c r="K3759">
        <v>0</v>
      </c>
      <c r="L3759">
        <v>41482.800000000003</v>
      </c>
      <c r="M3759">
        <v>41482.800000000003</v>
      </c>
      <c r="N3759" t="s">
        <v>72</v>
      </c>
      <c r="O3759">
        <v>2024</v>
      </c>
    </row>
    <row r="3760" spans="1:15" x14ac:dyDescent="0.3">
      <c r="A3760" t="s">
        <v>3845</v>
      </c>
      <c r="B3760" t="s">
        <v>74</v>
      </c>
      <c r="C3760" t="s">
        <v>62</v>
      </c>
      <c r="D3760" t="s">
        <v>63</v>
      </c>
      <c r="E3760" t="s">
        <v>19</v>
      </c>
      <c r="F3760" s="1">
        <v>45710</v>
      </c>
      <c r="G3760">
        <v>3</v>
      </c>
      <c r="H3760">
        <v>1879.32</v>
      </c>
      <c r="I3760">
        <v>0</v>
      </c>
      <c r="J3760" t="s">
        <v>45</v>
      </c>
      <c r="K3760">
        <v>0</v>
      </c>
      <c r="L3760">
        <v>5637.96</v>
      </c>
      <c r="M3760">
        <v>5637.96</v>
      </c>
      <c r="N3760" t="s">
        <v>41</v>
      </c>
      <c r="O3760">
        <v>2025</v>
      </c>
    </row>
    <row r="3761" spans="1:15" x14ac:dyDescent="0.3">
      <c r="A3761" t="s">
        <v>3846</v>
      </c>
      <c r="B3761" t="s">
        <v>23</v>
      </c>
      <c r="C3761" t="s">
        <v>90</v>
      </c>
      <c r="D3761" t="s">
        <v>91</v>
      </c>
      <c r="E3761" t="s">
        <v>19</v>
      </c>
      <c r="F3761" s="1">
        <v>45409</v>
      </c>
      <c r="G3761">
        <v>7</v>
      </c>
      <c r="H3761">
        <v>1353.13</v>
      </c>
      <c r="I3761">
        <v>5</v>
      </c>
      <c r="J3761" t="s">
        <v>40</v>
      </c>
      <c r="K3761">
        <v>473.6</v>
      </c>
      <c r="L3761">
        <v>9471.91</v>
      </c>
      <c r="M3761">
        <v>8998.31</v>
      </c>
      <c r="N3761" t="s">
        <v>27</v>
      </c>
      <c r="O3761">
        <v>2024</v>
      </c>
    </row>
    <row r="3762" spans="1:15" x14ac:dyDescent="0.3">
      <c r="A3762" t="s">
        <v>3847</v>
      </c>
      <c r="B3762" t="s">
        <v>65</v>
      </c>
      <c r="C3762" t="s">
        <v>34</v>
      </c>
      <c r="D3762" t="s">
        <v>66</v>
      </c>
      <c r="E3762" t="s">
        <v>81</v>
      </c>
      <c r="F3762" s="1">
        <v>45774</v>
      </c>
      <c r="G3762">
        <v>1</v>
      </c>
      <c r="H3762">
        <v>36193.86</v>
      </c>
      <c r="I3762">
        <v>0</v>
      </c>
      <c r="J3762" t="s">
        <v>26</v>
      </c>
      <c r="K3762">
        <v>0</v>
      </c>
      <c r="L3762">
        <v>36193.86</v>
      </c>
      <c r="M3762">
        <v>36193.86</v>
      </c>
      <c r="N3762" t="s">
        <v>27</v>
      </c>
      <c r="O3762">
        <v>2025</v>
      </c>
    </row>
    <row r="3763" spans="1:15" x14ac:dyDescent="0.3">
      <c r="A3763" t="s">
        <v>3848</v>
      </c>
      <c r="B3763" t="s">
        <v>65</v>
      </c>
      <c r="C3763" t="s">
        <v>17</v>
      </c>
      <c r="D3763" t="s">
        <v>59</v>
      </c>
      <c r="E3763" t="s">
        <v>56</v>
      </c>
      <c r="F3763" s="1">
        <v>45638</v>
      </c>
      <c r="G3763">
        <v>2</v>
      </c>
      <c r="H3763">
        <v>25781.68</v>
      </c>
      <c r="I3763">
        <v>0</v>
      </c>
      <c r="J3763" t="s">
        <v>40</v>
      </c>
      <c r="K3763">
        <v>0</v>
      </c>
      <c r="L3763">
        <v>51563.360000000001</v>
      </c>
      <c r="M3763">
        <v>51563.360000000001</v>
      </c>
      <c r="N3763" t="s">
        <v>51</v>
      </c>
      <c r="O3763">
        <v>2024</v>
      </c>
    </row>
    <row r="3764" spans="1:15" x14ac:dyDescent="0.3">
      <c r="A3764" t="s">
        <v>3849</v>
      </c>
      <c r="B3764" t="s">
        <v>16</v>
      </c>
      <c r="C3764" t="s">
        <v>34</v>
      </c>
      <c r="D3764" t="s">
        <v>85</v>
      </c>
      <c r="E3764" t="s">
        <v>30</v>
      </c>
      <c r="F3764" s="1">
        <v>45376</v>
      </c>
      <c r="G3764">
        <v>8</v>
      </c>
      <c r="H3764">
        <v>11882.56</v>
      </c>
      <c r="I3764">
        <v>10</v>
      </c>
      <c r="J3764" t="s">
        <v>26</v>
      </c>
      <c r="K3764">
        <v>9506.0499999999993</v>
      </c>
      <c r="L3764">
        <v>95060.479999999996</v>
      </c>
      <c r="M3764">
        <v>85554.43</v>
      </c>
      <c r="N3764" t="s">
        <v>83</v>
      </c>
      <c r="O3764">
        <v>2024</v>
      </c>
    </row>
    <row r="3765" spans="1:15" x14ac:dyDescent="0.3">
      <c r="A3765" t="s">
        <v>3850</v>
      </c>
      <c r="B3765" t="s">
        <v>23</v>
      </c>
      <c r="C3765" t="s">
        <v>62</v>
      </c>
      <c r="D3765" t="s">
        <v>95</v>
      </c>
      <c r="E3765" t="s">
        <v>19</v>
      </c>
      <c r="F3765" s="1">
        <v>45926</v>
      </c>
      <c r="G3765">
        <v>3</v>
      </c>
      <c r="H3765">
        <v>851.71</v>
      </c>
      <c r="I3765">
        <v>0</v>
      </c>
      <c r="J3765" t="s">
        <v>71</v>
      </c>
      <c r="K3765">
        <v>0</v>
      </c>
      <c r="L3765">
        <v>2555.13</v>
      </c>
      <c r="M3765">
        <v>2555.13</v>
      </c>
      <c r="N3765" t="s">
        <v>86</v>
      </c>
      <c r="O3765">
        <v>2025</v>
      </c>
    </row>
    <row r="3766" spans="1:15" x14ac:dyDescent="0.3">
      <c r="A3766" t="s">
        <v>3851</v>
      </c>
      <c r="B3766" t="s">
        <v>23</v>
      </c>
      <c r="C3766" t="s">
        <v>17</v>
      </c>
      <c r="D3766" t="s">
        <v>39</v>
      </c>
      <c r="E3766" t="s">
        <v>56</v>
      </c>
      <c r="F3766" s="1">
        <v>45769</v>
      </c>
      <c r="G3766">
        <v>6</v>
      </c>
      <c r="H3766">
        <v>19126.05</v>
      </c>
      <c r="I3766">
        <v>0</v>
      </c>
      <c r="J3766" t="s">
        <v>36</v>
      </c>
      <c r="K3766">
        <v>0</v>
      </c>
      <c r="L3766">
        <v>114756.3</v>
      </c>
      <c r="M3766">
        <v>114756.3</v>
      </c>
      <c r="N3766" t="s">
        <v>27</v>
      </c>
      <c r="O3766">
        <v>2025</v>
      </c>
    </row>
    <row r="3767" spans="1:15" x14ac:dyDescent="0.3">
      <c r="A3767" t="s">
        <v>3852</v>
      </c>
      <c r="B3767" t="s">
        <v>53</v>
      </c>
      <c r="C3767" t="s">
        <v>17</v>
      </c>
      <c r="D3767" t="s">
        <v>39</v>
      </c>
      <c r="E3767" t="s">
        <v>56</v>
      </c>
      <c r="F3767" s="1">
        <v>45550</v>
      </c>
      <c r="G3767">
        <v>5</v>
      </c>
      <c r="H3767">
        <v>16968.650000000001</v>
      </c>
      <c r="I3767">
        <v>0</v>
      </c>
      <c r="J3767" t="s">
        <v>71</v>
      </c>
      <c r="K3767">
        <v>0</v>
      </c>
      <c r="L3767">
        <v>84843.25</v>
      </c>
      <c r="M3767">
        <v>84843.25</v>
      </c>
      <c r="N3767" t="s">
        <v>86</v>
      </c>
      <c r="O3767">
        <v>2024</v>
      </c>
    </row>
    <row r="3768" spans="1:15" x14ac:dyDescent="0.3">
      <c r="A3768" t="s">
        <v>3853</v>
      </c>
      <c r="B3768" t="s">
        <v>109</v>
      </c>
      <c r="C3768" t="s">
        <v>34</v>
      </c>
      <c r="D3768" t="s">
        <v>35</v>
      </c>
      <c r="E3768" t="s">
        <v>56</v>
      </c>
      <c r="F3768" s="1">
        <v>45591</v>
      </c>
      <c r="G3768">
        <v>9</v>
      </c>
      <c r="H3768">
        <v>31157.53</v>
      </c>
      <c r="I3768">
        <v>5</v>
      </c>
      <c r="J3768" t="s">
        <v>45</v>
      </c>
      <c r="K3768">
        <v>14020.89</v>
      </c>
      <c r="L3768">
        <v>280417.77</v>
      </c>
      <c r="M3768">
        <v>266396.88</v>
      </c>
      <c r="N3768" t="s">
        <v>57</v>
      </c>
      <c r="O3768">
        <v>2024</v>
      </c>
    </row>
    <row r="3769" spans="1:15" x14ac:dyDescent="0.3">
      <c r="A3769" t="s">
        <v>3854</v>
      </c>
      <c r="B3769" t="s">
        <v>93</v>
      </c>
      <c r="C3769" t="s">
        <v>34</v>
      </c>
      <c r="D3769" t="s">
        <v>80</v>
      </c>
      <c r="E3769" t="s">
        <v>19</v>
      </c>
      <c r="F3769" s="1">
        <v>45437</v>
      </c>
      <c r="G3769">
        <v>4</v>
      </c>
      <c r="H3769">
        <v>6433.19</v>
      </c>
      <c r="I3769">
        <v>5</v>
      </c>
      <c r="J3769" t="s">
        <v>71</v>
      </c>
      <c r="K3769">
        <v>1286.6400000000001</v>
      </c>
      <c r="L3769">
        <v>25732.76</v>
      </c>
      <c r="M3769">
        <v>24446.12</v>
      </c>
      <c r="N3769" t="s">
        <v>101</v>
      </c>
      <c r="O3769">
        <v>2024</v>
      </c>
    </row>
    <row r="3770" spans="1:15" x14ac:dyDescent="0.3">
      <c r="A3770" t="s">
        <v>3855</v>
      </c>
      <c r="B3770" t="s">
        <v>16</v>
      </c>
      <c r="C3770" t="s">
        <v>90</v>
      </c>
      <c r="D3770" t="s">
        <v>91</v>
      </c>
      <c r="E3770" t="s">
        <v>30</v>
      </c>
      <c r="F3770" s="1">
        <v>45728</v>
      </c>
      <c r="G3770">
        <v>1</v>
      </c>
      <c r="H3770">
        <v>1648.36</v>
      </c>
      <c r="I3770">
        <v>10</v>
      </c>
      <c r="J3770" t="s">
        <v>26</v>
      </c>
      <c r="K3770">
        <v>164.84</v>
      </c>
      <c r="L3770">
        <v>1648.36</v>
      </c>
      <c r="M3770">
        <v>1483.52</v>
      </c>
      <c r="N3770" t="s">
        <v>83</v>
      </c>
      <c r="O3770">
        <v>2025</v>
      </c>
    </row>
    <row r="3771" spans="1:15" x14ac:dyDescent="0.3">
      <c r="A3771" t="s">
        <v>3856</v>
      </c>
      <c r="B3771" t="s">
        <v>93</v>
      </c>
      <c r="C3771" t="s">
        <v>62</v>
      </c>
      <c r="D3771" t="s">
        <v>99</v>
      </c>
      <c r="E3771" t="s">
        <v>50</v>
      </c>
      <c r="F3771" s="1">
        <v>45429</v>
      </c>
      <c r="G3771">
        <v>7</v>
      </c>
      <c r="H3771">
        <v>1532.03</v>
      </c>
      <c r="I3771">
        <v>10</v>
      </c>
      <c r="J3771" t="s">
        <v>20</v>
      </c>
      <c r="K3771">
        <v>1072.42</v>
      </c>
      <c r="L3771">
        <v>10724.21</v>
      </c>
      <c r="M3771">
        <v>9651.7900000000009</v>
      </c>
      <c r="N3771" t="s">
        <v>101</v>
      </c>
      <c r="O3771">
        <v>2024</v>
      </c>
    </row>
    <row r="3772" spans="1:15" x14ac:dyDescent="0.3">
      <c r="A3772" t="s">
        <v>3857</v>
      </c>
      <c r="B3772" t="s">
        <v>65</v>
      </c>
      <c r="C3772" t="s">
        <v>54</v>
      </c>
      <c r="D3772" t="s">
        <v>137</v>
      </c>
      <c r="E3772" t="s">
        <v>30</v>
      </c>
      <c r="F3772" s="1">
        <v>45927</v>
      </c>
      <c r="G3772">
        <v>8</v>
      </c>
      <c r="H3772">
        <v>811.57</v>
      </c>
      <c r="I3772">
        <v>10</v>
      </c>
      <c r="J3772" t="s">
        <v>82</v>
      </c>
      <c r="K3772">
        <v>649.26</v>
      </c>
      <c r="L3772">
        <v>6492.56</v>
      </c>
      <c r="M3772">
        <v>5843.3</v>
      </c>
      <c r="N3772" t="s">
        <v>86</v>
      </c>
      <c r="O3772">
        <v>2025</v>
      </c>
    </row>
    <row r="3773" spans="1:15" x14ac:dyDescent="0.3">
      <c r="A3773" t="s">
        <v>3858</v>
      </c>
      <c r="B3773" t="s">
        <v>93</v>
      </c>
      <c r="C3773" t="s">
        <v>17</v>
      </c>
      <c r="D3773" t="s">
        <v>18</v>
      </c>
      <c r="E3773" t="s">
        <v>56</v>
      </c>
      <c r="F3773" s="1">
        <v>45915</v>
      </c>
      <c r="G3773">
        <v>8</v>
      </c>
      <c r="H3773">
        <v>69376.28</v>
      </c>
      <c r="I3773">
        <v>0</v>
      </c>
      <c r="J3773" t="s">
        <v>71</v>
      </c>
      <c r="K3773">
        <v>0</v>
      </c>
      <c r="L3773">
        <v>555010.24</v>
      </c>
      <c r="M3773">
        <v>555010.24</v>
      </c>
      <c r="N3773" t="s">
        <v>86</v>
      </c>
      <c r="O3773">
        <v>2025</v>
      </c>
    </row>
    <row r="3774" spans="1:15" x14ac:dyDescent="0.3">
      <c r="A3774" t="s">
        <v>3859</v>
      </c>
      <c r="B3774" t="s">
        <v>33</v>
      </c>
      <c r="C3774" t="s">
        <v>54</v>
      </c>
      <c r="D3774" t="s">
        <v>55</v>
      </c>
      <c r="E3774" t="s">
        <v>25</v>
      </c>
      <c r="F3774" s="1">
        <v>45339</v>
      </c>
      <c r="G3774">
        <v>2</v>
      </c>
      <c r="H3774">
        <v>1334.52</v>
      </c>
      <c r="I3774">
        <v>5</v>
      </c>
      <c r="J3774" t="s">
        <v>36</v>
      </c>
      <c r="K3774">
        <v>133.44999999999999</v>
      </c>
      <c r="L3774">
        <v>2669.04</v>
      </c>
      <c r="M3774">
        <v>2535.59</v>
      </c>
      <c r="N3774" t="s">
        <v>41</v>
      </c>
      <c r="O3774">
        <v>2024</v>
      </c>
    </row>
    <row r="3775" spans="1:15" x14ac:dyDescent="0.3">
      <c r="A3775" t="s">
        <v>3860</v>
      </c>
      <c r="B3775" t="s">
        <v>53</v>
      </c>
      <c r="C3775" t="s">
        <v>54</v>
      </c>
      <c r="D3775" t="s">
        <v>137</v>
      </c>
      <c r="E3775" t="s">
        <v>50</v>
      </c>
      <c r="F3775" s="1">
        <v>46013</v>
      </c>
      <c r="G3775">
        <v>3</v>
      </c>
      <c r="H3775">
        <v>1130.96</v>
      </c>
      <c r="I3775">
        <v>15</v>
      </c>
      <c r="J3775" t="s">
        <v>20</v>
      </c>
      <c r="K3775">
        <v>508.93</v>
      </c>
      <c r="L3775">
        <v>3392.88</v>
      </c>
      <c r="M3775">
        <v>2883.95</v>
      </c>
      <c r="N3775" t="s">
        <v>51</v>
      </c>
      <c r="O3775">
        <v>2025</v>
      </c>
    </row>
    <row r="3776" spans="1:15" x14ac:dyDescent="0.3">
      <c r="A3776" t="s">
        <v>3861</v>
      </c>
      <c r="B3776" t="s">
        <v>93</v>
      </c>
      <c r="C3776" t="s">
        <v>17</v>
      </c>
      <c r="D3776" t="s">
        <v>39</v>
      </c>
      <c r="E3776" t="s">
        <v>30</v>
      </c>
      <c r="F3776" s="1">
        <v>45780</v>
      </c>
      <c r="G3776">
        <v>10</v>
      </c>
      <c r="H3776">
        <v>17732.099999999999</v>
      </c>
      <c r="I3776">
        <v>5</v>
      </c>
      <c r="J3776" t="s">
        <v>20</v>
      </c>
      <c r="K3776">
        <v>8866.0499999999993</v>
      </c>
      <c r="L3776">
        <v>177321</v>
      </c>
      <c r="M3776">
        <v>168454.95</v>
      </c>
      <c r="N3776" t="s">
        <v>101</v>
      </c>
      <c r="O3776">
        <v>2025</v>
      </c>
    </row>
    <row r="3777" spans="1:15" x14ac:dyDescent="0.3">
      <c r="A3777" t="s">
        <v>3862</v>
      </c>
      <c r="B3777" t="s">
        <v>33</v>
      </c>
      <c r="C3777" t="s">
        <v>54</v>
      </c>
      <c r="D3777" t="s">
        <v>70</v>
      </c>
      <c r="E3777" t="s">
        <v>81</v>
      </c>
      <c r="F3777" s="1">
        <v>45622</v>
      </c>
      <c r="G3777">
        <v>2</v>
      </c>
      <c r="H3777">
        <v>2528.16</v>
      </c>
      <c r="I3777">
        <v>5</v>
      </c>
      <c r="J3777" t="s">
        <v>45</v>
      </c>
      <c r="K3777">
        <v>252.82</v>
      </c>
      <c r="L3777">
        <v>5056.32</v>
      </c>
      <c r="M3777">
        <v>4803.5</v>
      </c>
      <c r="N3777" t="s">
        <v>96</v>
      </c>
      <c r="O3777">
        <v>2024</v>
      </c>
    </row>
    <row r="3778" spans="1:15" x14ac:dyDescent="0.3">
      <c r="A3778" t="s">
        <v>3863</v>
      </c>
      <c r="B3778" t="s">
        <v>47</v>
      </c>
      <c r="C3778" t="s">
        <v>54</v>
      </c>
      <c r="D3778" t="s">
        <v>68</v>
      </c>
      <c r="E3778" t="s">
        <v>19</v>
      </c>
      <c r="F3778" s="1">
        <v>45311</v>
      </c>
      <c r="G3778">
        <v>8</v>
      </c>
      <c r="H3778">
        <v>4426.03</v>
      </c>
      <c r="I3778">
        <v>15</v>
      </c>
      <c r="J3778" t="s">
        <v>36</v>
      </c>
      <c r="K3778">
        <v>5311.24</v>
      </c>
      <c r="L3778">
        <v>35408.239999999998</v>
      </c>
      <c r="M3778">
        <v>30097</v>
      </c>
      <c r="N3778" t="s">
        <v>116</v>
      </c>
      <c r="O3778">
        <v>2024</v>
      </c>
    </row>
    <row r="3779" spans="1:15" x14ac:dyDescent="0.3">
      <c r="A3779" t="s">
        <v>3864</v>
      </c>
      <c r="B3779" t="s">
        <v>74</v>
      </c>
      <c r="C3779" t="s">
        <v>62</v>
      </c>
      <c r="D3779" t="s">
        <v>95</v>
      </c>
      <c r="E3779" t="s">
        <v>19</v>
      </c>
      <c r="F3779" s="1">
        <v>45598</v>
      </c>
      <c r="G3779">
        <v>9</v>
      </c>
      <c r="H3779">
        <v>970.35</v>
      </c>
      <c r="I3779">
        <v>5</v>
      </c>
      <c r="J3779" t="s">
        <v>36</v>
      </c>
      <c r="K3779">
        <v>436.66</v>
      </c>
      <c r="L3779">
        <v>8733.15</v>
      </c>
      <c r="M3779">
        <v>8296.49</v>
      </c>
      <c r="N3779" t="s">
        <v>96</v>
      </c>
      <c r="O3779">
        <v>2024</v>
      </c>
    </row>
    <row r="3780" spans="1:15" x14ac:dyDescent="0.3">
      <c r="A3780" t="s">
        <v>3865</v>
      </c>
      <c r="B3780" t="s">
        <v>53</v>
      </c>
      <c r="C3780" t="s">
        <v>54</v>
      </c>
      <c r="D3780" t="s">
        <v>68</v>
      </c>
      <c r="E3780" t="s">
        <v>56</v>
      </c>
      <c r="F3780" s="1">
        <v>45646</v>
      </c>
      <c r="G3780">
        <v>10</v>
      </c>
      <c r="H3780">
        <v>4553.66</v>
      </c>
      <c r="I3780">
        <v>20</v>
      </c>
      <c r="J3780" t="s">
        <v>36</v>
      </c>
      <c r="K3780">
        <v>9107.32</v>
      </c>
      <c r="L3780">
        <v>45536.6</v>
      </c>
      <c r="M3780">
        <v>36429.279999999999</v>
      </c>
      <c r="N3780" t="s">
        <v>51</v>
      </c>
      <c r="O3780">
        <v>2024</v>
      </c>
    </row>
    <row r="3781" spans="1:15" x14ac:dyDescent="0.3">
      <c r="A3781" t="s">
        <v>3866</v>
      </c>
      <c r="B3781" t="s">
        <v>53</v>
      </c>
      <c r="C3781" t="s">
        <v>34</v>
      </c>
      <c r="D3781" t="s">
        <v>80</v>
      </c>
      <c r="E3781" t="s">
        <v>19</v>
      </c>
      <c r="F3781" s="1">
        <v>45752</v>
      </c>
      <c r="G3781">
        <v>4</v>
      </c>
      <c r="H3781">
        <v>6539.59</v>
      </c>
      <c r="I3781">
        <v>15</v>
      </c>
      <c r="J3781" t="s">
        <v>71</v>
      </c>
      <c r="K3781">
        <v>3923.75</v>
      </c>
      <c r="L3781">
        <v>26158.36</v>
      </c>
      <c r="M3781">
        <v>22234.61</v>
      </c>
      <c r="N3781" t="s">
        <v>27</v>
      </c>
      <c r="O3781">
        <v>2025</v>
      </c>
    </row>
    <row r="3782" spans="1:15" x14ac:dyDescent="0.3">
      <c r="A3782" t="s">
        <v>3867</v>
      </c>
      <c r="B3782" t="s">
        <v>53</v>
      </c>
      <c r="C3782" t="s">
        <v>90</v>
      </c>
      <c r="D3782" t="s">
        <v>152</v>
      </c>
      <c r="E3782" t="s">
        <v>44</v>
      </c>
      <c r="F3782" s="1">
        <v>45596</v>
      </c>
      <c r="G3782">
        <v>4</v>
      </c>
      <c r="H3782">
        <v>11647.23</v>
      </c>
      <c r="I3782">
        <v>5</v>
      </c>
      <c r="J3782" t="s">
        <v>40</v>
      </c>
      <c r="K3782">
        <v>2329.4499999999998</v>
      </c>
      <c r="L3782">
        <v>46588.92</v>
      </c>
      <c r="M3782">
        <v>44259.47</v>
      </c>
      <c r="N3782" t="s">
        <v>57</v>
      </c>
      <c r="O3782">
        <v>2024</v>
      </c>
    </row>
    <row r="3783" spans="1:15" x14ac:dyDescent="0.3">
      <c r="A3783" t="s">
        <v>3868</v>
      </c>
      <c r="B3783" t="s">
        <v>93</v>
      </c>
      <c r="C3783" t="s">
        <v>62</v>
      </c>
      <c r="D3783" t="s">
        <v>119</v>
      </c>
      <c r="E3783" t="s">
        <v>56</v>
      </c>
      <c r="F3783" s="1">
        <v>45460</v>
      </c>
      <c r="G3783">
        <v>10</v>
      </c>
      <c r="H3783">
        <v>4002.68</v>
      </c>
      <c r="I3783">
        <v>15</v>
      </c>
      <c r="J3783" t="s">
        <v>71</v>
      </c>
      <c r="K3783">
        <v>6004.02</v>
      </c>
      <c r="L3783">
        <v>40026.800000000003</v>
      </c>
      <c r="M3783">
        <v>34022.78</v>
      </c>
      <c r="N3783" t="s">
        <v>72</v>
      </c>
      <c r="O3783">
        <v>2024</v>
      </c>
    </row>
    <row r="3784" spans="1:15" x14ac:dyDescent="0.3">
      <c r="A3784" t="s">
        <v>3869</v>
      </c>
      <c r="B3784" t="s">
        <v>47</v>
      </c>
      <c r="C3784" t="s">
        <v>62</v>
      </c>
      <c r="D3784" t="s">
        <v>99</v>
      </c>
      <c r="E3784" t="s">
        <v>19</v>
      </c>
      <c r="F3784" s="1">
        <v>46020</v>
      </c>
      <c r="G3784">
        <v>5</v>
      </c>
      <c r="H3784">
        <v>1576.91</v>
      </c>
      <c r="I3784">
        <v>20</v>
      </c>
      <c r="J3784" t="s">
        <v>31</v>
      </c>
      <c r="K3784">
        <v>1576.91</v>
      </c>
      <c r="L3784">
        <v>7884.55</v>
      </c>
      <c r="M3784">
        <v>6307.64</v>
      </c>
      <c r="N3784" t="s">
        <v>51</v>
      </c>
      <c r="O3784">
        <v>2025</v>
      </c>
    </row>
    <row r="3785" spans="1:15" x14ac:dyDescent="0.3">
      <c r="A3785" t="s">
        <v>3870</v>
      </c>
      <c r="B3785" t="s">
        <v>93</v>
      </c>
      <c r="C3785" t="s">
        <v>17</v>
      </c>
      <c r="D3785" t="s">
        <v>59</v>
      </c>
      <c r="E3785" t="s">
        <v>81</v>
      </c>
      <c r="F3785" s="1">
        <v>45523</v>
      </c>
      <c r="G3785">
        <v>5</v>
      </c>
      <c r="H3785">
        <v>28300.6</v>
      </c>
      <c r="I3785">
        <v>0</v>
      </c>
      <c r="J3785" t="s">
        <v>26</v>
      </c>
      <c r="K3785">
        <v>0</v>
      </c>
      <c r="L3785">
        <v>141503</v>
      </c>
      <c r="M3785">
        <v>141503</v>
      </c>
      <c r="N3785" t="s">
        <v>21</v>
      </c>
      <c r="O3785">
        <v>2024</v>
      </c>
    </row>
    <row r="3786" spans="1:15" x14ac:dyDescent="0.3">
      <c r="A3786" t="s">
        <v>3871</v>
      </c>
      <c r="B3786" t="s">
        <v>43</v>
      </c>
      <c r="C3786" t="s">
        <v>62</v>
      </c>
      <c r="D3786" t="s">
        <v>63</v>
      </c>
      <c r="E3786" t="s">
        <v>56</v>
      </c>
      <c r="F3786" s="1">
        <v>45343</v>
      </c>
      <c r="G3786">
        <v>1</v>
      </c>
      <c r="H3786">
        <v>1944.45</v>
      </c>
      <c r="I3786">
        <v>20</v>
      </c>
      <c r="J3786" t="s">
        <v>31</v>
      </c>
      <c r="K3786">
        <v>388.89</v>
      </c>
      <c r="L3786">
        <v>1944.45</v>
      </c>
      <c r="M3786">
        <v>1555.56</v>
      </c>
      <c r="N3786" t="s">
        <v>41</v>
      </c>
      <c r="O3786">
        <v>2024</v>
      </c>
    </row>
    <row r="3787" spans="1:15" x14ac:dyDescent="0.3">
      <c r="A3787" t="s">
        <v>3872</v>
      </c>
      <c r="B3787" t="s">
        <v>93</v>
      </c>
      <c r="C3787" t="s">
        <v>62</v>
      </c>
      <c r="D3787" t="s">
        <v>95</v>
      </c>
      <c r="E3787" t="s">
        <v>25</v>
      </c>
      <c r="F3787" s="1">
        <v>46007</v>
      </c>
      <c r="G3787">
        <v>6</v>
      </c>
      <c r="H3787">
        <v>898.24</v>
      </c>
      <c r="I3787">
        <v>15</v>
      </c>
      <c r="J3787" t="s">
        <v>31</v>
      </c>
      <c r="K3787">
        <v>808.42</v>
      </c>
      <c r="L3787">
        <v>5389.44</v>
      </c>
      <c r="M3787">
        <v>4581.0200000000004</v>
      </c>
      <c r="N3787" t="s">
        <v>51</v>
      </c>
      <c r="O3787">
        <v>2025</v>
      </c>
    </row>
    <row r="3788" spans="1:15" x14ac:dyDescent="0.3">
      <c r="A3788" t="s">
        <v>3873</v>
      </c>
      <c r="B3788" t="s">
        <v>43</v>
      </c>
      <c r="C3788" t="s">
        <v>90</v>
      </c>
      <c r="D3788" t="s">
        <v>107</v>
      </c>
      <c r="E3788" t="s">
        <v>50</v>
      </c>
      <c r="F3788" s="1">
        <v>45683</v>
      </c>
      <c r="G3788">
        <v>3</v>
      </c>
      <c r="H3788">
        <v>11177.67</v>
      </c>
      <c r="I3788">
        <v>10</v>
      </c>
      <c r="J3788" t="s">
        <v>31</v>
      </c>
      <c r="K3788">
        <v>3353.3</v>
      </c>
      <c r="L3788">
        <v>33533.01</v>
      </c>
      <c r="M3788">
        <v>30179.71</v>
      </c>
      <c r="N3788" t="s">
        <v>116</v>
      </c>
      <c r="O3788">
        <v>2025</v>
      </c>
    </row>
    <row r="3789" spans="1:15" x14ac:dyDescent="0.3">
      <c r="A3789" t="s">
        <v>3874</v>
      </c>
      <c r="B3789" t="s">
        <v>114</v>
      </c>
      <c r="C3789" t="s">
        <v>54</v>
      </c>
      <c r="D3789" t="s">
        <v>55</v>
      </c>
      <c r="E3789" t="s">
        <v>25</v>
      </c>
      <c r="F3789" s="1">
        <v>45714</v>
      </c>
      <c r="G3789">
        <v>10</v>
      </c>
      <c r="H3789">
        <v>1149.28</v>
      </c>
      <c r="I3789">
        <v>20</v>
      </c>
      <c r="J3789" t="s">
        <v>20</v>
      </c>
      <c r="K3789">
        <v>2298.56</v>
      </c>
      <c r="L3789">
        <v>11492.8</v>
      </c>
      <c r="M3789">
        <v>9194.24</v>
      </c>
      <c r="N3789" t="s">
        <v>41</v>
      </c>
      <c r="O3789">
        <v>2025</v>
      </c>
    </row>
    <row r="3790" spans="1:15" x14ac:dyDescent="0.3">
      <c r="A3790" t="s">
        <v>3875</v>
      </c>
      <c r="B3790" t="s">
        <v>114</v>
      </c>
      <c r="C3790" t="s">
        <v>17</v>
      </c>
      <c r="D3790" t="s">
        <v>39</v>
      </c>
      <c r="E3790" t="s">
        <v>44</v>
      </c>
      <c r="F3790" s="1">
        <v>45394</v>
      </c>
      <c r="G3790">
        <v>6</v>
      </c>
      <c r="H3790">
        <v>16867.39</v>
      </c>
      <c r="I3790">
        <v>5</v>
      </c>
      <c r="J3790" t="s">
        <v>26</v>
      </c>
      <c r="K3790">
        <v>5060.22</v>
      </c>
      <c r="L3790">
        <v>101204.34</v>
      </c>
      <c r="M3790">
        <v>96144.12</v>
      </c>
      <c r="N3790" t="s">
        <v>27</v>
      </c>
      <c r="O3790">
        <v>2024</v>
      </c>
    </row>
    <row r="3791" spans="1:15" x14ac:dyDescent="0.3">
      <c r="A3791" t="s">
        <v>3876</v>
      </c>
      <c r="B3791" t="s">
        <v>74</v>
      </c>
      <c r="C3791" t="s">
        <v>17</v>
      </c>
      <c r="D3791" t="s">
        <v>18</v>
      </c>
      <c r="E3791" t="s">
        <v>56</v>
      </c>
      <c r="F3791" s="1">
        <v>45478</v>
      </c>
      <c r="G3791">
        <v>7</v>
      </c>
      <c r="H3791">
        <v>63549.51</v>
      </c>
      <c r="I3791">
        <v>0</v>
      </c>
      <c r="J3791" t="s">
        <v>36</v>
      </c>
      <c r="K3791">
        <v>0</v>
      </c>
      <c r="L3791">
        <v>444846.57</v>
      </c>
      <c r="M3791">
        <v>444846.57</v>
      </c>
      <c r="N3791" t="s">
        <v>122</v>
      </c>
      <c r="O3791">
        <v>2024</v>
      </c>
    </row>
    <row r="3792" spans="1:15" x14ac:dyDescent="0.3">
      <c r="A3792" t="s">
        <v>3877</v>
      </c>
      <c r="B3792" t="s">
        <v>38</v>
      </c>
      <c r="C3792" t="s">
        <v>62</v>
      </c>
      <c r="D3792" t="s">
        <v>99</v>
      </c>
      <c r="E3792" t="s">
        <v>19</v>
      </c>
      <c r="F3792" s="1">
        <v>45877</v>
      </c>
      <c r="G3792">
        <v>1</v>
      </c>
      <c r="H3792">
        <v>1679.55</v>
      </c>
      <c r="I3792">
        <v>0</v>
      </c>
      <c r="J3792" t="s">
        <v>31</v>
      </c>
      <c r="K3792">
        <v>0</v>
      </c>
      <c r="L3792">
        <v>1679.55</v>
      </c>
      <c r="M3792">
        <v>1679.55</v>
      </c>
      <c r="N3792" t="s">
        <v>21</v>
      </c>
      <c r="O3792">
        <v>2025</v>
      </c>
    </row>
    <row r="3793" spans="1:15" x14ac:dyDescent="0.3">
      <c r="A3793" t="s">
        <v>3878</v>
      </c>
      <c r="B3793" t="s">
        <v>53</v>
      </c>
      <c r="C3793" t="s">
        <v>54</v>
      </c>
      <c r="D3793" t="s">
        <v>137</v>
      </c>
      <c r="E3793" t="s">
        <v>81</v>
      </c>
      <c r="F3793" s="1">
        <v>45514</v>
      </c>
      <c r="G3793">
        <v>6</v>
      </c>
      <c r="H3793">
        <v>947.43</v>
      </c>
      <c r="I3793">
        <v>10</v>
      </c>
      <c r="J3793" t="s">
        <v>20</v>
      </c>
      <c r="K3793">
        <v>568.46</v>
      </c>
      <c r="L3793">
        <v>5684.58</v>
      </c>
      <c r="M3793">
        <v>5116.12</v>
      </c>
      <c r="N3793" t="s">
        <v>21</v>
      </c>
      <c r="O3793">
        <v>2024</v>
      </c>
    </row>
    <row r="3794" spans="1:15" x14ac:dyDescent="0.3">
      <c r="A3794" t="s">
        <v>3879</v>
      </c>
      <c r="B3794" t="s">
        <v>53</v>
      </c>
      <c r="C3794" t="s">
        <v>90</v>
      </c>
      <c r="D3794" t="s">
        <v>115</v>
      </c>
      <c r="E3794" t="s">
        <v>50</v>
      </c>
      <c r="F3794" s="1">
        <v>45954</v>
      </c>
      <c r="G3794">
        <v>6</v>
      </c>
      <c r="H3794">
        <v>9276.2000000000007</v>
      </c>
      <c r="I3794">
        <v>15</v>
      </c>
      <c r="J3794" t="s">
        <v>20</v>
      </c>
      <c r="K3794">
        <v>8348.58</v>
      </c>
      <c r="L3794">
        <v>55657.2</v>
      </c>
      <c r="M3794">
        <v>47308.62</v>
      </c>
      <c r="N3794" t="s">
        <v>57</v>
      </c>
      <c r="O3794">
        <v>2025</v>
      </c>
    </row>
    <row r="3795" spans="1:15" x14ac:dyDescent="0.3">
      <c r="A3795" t="s">
        <v>3880</v>
      </c>
      <c r="B3795" t="s">
        <v>74</v>
      </c>
      <c r="C3795" t="s">
        <v>90</v>
      </c>
      <c r="D3795" t="s">
        <v>152</v>
      </c>
      <c r="E3795" t="s">
        <v>25</v>
      </c>
      <c r="F3795" s="1">
        <v>45547</v>
      </c>
      <c r="G3795">
        <v>10</v>
      </c>
      <c r="H3795">
        <v>9049.7000000000007</v>
      </c>
      <c r="I3795">
        <v>5</v>
      </c>
      <c r="J3795" t="s">
        <v>45</v>
      </c>
      <c r="K3795">
        <v>4524.8500000000004</v>
      </c>
      <c r="L3795">
        <v>90497</v>
      </c>
      <c r="M3795">
        <v>85972.15</v>
      </c>
      <c r="N3795" t="s">
        <v>86</v>
      </c>
      <c r="O3795">
        <v>2024</v>
      </c>
    </row>
    <row r="3796" spans="1:15" x14ac:dyDescent="0.3">
      <c r="A3796" t="s">
        <v>3881</v>
      </c>
      <c r="B3796" t="s">
        <v>74</v>
      </c>
      <c r="C3796" t="s">
        <v>34</v>
      </c>
      <c r="D3796" t="s">
        <v>35</v>
      </c>
      <c r="E3796" t="s">
        <v>50</v>
      </c>
      <c r="F3796" s="1">
        <v>45768</v>
      </c>
      <c r="G3796">
        <v>4</v>
      </c>
      <c r="H3796">
        <v>25016.78</v>
      </c>
      <c r="I3796">
        <v>0</v>
      </c>
      <c r="J3796" t="s">
        <v>40</v>
      </c>
      <c r="K3796">
        <v>0</v>
      </c>
      <c r="L3796">
        <v>100067.12</v>
      </c>
      <c r="M3796">
        <v>100067.12</v>
      </c>
      <c r="N3796" t="s">
        <v>27</v>
      </c>
      <c r="O3796">
        <v>2025</v>
      </c>
    </row>
    <row r="3797" spans="1:15" x14ac:dyDescent="0.3">
      <c r="A3797" t="s">
        <v>3882</v>
      </c>
      <c r="B3797" t="s">
        <v>53</v>
      </c>
      <c r="C3797" t="s">
        <v>17</v>
      </c>
      <c r="D3797" t="s">
        <v>59</v>
      </c>
      <c r="E3797" t="s">
        <v>81</v>
      </c>
      <c r="F3797" s="1">
        <v>45880</v>
      </c>
      <c r="G3797">
        <v>1</v>
      </c>
      <c r="H3797">
        <v>26894.82</v>
      </c>
      <c r="I3797">
        <v>0</v>
      </c>
      <c r="J3797" t="s">
        <v>26</v>
      </c>
      <c r="K3797">
        <v>0</v>
      </c>
      <c r="L3797">
        <v>26894.82</v>
      </c>
      <c r="M3797">
        <v>26894.82</v>
      </c>
      <c r="N3797" t="s">
        <v>21</v>
      </c>
      <c r="O3797">
        <v>2025</v>
      </c>
    </row>
    <row r="3798" spans="1:15" x14ac:dyDescent="0.3">
      <c r="A3798" t="s">
        <v>3883</v>
      </c>
      <c r="B3798" t="s">
        <v>38</v>
      </c>
      <c r="C3798" t="s">
        <v>90</v>
      </c>
      <c r="D3798" t="s">
        <v>115</v>
      </c>
      <c r="E3798" t="s">
        <v>56</v>
      </c>
      <c r="F3798" s="1">
        <v>45361</v>
      </c>
      <c r="G3798">
        <v>5</v>
      </c>
      <c r="H3798">
        <v>7802.21</v>
      </c>
      <c r="I3798">
        <v>15</v>
      </c>
      <c r="J3798" t="s">
        <v>31</v>
      </c>
      <c r="K3798">
        <v>5851.66</v>
      </c>
      <c r="L3798">
        <v>39011.050000000003</v>
      </c>
      <c r="M3798">
        <v>33159.39</v>
      </c>
      <c r="N3798" t="s">
        <v>83</v>
      </c>
      <c r="O3798">
        <v>2024</v>
      </c>
    </row>
    <row r="3799" spans="1:15" x14ac:dyDescent="0.3">
      <c r="A3799" t="s">
        <v>3884</v>
      </c>
      <c r="B3799" t="s">
        <v>29</v>
      </c>
      <c r="C3799" t="s">
        <v>54</v>
      </c>
      <c r="D3799" t="s">
        <v>68</v>
      </c>
      <c r="E3799" t="s">
        <v>44</v>
      </c>
      <c r="F3799" s="1">
        <v>45617</v>
      </c>
      <c r="G3799">
        <v>5</v>
      </c>
      <c r="H3799">
        <v>5270.09</v>
      </c>
      <c r="I3799">
        <v>0</v>
      </c>
      <c r="J3799" t="s">
        <v>45</v>
      </c>
      <c r="K3799">
        <v>0</v>
      </c>
      <c r="L3799">
        <v>26350.45</v>
      </c>
      <c r="M3799">
        <v>26350.45</v>
      </c>
      <c r="N3799" t="s">
        <v>96</v>
      </c>
      <c r="O3799">
        <v>2024</v>
      </c>
    </row>
    <row r="3800" spans="1:15" x14ac:dyDescent="0.3">
      <c r="A3800" t="s">
        <v>3885</v>
      </c>
      <c r="B3800" t="s">
        <v>61</v>
      </c>
      <c r="C3800" t="s">
        <v>62</v>
      </c>
      <c r="D3800" t="s">
        <v>63</v>
      </c>
      <c r="E3800" t="s">
        <v>50</v>
      </c>
      <c r="F3800" s="1">
        <v>45702</v>
      </c>
      <c r="G3800">
        <v>10</v>
      </c>
      <c r="H3800">
        <v>1841.72</v>
      </c>
      <c r="I3800">
        <v>5</v>
      </c>
      <c r="J3800" t="s">
        <v>82</v>
      </c>
      <c r="K3800">
        <v>920.86</v>
      </c>
      <c r="L3800">
        <v>18417.2</v>
      </c>
      <c r="M3800">
        <v>17496.34</v>
      </c>
      <c r="N3800" t="s">
        <v>41</v>
      </c>
      <c r="O3800">
        <v>2025</v>
      </c>
    </row>
    <row r="3801" spans="1:15" x14ac:dyDescent="0.3">
      <c r="A3801" t="s">
        <v>3886</v>
      </c>
      <c r="B3801" t="s">
        <v>89</v>
      </c>
      <c r="C3801" t="s">
        <v>17</v>
      </c>
      <c r="D3801" t="s">
        <v>157</v>
      </c>
      <c r="E3801" t="s">
        <v>19</v>
      </c>
      <c r="F3801" s="1">
        <v>45876</v>
      </c>
      <c r="G3801">
        <v>4</v>
      </c>
      <c r="H3801">
        <v>7388.45</v>
      </c>
      <c r="I3801">
        <v>10</v>
      </c>
      <c r="J3801" t="s">
        <v>40</v>
      </c>
      <c r="K3801">
        <v>2955.38</v>
      </c>
      <c r="L3801">
        <v>29553.8</v>
      </c>
      <c r="M3801">
        <v>26598.42</v>
      </c>
      <c r="N3801" t="s">
        <v>21</v>
      </c>
      <c r="O3801">
        <v>2025</v>
      </c>
    </row>
    <row r="3802" spans="1:15" x14ac:dyDescent="0.3">
      <c r="A3802" t="s">
        <v>3887</v>
      </c>
      <c r="B3802" t="s">
        <v>23</v>
      </c>
      <c r="C3802" t="s">
        <v>34</v>
      </c>
      <c r="D3802" t="s">
        <v>66</v>
      </c>
      <c r="E3802" t="s">
        <v>81</v>
      </c>
      <c r="F3802" s="1">
        <v>45575</v>
      </c>
      <c r="G3802">
        <v>6</v>
      </c>
      <c r="H3802">
        <v>48990.39</v>
      </c>
      <c r="I3802">
        <v>20</v>
      </c>
      <c r="J3802" t="s">
        <v>26</v>
      </c>
      <c r="K3802">
        <v>58788.47</v>
      </c>
      <c r="L3802">
        <v>293942.34000000003</v>
      </c>
      <c r="M3802">
        <v>235153.87</v>
      </c>
      <c r="N3802" t="s">
        <v>57</v>
      </c>
      <c r="O3802">
        <v>2024</v>
      </c>
    </row>
    <row r="3803" spans="1:15" x14ac:dyDescent="0.3">
      <c r="A3803" t="s">
        <v>3888</v>
      </c>
      <c r="B3803" t="s">
        <v>53</v>
      </c>
      <c r="C3803" t="s">
        <v>34</v>
      </c>
      <c r="D3803" t="s">
        <v>48</v>
      </c>
      <c r="E3803" t="s">
        <v>81</v>
      </c>
      <c r="F3803" s="1">
        <v>45863</v>
      </c>
      <c r="G3803">
        <v>4</v>
      </c>
      <c r="H3803">
        <v>7868.75</v>
      </c>
      <c r="I3803">
        <v>5</v>
      </c>
      <c r="J3803" t="s">
        <v>71</v>
      </c>
      <c r="K3803">
        <v>1573.75</v>
      </c>
      <c r="L3803">
        <v>31475</v>
      </c>
      <c r="M3803">
        <v>29901.25</v>
      </c>
      <c r="N3803" t="s">
        <v>122</v>
      </c>
      <c r="O3803">
        <v>2025</v>
      </c>
    </row>
    <row r="3804" spans="1:15" x14ac:dyDescent="0.3">
      <c r="A3804" t="s">
        <v>3889</v>
      </c>
      <c r="B3804" t="s">
        <v>47</v>
      </c>
      <c r="C3804" t="s">
        <v>34</v>
      </c>
      <c r="D3804" t="s">
        <v>66</v>
      </c>
      <c r="E3804" t="s">
        <v>50</v>
      </c>
      <c r="F3804" s="1">
        <v>45312</v>
      </c>
      <c r="G3804">
        <v>8</v>
      </c>
      <c r="H3804">
        <v>38324.43</v>
      </c>
      <c r="I3804">
        <v>10</v>
      </c>
      <c r="J3804" t="s">
        <v>20</v>
      </c>
      <c r="K3804">
        <v>30659.54</v>
      </c>
      <c r="L3804">
        <v>306595.44</v>
      </c>
      <c r="M3804">
        <v>275935.90000000002</v>
      </c>
      <c r="N3804" t="s">
        <v>116</v>
      </c>
      <c r="O3804">
        <v>2024</v>
      </c>
    </row>
    <row r="3805" spans="1:15" x14ac:dyDescent="0.3">
      <c r="A3805" t="s">
        <v>3890</v>
      </c>
      <c r="B3805" t="s">
        <v>109</v>
      </c>
      <c r="C3805" t="s">
        <v>34</v>
      </c>
      <c r="D3805" t="s">
        <v>85</v>
      </c>
      <c r="E3805" t="s">
        <v>50</v>
      </c>
      <c r="F3805" s="1">
        <v>45725</v>
      </c>
      <c r="G3805">
        <v>5</v>
      </c>
      <c r="H3805">
        <v>11104.41</v>
      </c>
      <c r="I3805">
        <v>5</v>
      </c>
      <c r="J3805" t="s">
        <v>20</v>
      </c>
      <c r="K3805">
        <v>2776.1</v>
      </c>
      <c r="L3805">
        <v>55522.05</v>
      </c>
      <c r="M3805">
        <v>52745.95</v>
      </c>
      <c r="N3805" t="s">
        <v>83</v>
      </c>
      <c r="O3805">
        <v>2025</v>
      </c>
    </row>
    <row r="3806" spans="1:15" x14ac:dyDescent="0.3">
      <c r="A3806" t="s">
        <v>3891</v>
      </c>
      <c r="B3806" t="s">
        <v>74</v>
      </c>
      <c r="C3806" t="s">
        <v>34</v>
      </c>
      <c r="D3806" t="s">
        <v>48</v>
      </c>
      <c r="E3806" t="s">
        <v>56</v>
      </c>
      <c r="F3806" s="1">
        <v>45314</v>
      </c>
      <c r="G3806">
        <v>10</v>
      </c>
      <c r="H3806">
        <v>8277.4699999999993</v>
      </c>
      <c r="I3806">
        <v>5</v>
      </c>
      <c r="J3806" t="s">
        <v>40</v>
      </c>
      <c r="K3806">
        <v>4138.7299999999996</v>
      </c>
      <c r="L3806">
        <v>82774.7</v>
      </c>
      <c r="M3806">
        <v>78635.97</v>
      </c>
      <c r="N3806" t="s">
        <v>116</v>
      </c>
      <c r="O3806">
        <v>2024</v>
      </c>
    </row>
    <row r="3807" spans="1:15" x14ac:dyDescent="0.3">
      <c r="A3807" t="s">
        <v>3892</v>
      </c>
      <c r="B3807" t="s">
        <v>109</v>
      </c>
      <c r="C3807" t="s">
        <v>90</v>
      </c>
      <c r="D3807" t="s">
        <v>107</v>
      </c>
      <c r="E3807" t="s">
        <v>50</v>
      </c>
      <c r="F3807" s="1">
        <v>45647</v>
      </c>
      <c r="G3807">
        <v>1</v>
      </c>
      <c r="H3807">
        <v>12949.85</v>
      </c>
      <c r="I3807">
        <v>0</v>
      </c>
      <c r="J3807" t="s">
        <v>20</v>
      </c>
      <c r="K3807">
        <v>0</v>
      </c>
      <c r="L3807">
        <v>12949.85</v>
      </c>
      <c r="M3807">
        <v>12949.85</v>
      </c>
      <c r="N3807" t="s">
        <v>51</v>
      </c>
      <c r="O3807">
        <v>2024</v>
      </c>
    </row>
    <row r="3808" spans="1:15" x14ac:dyDescent="0.3">
      <c r="A3808" t="s">
        <v>3893</v>
      </c>
      <c r="B3808" t="s">
        <v>53</v>
      </c>
      <c r="C3808" t="s">
        <v>90</v>
      </c>
      <c r="D3808" t="s">
        <v>105</v>
      </c>
      <c r="E3808" t="s">
        <v>50</v>
      </c>
      <c r="F3808" s="1">
        <v>45626</v>
      </c>
      <c r="G3808">
        <v>2</v>
      </c>
      <c r="H3808">
        <v>4253.1499999999996</v>
      </c>
      <c r="I3808">
        <v>15</v>
      </c>
      <c r="J3808" t="s">
        <v>36</v>
      </c>
      <c r="K3808">
        <v>1275.94</v>
      </c>
      <c r="L3808">
        <v>8506.2999999999993</v>
      </c>
      <c r="M3808">
        <v>7230.36</v>
      </c>
      <c r="N3808" t="s">
        <v>96</v>
      </c>
      <c r="O3808">
        <v>2024</v>
      </c>
    </row>
    <row r="3809" spans="1:15" x14ac:dyDescent="0.3">
      <c r="A3809" t="s">
        <v>3894</v>
      </c>
      <c r="B3809" t="s">
        <v>33</v>
      </c>
      <c r="C3809" t="s">
        <v>17</v>
      </c>
      <c r="D3809" t="s">
        <v>39</v>
      </c>
      <c r="E3809" t="s">
        <v>19</v>
      </c>
      <c r="F3809" s="1">
        <v>45347</v>
      </c>
      <c r="G3809">
        <v>10</v>
      </c>
      <c r="H3809">
        <v>20502.099999999999</v>
      </c>
      <c r="I3809">
        <v>10</v>
      </c>
      <c r="J3809" t="s">
        <v>71</v>
      </c>
      <c r="K3809">
        <v>20502.099999999999</v>
      </c>
      <c r="L3809">
        <v>205021</v>
      </c>
      <c r="M3809">
        <v>184518.9</v>
      </c>
      <c r="N3809" t="s">
        <v>41</v>
      </c>
      <c r="O3809">
        <v>2024</v>
      </c>
    </row>
    <row r="3810" spans="1:15" x14ac:dyDescent="0.3">
      <c r="A3810" t="s">
        <v>3895</v>
      </c>
      <c r="B3810" t="s">
        <v>53</v>
      </c>
      <c r="C3810" t="s">
        <v>17</v>
      </c>
      <c r="D3810" t="s">
        <v>39</v>
      </c>
      <c r="E3810" t="s">
        <v>50</v>
      </c>
      <c r="F3810" s="1">
        <v>45641</v>
      </c>
      <c r="G3810">
        <v>7</v>
      </c>
      <c r="H3810">
        <v>19332.46</v>
      </c>
      <c r="I3810">
        <v>0</v>
      </c>
      <c r="J3810" t="s">
        <v>40</v>
      </c>
      <c r="K3810">
        <v>0</v>
      </c>
      <c r="L3810">
        <v>135327.22</v>
      </c>
      <c r="M3810">
        <v>135327.22</v>
      </c>
      <c r="N3810" t="s">
        <v>51</v>
      </c>
      <c r="O3810">
        <v>2024</v>
      </c>
    </row>
    <row r="3811" spans="1:15" x14ac:dyDescent="0.3">
      <c r="A3811" t="s">
        <v>3896</v>
      </c>
      <c r="B3811" t="s">
        <v>53</v>
      </c>
      <c r="C3811" t="s">
        <v>54</v>
      </c>
      <c r="D3811" t="s">
        <v>77</v>
      </c>
      <c r="E3811" t="s">
        <v>19</v>
      </c>
      <c r="F3811" s="1">
        <v>45381</v>
      </c>
      <c r="G3811">
        <v>3</v>
      </c>
      <c r="H3811">
        <v>4900.93</v>
      </c>
      <c r="I3811">
        <v>20</v>
      </c>
      <c r="J3811" t="s">
        <v>45</v>
      </c>
      <c r="K3811">
        <v>2940.56</v>
      </c>
      <c r="L3811">
        <v>14702.79</v>
      </c>
      <c r="M3811">
        <v>11762.23</v>
      </c>
      <c r="N3811" t="s">
        <v>83</v>
      </c>
      <c r="O3811">
        <v>2024</v>
      </c>
    </row>
    <row r="3812" spans="1:15" x14ac:dyDescent="0.3">
      <c r="A3812" t="s">
        <v>3897</v>
      </c>
      <c r="B3812" t="s">
        <v>74</v>
      </c>
      <c r="C3812" t="s">
        <v>17</v>
      </c>
      <c r="D3812" t="s">
        <v>157</v>
      </c>
      <c r="E3812" t="s">
        <v>81</v>
      </c>
      <c r="F3812" s="1">
        <v>45892</v>
      </c>
      <c r="G3812">
        <v>2</v>
      </c>
      <c r="H3812">
        <v>7777.84</v>
      </c>
      <c r="I3812">
        <v>10</v>
      </c>
      <c r="J3812" t="s">
        <v>82</v>
      </c>
      <c r="K3812">
        <v>1555.57</v>
      </c>
      <c r="L3812">
        <v>15555.68</v>
      </c>
      <c r="M3812">
        <v>14000.11</v>
      </c>
      <c r="N3812" t="s">
        <v>21</v>
      </c>
      <c r="O3812">
        <v>2025</v>
      </c>
    </row>
    <row r="3813" spans="1:15" x14ac:dyDescent="0.3">
      <c r="A3813" t="s">
        <v>3898</v>
      </c>
      <c r="B3813" t="s">
        <v>16</v>
      </c>
      <c r="C3813" t="s">
        <v>17</v>
      </c>
      <c r="D3813" t="s">
        <v>39</v>
      </c>
      <c r="E3813" t="s">
        <v>30</v>
      </c>
      <c r="F3813" s="1">
        <v>45997</v>
      </c>
      <c r="G3813">
        <v>5</v>
      </c>
      <c r="H3813">
        <v>20845.64</v>
      </c>
      <c r="I3813">
        <v>10</v>
      </c>
      <c r="J3813" t="s">
        <v>20</v>
      </c>
      <c r="K3813">
        <v>10422.82</v>
      </c>
      <c r="L3813">
        <v>104228.2</v>
      </c>
      <c r="M3813">
        <v>93805.38</v>
      </c>
      <c r="N3813" t="s">
        <v>51</v>
      </c>
      <c r="O3813">
        <v>2025</v>
      </c>
    </row>
    <row r="3814" spans="1:15" x14ac:dyDescent="0.3">
      <c r="A3814" t="s">
        <v>3899</v>
      </c>
      <c r="B3814" t="s">
        <v>16</v>
      </c>
      <c r="C3814" t="s">
        <v>17</v>
      </c>
      <c r="D3814" t="s">
        <v>24</v>
      </c>
      <c r="E3814" t="s">
        <v>44</v>
      </c>
      <c r="F3814" s="1">
        <v>45404</v>
      </c>
      <c r="G3814">
        <v>6</v>
      </c>
      <c r="H3814">
        <v>3219</v>
      </c>
      <c r="I3814">
        <v>10</v>
      </c>
      <c r="J3814" t="s">
        <v>71</v>
      </c>
      <c r="K3814">
        <v>1931.4</v>
      </c>
      <c r="L3814">
        <v>19314</v>
      </c>
      <c r="M3814">
        <v>17382.599999999999</v>
      </c>
      <c r="N3814" t="s">
        <v>27</v>
      </c>
      <c r="O3814">
        <v>2024</v>
      </c>
    </row>
    <row r="3815" spans="1:15" x14ac:dyDescent="0.3">
      <c r="A3815" t="s">
        <v>3900</v>
      </c>
      <c r="B3815" t="s">
        <v>47</v>
      </c>
      <c r="C3815" t="s">
        <v>62</v>
      </c>
      <c r="D3815" t="s">
        <v>99</v>
      </c>
      <c r="E3815" t="s">
        <v>56</v>
      </c>
      <c r="F3815" s="1">
        <v>45528</v>
      </c>
      <c r="G3815">
        <v>3</v>
      </c>
      <c r="H3815">
        <v>1709.55</v>
      </c>
      <c r="I3815">
        <v>5</v>
      </c>
      <c r="J3815" t="s">
        <v>31</v>
      </c>
      <c r="K3815">
        <v>256.43</v>
      </c>
      <c r="L3815">
        <v>5128.6499999999996</v>
      </c>
      <c r="M3815">
        <v>4872.22</v>
      </c>
      <c r="N3815" t="s">
        <v>21</v>
      </c>
      <c r="O3815">
        <v>2024</v>
      </c>
    </row>
    <row r="3816" spans="1:15" x14ac:dyDescent="0.3">
      <c r="A3816" t="s">
        <v>3901</v>
      </c>
      <c r="B3816" t="s">
        <v>29</v>
      </c>
      <c r="C3816" t="s">
        <v>62</v>
      </c>
      <c r="D3816" t="s">
        <v>99</v>
      </c>
      <c r="E3816" t="s">
        <v>25</v>
      </c>
      <c r="F3816" s="1">
        <v>45415</v>
      </c>
      <c r="G3816">
        <v>7</v>
      </c>
      <c r="H3816">
        <v>1400.3</v>
      </c>
      <c r="I3816">
        <v>0</v>
      </c>
      <c r="J3816" t="s">
        <v>31</v>
      </c>
      <c r="K3816">
        <v>0</v>
      </c>
      <c r="L3816">
        <v>9802.1</v>
      </c>
      <c r="M3816">
        <v>9802.1</v>
      </c>
      <c r="N3816" t="s">
        <v>101</v>
      </c>
      <c r="O3816">
        <v>2024</v>
      </c>
    </row>
    <row r="3817" spans="1:15" x14ac:dyDescent="0.3">
      <c r="A3817" t="s">
        <v>3902</v>
      </c>
      <c r="B3817" t="s">
        <v>114</v>
      </c>
      <c r="C3817" t="s">
        <v>54</v>
      </c>
      <c r="D3817" t="s">
        <v>137</v>
      </c>
      <c r="E3817" t="s">
        <v>30</v>
      </c>
      <c r="F3817" s="1">
        <v>45535</v>
      </c>
      <c r="G3817">
        <v>6</v>
      </c>
      <c r="H3817">
        <v>839.57</v>
      </c>
      <c r="I3817">
        <v>0</v>
      </c>
      <c r="J3817" t="s">
        <v>31</v>
      </c>
      <c r="K3817">
        <v>0</v>
      </c>
      <c r="L3817">
        <v>5037.42</v>
      </c>
      <c r="M3817">
        <v>5037.42</v>
      </c>
      <c r="N3817" t="s">
        <v>21</v>
      </c>
      <c r="O3817">
        <v>2024</v>
      </c>
    </row>
    <row r="3818" spans="1:15" x14ac:dyDescent="0.3">
      <c r="A3818" t="s">
        <v>3903</v>
      </c>
      <c r="B3818" t="s">
        <v>47</v>
      </c>
      <c r="C3818" t="s">
        <v>90</v>
      </c>
      <c r="D3818" t="s">
        <v>152</v>
      </c>
      <c r="E3818" t="s">
        <v>19</v>
      </c>
      <c r="F3818" s="1">
        <v>45588</v>
      </c>
      <c r="G3818">
        <v>3</v>
      </c>
      <c r="H3818">
        <v>10050.52</v>
      </c>
      <c r="I3818">
        <v>20</v>
      </c>
      <c r="J3818" t="s">
        <v>26</v>
      </c>
      <c r="K3818">
        <v>6030.31</v>
      </c>
      <c r="L3818">
        <v>30151.56</v>
      </c>
      <c r="M3818">
        <v>24121.25</v>
      </c>
      <c r="N3818" t="s">
        <v>57</v>
      </c>
      <c r="O3818">
        <v>2024</v>
      </c>
    </row>
    <row r="3819" spans="1:15" x14ac:dyDescent="0.3">
      <c r="A3819" t="s">
        <v>3904</v>
      </c>
      <c r="B3819" t="s">
        <v>65</v>
      </c>
      <c r="C3819" t="s">
        <v>54</v>
      </c>
      <c r="D3819" t="s">
        <v>68</v>
      </c>
      <c r="E3819" t="s">
        <v>44</v>
      </c>
      <c r="F3819" s="1">
        <v>45975</v>
      </c>
      <c r="G3819">
        <v>7</v>
      </c>
      <c r="H3819">
        <v>5192.1099999999997</v>
      </c>
      <c r="I3819">
        <v>15</v>
      </c>
      <c r="J3819" t="s">
        <v>45</v>
      </c>
      <c r="K3819">
        <v>5451.72</v>
      </c>
      <c r="L3819">
        <v>36344.769999999997</v>
      </c>
      <c r="M3819">
        <v>30893.05</v>
      </c>
      <c r="N3819" t="s">
        <v>96</v>
      </c>
      <c r="O3819">
        <v>2025</v>
      </c>
    </row>
    <row r="3820" spans="1:15" x14ac:dyDescent="0.3">
      <c r="A3820" t="s">
        <v>3905</v>
      </c>
      <c r="B3820" t="s">
        <v>29</v>
      </c>
      <c r="C3820" t="s">
        <v>17</v>
      </c>
      <c r="D3820" t="s">
        <v>39</v>
      </c>
      <c r="E3820" t="s">
        <v>30</v>
      </c>
      <c r="F3820" s="1">
        <v>46001</v>
      </c>
      <c r="G3820">
        <v>7</v>
      </c>
      <c r="H3820">
        <v>17938.689999999999</v>
      </c>
      <c r="I3820">
        <v>20</v>
      </c>
      <c r="J3820" t="s">
        <v>20</v>
      </c>
      <c r="K3820">
        <v>25114.17</v>
      </c>
      <c r="L3820">
        <v>125570.83</v>
      </c>
      <c r="M3820">
        <v>100456.66</v>
      </c>
      <c r="N3820" t="s">
        <v>51</v>
      </c>
      <c r="O3820">
        <v>2025</v>
      </c>
    </row>
    <row r="3821" spans="1:15" x14ac:dyDescent="0.3">
      <c r="A3821" t="s">
        <v>3906</v>
      </c>
      <c r="B3821" t="s">
        <v>109</v>
      </c>
      <c r="C3821" t="s">
        <v>17</v>
      </c>
      <c r="D3821" t="s">
        <v>24</v>
      </c>
      <c r="E3821" t="s">
        <v>25</v>
      </c>
      <c r="F3821" s="1">
        <v>45372</v>
      </c>
      <c r="G3821">
        <v>5</v>
      </c>
      <c r="H3821">
        <v>3273.97</v>
      </c>
      <c r="I3821">
        <v>15</v>
      </c>
      <c r="J3821" t="s">
        <v>26</v>
      </c>
      <c r="K3821">
        <v>2455.48</v>
      </c>
      <c r="L3821">
        <v>16369.85</v>
      </c>
      <c r="M3821">
        <v>13914.37</v>
      </c>
      <c r="N3821" t="s">
        <v>83</v>
      </c>
      <c r="O3821">
        <v>2024</v>
      </c>
    </row>
    <row r="3822" spans="1:15" x14ac:dyDescent="0.3">
      <c r="A3822" t="s">
        <v>3907</v>
      </c>
      <c r="B3822" t="s">
        <v>16</v>
      </c>
      <c r="C3822" t="s">
        <v>17</v>
      </c>
      <c r="D3822" t="s">
        <v>18</v>
      </c>
      <c r="E3822" t="s">
        <v>50</v>
      </c>
      <c r="F3822" s="1">
        <v>45789</v>
      </c>
      <c r="G3822">
        <v>9</v>
      </c>
      <c r="H3822">
        <v>67022.23</v>
      </c>
      <c r="I3822">
        <v>20</v>
      </c>
      <c r="J3822" t="s">
        <v>36</v>
      </c>
      <c r="K3822">
        <v>120640.01</v>
      </c>
      <c r="L3822">
        <v>603200.06999999995</v>
      </c>
      <c r="M3822">
        <v>482560.06</v>
      </c>
      <c r="N3822" t="s">
        <v>101</v>
      </c>
      <c r="O3822">
        <v>2025</v>
      </c>
    </row>
    <row r="3823" spans="1:15" x14ac:dyDescent="0.3">
      <c r="A3823" t="s">
        <v>3908</v>
      </c>
      <c r="B3823" t="s">
        <v>93</v>
      </c>
      <c r="C3823" t="s">
        <v>17</v>
      </c>
      <c r="D3823" t="s">
        <v>24</v>
      </c>
      <c r="E3823" t="s">
        <v>50</v>
      </c>
      <c r="F3823" s="1">
        <v>45579</v>
      </c>
      <c r="G3823">
        <v>7</v>
      </c>
      <c r="H3823">
        <v>3511.57</v>
      </c>
      <c r="I3823">
        <v>15</v>
      </c>
      <c r="J3823" t="s">
        <v>26</v>
      </c>
      <c r="K3823">
        <v>3687.15</v>
      </c>
      <c r="L3823">
        <v>24580.99</v>
      </c>
      <c r="M3823">
        <v>20893.84</v>
      </c>
      <c r="N3823" t="s">
        <v>57</v>
      </c>
      <c r="O3823">
        <v>2024</v>
      </c>
    </row>
    <row r="3824" spans="1:15" x14ac:dyDescent="0.3">
      <c r="A3824" t="s">
        <v>3909</v>
      </c>
      <c r="B3824" t="s">
        <v>65</v>
      </c>
      <c r="C3824" t="s">
        <v>34</v>
      </c>
      <c r="D3824" t="s">
        <v>66</v>
      </c>
      <c r="E3824" t="s">
        <v>25</v>
      </c>
      <c r="F3824" s="1">
        <v>45812</v>
      </c>
      <c r="G3824">
        <v>8</v>
      </c>
      <c r="H3824">
        <v>43077.22</v>
      </c>
      <c r="I3824">
        <v>10</v>
      </c>
      <c r="J3824" t="s">
        <v>31</v>
      </c>
      <c r="K3824">
        <v>34461.78</v>
      </c>
      <c r="L3824">
        <v>344617.76</v>
      </c>
      <c r="M3824">
        <v>310155.98</v>
      </c>
      <c r="N3824" t="s">
        <v>72</v>
      </c>
      <c r="O3824">
        <v>2025</v>
      </c>
    </row>
    <row r="3825" spans="1:15" x14ac:dyDescent="0.3">
      <c r="A3825" t="s">
        <v>3910</v>
      </c>
      <c r="B3825" t="s">
        <v>38</v>
      </c>
      <c r="C3825" t="s">
        <v>17</v>
      </c>
      <c r="D3825" t="s">
        <v>24</v>
      </c>
      <c r="E3825" t="s">
        <v>30</v>
      </c>
      <c r="F3825" s="1">
        <v>45722</v>
      </c>
      <c r="G3825">
        <v>10</v>
      </c>
      <c r="H3825">
        <v>2734.31</v>
      </c>
      <c r="I3825">
        <v>10</v>
      </c>
      <c r="J3825" t="s">
        <v>45</v>
      </c>
      <c r="K3825">
        <v>2734.31</v>
      </c>
      <c r="L3825">
        <v>27343.1</v>
      </c>
      <c r="M3825">
        <v>24608.79</v>
      </c>
      <c r="N3825" t="s">
        <v>83</v>
      </c>
      <c r="O3825">
        <v>2025</v>
      </c>
    </row>
    <row r="3826" spans="1:15" x14ac:dyDescent="0.3">
      <c r="A3826" t="s">
        <v>3911</v>
      </c>
      <c r="B3826" t="s">
        <v>23</v>
      </c>
      <c r="C3826" t="s">
        <v>17</v>
      </c>
      <c r="D3826" t="s">
        <v>24</v>
      </c>
      <c r="E3826" t="s">
        <v>19</v>
      </c>
      <c r="F3826" s="1">
        <v>45862</v>
      </c>
      <c r="G3826">
        <v>9</v>
      </c>
      <c r="H3826">
        <v>3269</v>
      </c>
      <c r="I3826">
        <v>15</v>
      </c>
      <c r="J3826" t="s">
        <v>31</v>
      </c>
      <c r="K3826">
        <v>4413.1499999999996</v>
      </c>
      <c r="L3826">
        <v>29421</v>
      </c>
      <c r="M3826">
        <v>25007.85</v>
      </c>
      <c r="N3826" t="s">
        <v>122</v>
      </c>
      <c r="O3826">
        <v>2025</v>
      </c>
    </row>
    <row r="3827" spans="1:15" x14ac:dyDescent="0.3">
      <c r="A3827" t="s">
        <v>3912</v>
      </c>
      <c r="B3827" t="s">
        <v>65</v>
      </c>
      <c r="C3827" t="s">
        <v>90</v>
      </c>
      <c r="D3827" t="s">
        <v>107</v>
      </c>
      <c r="E3827" t="s">
        <v>25</v>
      </c>
      <c r="F3827" s="1">
        <v>45782</v>
      </c>
      <c r="G3827">
        <v>3</v>
      </c>
      <c r="H3827">
        <v>12943.61</v>
      </c>
      <c r="I3827">
        <v>5</v>
      </c>
      <c r="J3827" t="s">
        <v>26</v>
      </c>
      <c r="K3827">
        <v>1941.54</v>
      </c>
      <c r="L3827">
        <v>38830.83</v>
      </c>
      <c r="M3827">
        <v>36889.29</v>
      </c>
      <c r="N3827" t="s">
        <v>101</v>
      </c>
      <c r="O3827">
        <v>2025</v>
      </c>
    </row>
    <row r="3828" spans="1:15" x14ac:dyDescent="0.3">
      <c r="A3828" t="s">
        <v>3913</v>
      </c>
      <c r="B3828" t="s">
        <v>47</v>
      </c>
      <c r="C3828" t="s">
        <v>17</v>
      </c>
      <c r="D3828" t="s">
        <v>24</v>
      </c>
      <c r="E3828" t="s">
        <v>30</v>
      </c>
      <c r="F3828" s="1">
        <v>45750</v>
      </c>
      <c r="G3828">
        <v>3</v>
      </c>
      <c r="H3828">
        <v>3174.21</v>
      </c>
      <c r="I3828">
        <v>15</v>
      </c>
      <c r="J3828" t="s">
        <v>40</v>
      </c>
      <c r="K3828">
        <v>1428.39</v>
      </c>
      <c r="L3828">
        <v>9522.6299999999992</v>
      </c>
      <c r="M3828">
        <v>8094.24</v>
      </c>
      <c r="N3828" t="s">
        <v>27</v>
      </c>
      <c r="O3828">
        <v>2025</v>
      </c>
    </row>
    <row r="3829" spans="1:15" x14ac:dyDescent="0.3">
      <c r="A3829" t="s">
        <v>3914</v>
      </c>
      <c r="B3829" t="s">
        <v>23</v>
      </c>
      <c r="C3829" t="s">
        <v>34</v>
      </c>
      <c r="D3829" t="s">
        <v>48</v>
      </c>
      <c r="E3829" t="s">
        <v>19</v>
      </c>
      <c r="F3829" s="1">
        <v>45769</v>
      </c>
      <c r="G3829">
        <v>9</v>
      </c>
      <c r="H3829">
        <v>7646.55</v>
      </c>
      <c r="I3829">
        <v>0</v>
      </c>
      <c r="J3829" t="s">
        <v>26</v>
      </c>
      <c r="K3829">
        <v>0</v>
      </c>
      <c r="L3829">
        <v>68818.95</v>
      </c>
      <c r="M3829">
        <v>68818.95</v>
      </c>
      <c r="N3829" t="s">
        <v>27</v>
      </c>
      <c r="O3829">
        <v>2025</v>
      </c>
    </row>
    <row r="3830" spans="1:15" x14ac:dyDescent="0.3">
      <c r="A3830" t="s">
        <v>3915</v>
      </c>
      <c r="B3830" t="s">
        <v>109</v>
      </c>
      <c r="C3830" t="s">
        <v>54</v>
      </c>
      <c r="D3830" t="s">
        <v>55</v>
      </c>
      <c r="E3830" t="s">
        <v>44</v>
      </c>
      <c r="F3830" s="1">
        <v>45910</v>
      </c>
      <c r="G3830">
        <v>8</v>
      </c>
      <c r="H3830">
        <v>1365.69</v>
      </c>
      <c r="I3830">
        <v>20</v>
      </c>
      <c r="J3830" t="s">
        <v>31</v>
      </c>
      <c r="K3830">
        <v>2185.1</v>
      </c>
      <c r="L3830">
        <v>10925.52</v>
      </c>
      <c r="M3830">
        <v>8740.42</v>
      </c>
      <c r="N3830" t="s">
        <v>86</v>
      </c>
      <c r="O3830">
        <v>2025</v>
      </c>
    </row>
    <row r="3831" spans="1:15" x14ac:dyDescent="0.3">
      <c r="A3831" t="s">
        <v>3916</v>
      </c>
      <c r="B3831" t="s">
        <v>61</v>
      </c>
      <c r="C3831" t="s">
        <v>54</v>
      </c>
      <c r="D3831" t="s">
        <v>77</v>
      </c>
      <c r="E3831" t="s">
        <v>81</v>
      </c>
      <c r="F3831" s="1">
        <v>45397</v>
      </c>
      <c r="G3831">
        <v>5</v>
      </c>
      <c r="H3831">
        <v>4933.3500000000004</v>
      </c>
      <c r="I3831">
        <v>10</v>
      </c>
      <c r="J3831" t="s">
        <v>45</v>
      </c>
      <c r="K3831">
        <v>2466.6799999999998</v>
      </c>
      <c r="L3831">
        <v>24666.75</v>
      </c>
      <c r="M3831">
        <v>22200.07</v>
      </c>
      <c r="N3831" t="s">
        <v>27</v>
      </c>
      <c r="O3831">
        <v>2024</v>
      </c>
    </row>
    <row r="3832" spans="1:15" x14ac:dyDescent="0.3">
      <c r="A3832" t="s">
        <v>3917</v>
      </c>
      <c r="B3832" t="s">
        <v>29</v>
      </c>
      <c r="C3832" t="s">
        <v>54</v>
      </c>
      <c r="D3832" t="s">
        <v>77</v>
      </c>
      <c r="E3832" t="s">
        <v>56</v>
      </c>
      <c r="F3832" s="1">
        <v>45373</v>
      </c>
      <c r="G3832">
        <v>5</v>
      </c>
      <c r="H3832">
        <v>4984.41</v>
      </c>
      <c r="I3832">
        <v>10</v>
      </c>
      <c r="J3832" t="s">
        <v>71</v>
      </c>
      <c r="K3832">
        <v>2492.1999999999998</v>
      </c>
      <c r="L3832">
        <v>24922.05</v>
      </c>
      <c r="M3832">
        <v>22429.85</v>
      </c>
      <c r="N3832" t="s">
        <v>83</v>
      </c>
      <c r="O3832">
        <v>2024</v>
      </c>
    </row>
    <row r="3833" spans="1:15" x14ac:dyDescent="0.3">
      <c r="A3833" t="s">
        <v>3918</v>
      </c>
      <c r="B3833" t="s">
        <v>23</v>
      </c>
      <c r="C3833" t="s">
        <v>54</v>
      </c>
      <c r="D3833" t="s">
        <v>70</v>
      </c>
      <c r="E3833" t="s">
        <v>56</v>
      </c>
      <c r="F3833" s="1">
        <v>45752</v>
      </c>
      <c r="G3833">
        <v>6</v>
      </c>
      <c r="H3833">
        <v>2292.7399999999998</v>
      </c>
      <c r="I3833">
        <v>20</v>
      </c>
      <c r="J3833" t="s">
        <v>31</v>
      </c>
      <c r="K3833">
        <v>2751.29</v>
      </c>
      <c r="L3833">
        <v>13756.44</v>
      </c>
      <c r="M3833">
        <v>11005.15</v>
      </c>
      <c r="N3833" t="s">
        <v>27</v>
      </c>
      <c r="O3833">
        <v>2025</v>
      </c>
    </row>
    <row r="3834" spans="1:15" x14ac:dyDescent="0.3">
      <c r="A3834" t="s">
        <v>3919</v>
      </c>
      <c r="B3834" t="s">
        <v>114</v>
      </c>
      <c r="C3834" t="s">
        <v>62</v>
      </c>
      <c r="D3834" t="s">
        <v>99</v>
      </c>
      <c r="E3834" t="s">
        <v>25</v>
      </c>
      <c r="F3834" s="1">
        <v>45727</v>
      </c>
      <c r="G3834">
        <v>5</v>
      </c>
      <c r="H3834">
        <v>1482.87</v>
      </c>
      <c r="I3834">
        <v>0</v>
      </c>
      <c r="J3834" t="s">
        <v>82</v>
      </c>
      <c r="K3834">
        <v>0</v>
      </c>
      <c r="L3834">
        <v>7414.35</v>
      </c>
      <c r="M3834">
        <v>7414.35</v>
      </c>
      <c r="N3834" t="s">
        <v>83</v>
      </c>
      <c r="O3834">
        <v>2025</v>
      </c>
    </row>
    <row r="3835" spans="1:15" x14ac:dyDescent="0.3">
      <c r="A3835" t="s">
        <v>3920</v>
      </c>
      <c r="B3835" t="s">
        <v>74</v>
      </c>
      <c r="C3835" t="s">
        <v>62</v>
      </c>
      <c r="D3835" t="s">
        <v>132</v>
      </c>
      <c r="E3835" t="s">
        <v>19</v>
      </c>
      <c r="F3835" s="1">
        <v>45504</v>
      </c>
      <c r="G3835">
        <v>5</v>
      </c>
      <c r="H3835">
        <v>2405.59</v>
      </c>
      <c r="I3835">
        <v>0</v>
      </c>
      <c r="J3835" t="s">
        <v>31</v>
      </c>
      <c r="K3835">
        <v>0</v>
      </c>
      <c r="L3835">
        <v>12027.95</v>
      </c>
      <c r="M3835">
        <v>12027.95</v>
      </c>
      <c r="N3835" t="s">
        <v>122</v>
      </c>
      <c r="O3835">
        <v>2024</v>
      </c>
    </row>
    <row r="3836" spans="1:15" x14ac:dyDescent="0.3">
      <c r="A3836" t="s">
        <v>3921</v>
      </c>
      <c r="B3836" t="s">
        <v>114</v>
      </c>
      <c r="C3836" t="s">
        <v>54</v>
      </c>
      <c r="D3836" t="s">
        <v>70</v>
      </c>
      <c r="E3836" t="s">
        <v>30</v>
      </c>
      <c r="F3836" s="1">
        <v>45506</v>
      </c>
      <c r="G3836">
        <v>10</v>
      </c>
      <c r="H3836">
        <v>2832.5</v>
      </c>
      <c r="I3836">
        <v>0</v>
      </c>
      <c r="J3836" t="s">
        <v>71</v>
      </c>
      <c r="K3836">
        <v>0</v>
      </c>
      <c r="L3836">
        <v>28325</v>
      </c>
      <c r="M3836">
        <v>28325</v>
      </c>
      <c r="N3836" t="s">
        <v>21</v>
      </c>
      <c r="O3836">
        <v>2024</v>
      </c>
    </row>
    <row r="3837" spans="1:15" x14ac:dyDescent="0.3">
      <c r="A3837" t="s">
        <v>3922</v>
      </c>
      <c r="B3837" t="s">
        <v>33</v>
      </c>
      <c r="C3837" t="s">
        <v>17</v>
      </c>
      <c r="D3837" t="s">
        <v>59</v>
      </c>
      <c r="E3837" t="s">
        <v>81</v>
      </c>
      <c r="F3837" s="1">
        <v>45730</v>
      </c>
      <c r="G3837">
        <v>6</v>
      </c>
      <c r="H3837">
        <v>27240.14</v>
      </c>
      <c r="I3837">
        <v>5</v>
      </c>
      <c r="J3837" t="s">
        <v>45</v>
      </c>
      <c r="K3837">
        <v>8172.04</v>
      </c>
      <c r="L3837">
        <v>163440.84</v>
      </c>
      <c r="M3837">
        <v>155268.79999999999</v>
      </c>
      <c r="N3837" t="s">
        <v>83</v>
      </c>
      <c r="O3837">
        <v>2025</v>
      </c>
    </row>
    <row r="3838" spans="1:15" x14ac:dyDescent="0.3">
      <c r="A3838" t="s">
        <v>3923</v>
      </c>
      <c r="B3838" t="s">
        <v>16</v>
      </c>
      <c r="C3838" t="s">
        <v>34</v>
      </c>
      <c r="D3838" t="s">
        <v>35</v>
      </c>
      <c r="E3838" t="s">
        <v>56</v>
      </c>
      <c r="F3838" s="1">
        <v>45539</v>
      </c>
      <c r="G3838">
        <v>1</v>
      </c>
      <c r="H3838">
        <v>26731.29</v>
      </c>
      <c r="I3838">
        <v>0</v>
      </c>
      <c r="J3838" t="s">
        <v>71</v>
      </c>
      <c r="K3838">
        <v>0</v>
      </c>
      <c r="L3838">
        <v>26731.29</v>
      </c>
      <c r="M3838">
        <v>26731.29</v>
      </c>
      <c r="N3838" t="s">
        <v>86</v>
      </c>
      <c r="O3838">
        <v>2024</v>
      </c>
    </row>
    <row r="3839" spans="1:15" x14ac:dyDescent="0.3">
      <c r="A3839" t="s">
        <v>3924</v>
      </c>
      <c r="B3839" t="s">
        <v>16</v>
      </c>
      <c r="C3839" t="s">
        <v>90</v>
      </c>
      <c r="D3839" t="s">
        <v>152</v>
      </c>
      <c r="E3839" t="s">
        <v>81</v>
      </c>
      <c r="F3839" s="1">
        <v>45402</v>
      </c>
      <c r="G3839">
        <v>10</v>
      </c>
      <c r="H3839">
        <v>10956.91</v>
      </c>
      <c r="I3839">
        <v>15</v>
      </c>
      <c r="J3839" t="s">
        <v>71</v>
      </c>
      <c r="K3839">
        <v>16435.37</v>
      </c>
      <c r="L3839">
        <v>109569.1</v>
      </c>
      <c r="M3839">
        <v>93133.73</v>
      </c>
      <c r="N3839" t="s">
        <v>27</v>
      </c>
      <c r="O3839">
        <v>2024</v>
      </c>
    </row>
    <row r="3840" spans="1:15" x14ac:dyDescent="0.3">
      <c r="A3840" t="s">
        <v>3925</v>
      </c>
      <c r="B3840" t="s">
        <v>43</v>
      </c>
      <c r="C3840" t="s">
        <v>17</v>
      </c>
      <c r="D3840" t="s">
        <v>39</v>
      </c>
      <c r="E3840" t="s">
        <v>81</v>
      </c>
      <c r="F3840" s="1">
        <v>45981</v>
      </c>
      <c r="G3840">
        <v>3</v>
      </c>
      <c r="H3840">
        <v>17882.45</v>
      </c>
      <c r="I3840">
        <v>0</v>
      </c>
      <c r="J3840" t="s">
        <v>71</v>
      </c>
      <c r="K3840">
        <v>0</v>
      </c>
      <c r="L3840">
        <v>53647.35</v>
      </c>
      <c r="M3840">
        <v>53647.35</v>
      </c>
      <c r="N3840" t="s">
        <v>96</v>
      </c>
      <c r="O3840">
        <v>2025</v>
      </c>
    </row>
    <row r="3841" spans="1:15" x14ac:dyDescent="0.3">
      <c r="A3841" t="s">
        <v>3926</v>
      </c>
      <c r="B3841" t="s">
        <v>61</v>
      </c>
      <c r="C3841" t="s">
        <v>34</v>
      </c>
      <c r="D3841" t="s">
        <v>48</v>
      </c>
      <c r="E3841" t="s">
        <v>25</v>
      </c>
      <c r="F3841" s="1">
        <v>45675</v>
      </c>
      <c r="G3841">
        <v>5</v>
      </c>
      <c r="H3841">
        <v>7874.03</v>
      </c>
      <c r="I3841">
        <v>0</v>
      </c>
      <c r="J3841" t="s">
        <v>36</v>
      </c>
      <c r="K3841">
        <v>0</v>
      </c>
      <c r="L3841">
        <v>39370.15</v>
      </c>
      <c r="M3841">
        <v>39370.15</v>
      </c>
      <c r="N3841" t="s">
        <v>116</v>
      </c>
      <c r="O3841">
        <v>2025</v>
      </c>
    </row>
    <row r="3842" spans="1:15" x14ac:dyDescent="0.3">
      <c r="A3842" t="s">
        <v>3927</v>
      </c>
      <c r="B3842" t="s">
        <v>43</v>
      </c>
      <c r="C3842" t="s">
        <v>17</v>
      </c>
      <c r="D3842" t="s">
        <v>39</v>
      </c>
      <c r="E3842" t="s">
        <v>81</v>
      </c>
      <c r="F3842" s="1">
        <v>45811</v>
      </c>
      <c r="G3842">
        <v>1</v>
      </c>
      <c r="H3842">
        <v>19196.14</v>
      </c>
      <c r="I3842">
        <v>20</v>
      </c>
      <c r="J3842" t="s">
        <v>26</v>
      </c>
      <c r="K3842">
        <v>3839.23</v>
      </c>
      <c r="L3842">
        <v>19196.14</v>
      </c>
      <c r="M3842">
        <v>15356.91</v>
      </c>
      <c r="N3842" t="s">
        <v>72</v>
      </c>
      <c r="O3842">
        <v>2025</v>
      </c>
    </row>
    <row r="3843" spans="1:15" x14ac:dyDescent="0.3">
      <c r="A3843" t="s">
        <v>3928</v>
      </c>
      <c r="B3843" t="s">
        <v>93</v>
      </c>
      <c r="C3843" t="s">
        <v>54</v>
      </c>
      <c r="D3843" t="s">
        <v>55</v>
      </c>
      <c r="E3843" t="s">
        <v>44</v>
      </c>
      <c r="F3843" s="1">
        <v>45703</v>
      </c>
      <c r="G3843">
        <v>8</v>
      </c>
      <c r="H3843">
        <v>1151.07</v>
      </c>
      <c r="I3843">
        <v>20</v>
      </c>
      <c r="J3843" t="s">
        <v>71</v>
      </c>
      <c r="K3843">
        <v>1841.71</v>
      </c>
      <c r="L3843">
        <v>9208.56</v>
      </c>
      <c r="M3843">
        <v>7366.85</v>
      </c>
      <c r="N3843" t="s">
        <v>41</v>
      </c>
      <c r="O3843">
        <v>2025</v>
      </c>
    </row>
    <row r="3844" spans="1:15" x14ac:dyDescent="0.3">
      <c r="A3844" t="s">
        <v>3929</v>
      </c>
      <c r="B3844" t="s">
        <v>43</v>
      </c>
      <c r="C3844" t="s">
        <v>90</v>
      </c>
      <c r="D3844" t="s">
        <v>107</v>
      </c>
      <c r="E3844" t="s">
        <v>56</v>
      </c>
      <c r="F3844" s="1">
        <v>45693</v>
      </c>
      <c r="G3844">
        <v>4</v>
      </c>
      <c r="H3844">
        <v>10839.57</v>
      </c>
      <c r="I3844">
        <v>10</v>
      </c>
      <c r="J3844" t="s">
        <v>82</v>
      </c>
      <c r="K3844">
        <v>4335.83</v>
      </c>
      <c r="L3844">
        <v>43358.28</v>
      </c>
      <c r="M3844">
        <v>39022.449999999997</v>
      </c>
      <c r="N3844" t="s">
        <v>41</v>
      </c>
      <c r="O3844">
        <v>2025</v>
      </c>
    </row>
    <row r="3845" spans="1:15" x14ac:dyDescent="0.3">
      <c r="A3845" t="s">
        <v>3930</v>
      </c>
      <c r="B3845" t="s">
        <v>29</v>
      </c>
      <c r="C3845" t="s">
        <v>34</v>
      </c>
      <c r="D3845" t="s">
        <v>66</v>
      </c>
      <c r="E3845" t="s">
        <v>44</v>
      </c>
      <c r="F3845" s="1">
        <v>45320</v>
      </c>
      <c r="G3845">
        <v>1</v>
      </c>
      <c r="H3845">
        <v>41802.629999999997</v>
      </c>
      <c r="I3845">
        <v>10</v>
      </c>
      <c r="J3845" t="s">
        <v>26</v>
      </c>
      <c r="K3845">
        <v>4180.26</v>
      </c>
      <c r="L3845">
        <v>41802.629999999997</v>
      </c>
      <c r="M3845">
        <v>37622.370000000003</v>
      </c>
      <c r="N3845" t="s">
        <v>116</v>
      </c>
      <c r="O3845">
        <v>2024</v>
      </c>
    </row>
    <row r="3846" spans="1:15" x14ac:dyDescent="0.3">
      <c r="A3846" t="s">
        <v>3931</v>
      </c>
      <c r="B3846" t="s">
        <v>53</v>
      </c>
      <c r="C3846" t="s">
        <v>34</v>
      </c>
      <c r="D3846" t="s">
        <v>48</v>
      </c>
      <c r="E3846" t="s">
        <v>81</v>
      </c>
      <c r="F3846" s="1">
        <v>45925</v>
      </c>
      <c r="G3846">
        <v>4</v>
      </c>
      <c r="H3846">
        <v>9171.83</v>
      </c>
      <c r="I3846">
        <v>15</v>
      </c>
      <c r="J3846" t="s">
        <v>40</v>
      </c>
      <c r="K3846">
        <v>5503.1</v>
      </c>
      <c r="L3846">
        <v>36687.32</v>
      </c>
      <c r="M3846">
        <v>31184.22</v>
      </c>
      <c r="N3846" t="s">
        <v>86</v>
      </c>
      <c r="O3846">
        <v>2025</v>
      </c>
    </row>
    <row r="3847" spans="1:15" x14ac:dyDescent="0.3">
      <c r="A3847" t="s">
        <v>3932</v>
      </c>
      <c r="B3847" t="s">
        <v>89</v>
      </c>
      <c r="C3847" t="s">
        <v>62</v>
      </c>
      <c r="D3847" t="s">
        <v>95</v>
      </c>
      <c r="E3847" t="s">
        <v>81</v>
      </c>
      <c r="F3847" s="1">
        <v>45613</v>
      </c>
      <c r="G3847">
        <v>5</v>
      </c>
      <c r="H3847">
        <v>882.93</v>
      </c>
      <c r="I3847">
        <v>15</v>
      </c>
      <c r="J3847" t="s">
        <v>31</v>
      </c>
      <c r="K3847">
        <v>662.2</v>
      </c>
      <c r="L3847">
        <v>4414.6499999999996</v>
      </c>
      <c r="M3847">
        <v>3752.45</v>
      </c>
      <c r="N3847" t="s">
        <v>96</v>
      </c>
      <c r="O3847">
        <v>2024</v>
      </c>
    </row>
    <row r="3848" spans="1:15" x14ac:dyDescent="0.3">
      <c r="A3848" t="s">
        <v>3933</v>
      </c>
      <c r="B3848" t="s">
        <v>93</v>
      </c>
      <c r="C3848" t="s">
        <v>34</v>
      </c>
      <c r="D3848" t="s">
        <v>66</v>
      </c>
      <c r="E3848" t="s">
        <v>56</v>
      </c>
      <c r="F3848" s="1">
        <v>45659</v>
      </c>
      <c r="G3848">
        <v>2</v>
      </c>
      <c r="H3848">
        <v>41218.69</v>
      </c>
      <c r="I3848">
        <v>15</v>
      </c>
      <c r="J3848" t="s">
        <v>20</v>
      </c>
      <c r="K3848">
        <v>12365.61</v>
      </c>
      <c r="L3848">
        <v>82437.38</v>
      </c>
      <c r="M3848">
        <v>70071.77</v>
      </c>
      <c r="N3848" t="s">
        <v>116</v>
      </c>
      <c r="O3848">
        <v>2025</v>
      </c>
    </row>
    <row r="3849" spans="1:15" x14ac:dyDescent="0.3">
      <c r="A3849" t="s">
        <v>3934</v>
      </c>
      <c r="B3849" t="s">
        <v>33</v>
      </c>
      <c r="C3849" t="s">
        <v>34</v>
      </c>
      <c r="D3849" t="s">
        <v>85</v>
      </c>
      <c r="E3849" t="s">
        <v>50</v>
      </c>
      <c r="F3849" s="1">
        <v>45627</v>
      </c>
      <c r="G3849">
        <v>7</v>
      </c>
      <c r="H3849">
        <v>12063.77</v>
      </c>
      <c r="I3849">
        <v>5</v>
      </c>
      <c r="J3849" t="s">
        <v>71</v>
      </c>
      <c r="K3849">
        <v>4222.32</v>
      </c>
      <c r="L3849">
        <v>84446.39</v>
      </c>
      <c r="M3849">
        <v>80224.070000000007</v>
      </c>
      <c r="N3849" t="s">
        <v>51</v>
      </c>
      <c r="O3849">
        <v>2024</v>
      </c>
    </row>
    <row r="3850" spans="1:15" x14ac:dyDescent="0.3">
      <c r="A3850" t="s">
        <v>3935</v>
      </c>
      <c r="B3850" t="s">
        <v>109</v>
      </c>
      <c r="C3850" t="s">
        <v>34</v>
      </c>
      <c r="D3850" t="s">
        <v>85</v>
      </c>
      <c r="E3850" t="s">
        <v>50</v>
      </c>
      <c r="F3850" s="1">
        <v>45585</v>
      </c>
      <c r="G3850">
        <v>1</v>
      </c>
      <c r="H3850">
        <v>13108.53</v>
      </c>
      <c r="I3850">
        <v>15</v>
      </c>
      <c r="J3850" t="s">
        <v>20</v>
      </c>
      <c r="K3850">
        <v>1966.28</v>
      </c>
      <c r="L3850">
        <v>13108.53</v>
      </c>
      <c r="M3850">
        <v>11142.25</v>
      </c>
      <c r="N3850" t="s">
        <v>57</v>
      </c>
      <c r="O3850">
        <v>2024</v>
      </c>
    </row>
    <row r="3851" spans="1:15" x14ac:dyDescent="0.3">
      <c r="A3851" t="s">
        <v>3936</v>
      </c>
      <c r="B3851" t="s">
        <v>53</v>
      </c>
      <c r="C3851" t="s">
        <v>90</v>
      </c>
      <c r="D3851" t="s">
        <v>105</v>
      </c>
      <c r="E3851" t="s">
        <v>19</v>
      </c>
      <c r="F3851" s="1">
        <v>45967</v>
      </c>
      <c r="G3851">
        <v>6</v>
      </c>
      <c r="H3851">
        <v>3964.21</v>
      </c>
      <c r="I3851">
        <v>0</v>
      </c>
      <c r="J3851" t="s">
        <v>82</v>
      </c>
      <c r="K3851">
        <v>0</v>
      </c>
      <c r="L3851">
        <v>23785.26</v>
      </c>
      <c r="M3851">
        <v>23785.26</v>
      </c>
      <c r="N3851" t="s">
        <v>96</v>
      </c>
      <c r="O3851">
        <v>2025</v>
      </c>
    </row>
    <row r="3852" spans="1:15" x14ac:dyDescent="0.3">
      <c r="A3852" t="s">
        <v>3937</v>
      </c>
      <c r="B3852" t="s">
        <v>114</v>
      </c>
      <c r="C3852" t="s">
        <v>62</v>
      </c>
      <c r="D3852" t="s">
        <v>95</v>
      </c>
      <c r="E3852" t="s">
        <v>81</v>
      </c>
      <c r="F3852" s="1">
        <v>45811</v>
      </c>
      <c r="G3852">
        <v>1</v>
      </c>
      <c r="H3852">
        <v>787.36</v>
      </c>
      <c r="I3852">
        <v>15</v>
      </c>
      <c r="J3852" t="s">
        <v>36</v>
      </c>
      <c r="K3852">
        <v>118.1</v>
      </c>
      <c r="L3852">
        <v>787.36</v>
      </c>
      <c r="M3852">
        <v>669.26</v>
      </c>
      <c r="N3852" t="s">
        <v>72</v>
      </c>
      <c r="O3852">
        <v>2025</v>
      </c>
    </row>
    <row r="3853" spans="1:15" x14ac:dyDescent="0.3">
      <c r="A3853" t="s">
        <v>3938</v>
      </c>
      <c r="B3853" t="s">
        <v>109</v>
      </c>
      <c r="C3853" t="s">
        <v>90</v>
      </c>
      <c r="D3853" t="s">
        <v>152</v>
      </c>
      <c r="E3853" t="s">
        <v>30</v>
      </c>
      <c r="F3853" s="1">
        <v>45476</v>
      </c>
      <c r="G3853">
        <v>4</v>
      </c>
      <c r="H3853">
        <v>10447.790000000001</v>
      </c>
      <c r="I3853">
        <v>15</v>
      </c>
      <c r="J3853" t="s">
        <v>82</v>
      </c>
      <c r="K3853">
        <v>6268.67</v>
      </c>
      <c r="L3853">
        <v>41791.160000000003</v>
      </c>
      <c r="M3853">
        <v>35522.49</v>
      </c>
      <c r="N3853" t="s">
        <v>122</v>
      </c>
      <c r="O3853">
        <v>2024</v>
      </c>
    </row>
    <row r="3854" spans="1:15" x14ac:dyDescent="0.3">
      <c r="A3854" t="s">
        <v>3939</v>
      </c>
      <c r="B3854" t="s">
        <v>43</v>
      </c>
      <c r="C3854" t="s">
        <v>54</v>
      </c>
      <c r="D3854" t="s">
        <v>77</v>
      </c>
      <c r="E3854" t="s">
        <v>44</v>
      </c>
      <c r="F3854" s="1">
        <v>45789</v>
      </c>
      <c r="G3854">
        <v>10</v>
      </c>
      <c r="H3854">
        <v>4542.0600000000004</v>
      </c>
      <c r="I3854">
        <v>20</v>
      </c>
      <c r="J3854" t="s">
        <v>40</v>
      </c>
      <c r="K3854">
        <v>9084.1200000000008</v>
      </c>
      <c r="L3854">
        <v>45420.6</v>
      </c>
      <c r="M3854">
        <v>36336.480000000003</v>
      </c>
      <c r="N3854" t="s">
        <v>101</v>
      </c>
      <c r="O3854">
        <v>2025</v>
      </c>
    </row>
    <row r="3855" spans="1:15" x14ac:dyDescent="0.3">
      <c r="A3855" t="s">
        <v>3940</v>
      </c>
      <c r="B3855" t="s">
        <v>23</v>
      </c>
      <c r="C3855" t="s">
        <v>90</v>
      </c>
      <c r="D3855" t="s">
        <v>107</v>
      </c>
      <c r="E3855" t="s">
        <v>25</v>
      </c>
      <c r="F3855" s="1">
        <v>45435</v>
      </c>
      <c r="G3855">
        <v>8</v>
      </c>
      <c r="H3855">
        <v>11972.72</v>
      </c>
      <c r="I3855">
        <v>10</v>
      </c>
      <c r="J3855" t="s">
        <v>45</v>
      </c>
      <c r="K3855">
        <v>9578.18</v>
      </c>
      <c r="L3855">
        <v>95781.759999999995</v>
      </c>
      <c r="M3855">
        <v>86203.58</v>
      </c>
      <c r="N3855" t="s">
        <v>101</v>
      </c>
      <c r="O3855">
        <v>2024</v>
      </c>
    </row>
    <row r="3856" spans="1:15" x14ac:dyDescent="0.3">
      <c r="A3856" t="s">
        <v>3941</v>
      </c>
      <c r="B3856" t="s">
        <v>43</v>
      </c>
      <c r="C3856" t="s">
        <v>54</v>
      </c>
      <c r="D3856" t="s">
        <v>137</v>
      </c>
      <c r="E3856" t="s">
        <v>19</v>
      </c>
      <c r="F3856" s="1">
        <v>45307</v>
      </c>
      <c r="G3856">
        <v>3</v>
      </c>
      <c r="H3856">
        <v>846.02</v>
      </c>
      <c r="I3856">
        <v>10</v>
      </c>
      <c r="J3856" t="s">
        <v>36</v>
      </c>
      <c r="K3856">
        <v>253.81</v>
      </c>
      <c r="L3856">
        <v>2538.06</v>
      </c>
      <c r="M3856">
        <v>2284.25</v>
      </c>
      <c r="N3856" t="s">
        <v>116</v>
      </c>
      <c r="O3856">
        <v>2024</v>
      </c>
    </row>
    <row r="3857" spans="1:15" x14ac:dyDescent="0.3">
      <c r="A3857" t="s">
        <v>3942</v>
      </c>
      <c r="B3857" t="s">
        <v>43</v>
      </c>
      <c r="C3857" t="s">
        <v>54</v>
      </c>
      <c r="D3857" t="s">
        <v>55</v>
      </c>
      <c r="E3857" t="s">
        <v>81</v>
      </c>
      <c r="F3857" s="1">
        <v>45487</v>
      </c>
      <c r="G3857">
        <v>2</v>
      </c>
      <c r="H3857">
        <v>1153.29</v>
      </c>
      <c r="I3857">
        <v>15</v>
      </c>
      <c r="J3857" t="s">
        <v>31</v>
      </c>
      <c r="K3857">
        <v>345.99</v>
      </c>
      <c r="L3857">
        <v>2306.58</v>
      </c>
      <c r="M3857">
        <v>1960.59</v>
      </c>
      <c r="N3857" t="s">
        <v>122</v>
      </c>
      <c r="O3857">
        <v>2024</v>
      </c>
    </row>
    <row r="3858" spans="1:15" x14ac:dyDescent="0.3">
      <c r="A3858" t="s">
        <v>3943</v>
      </c>
      <c r="B3858" t="s">
        <v>47</v>
      </c>
      <c r="C3858" t="s">
        <v>34</v>
      </c>
      <c r="D3858" t="s">
        <v>35</v>
      </c>
      <c r="E3858" t="s">
        <v>19</v>
      </c>
      <c r="F3858" s="1">
        <v>45334</v>
      </c>
      <c r="G3858">
        <v>4</v>
      </c>
      <c r="H3858">
        <v>28393.89</v>
      </c>
      <c r="I3858">
        <v>0</v>
      </c>
      <c r="J3858" t="s">
        <v>45</v>
      </c>
      <c r="K3858">
        <v>0</v>
      </c>
      <c r="L3858">
        <v>113575.56</v>
      </c>
      <c r="M3858">
        <v>113575.56</v>
      </c>
      <c r="N3858" t="s">
        <v>41</v>
      </c>
      <c r="O3858">
        <v>2024</v>
      </c>
    </row>
    <row r="3859" spans="1:15" x14ac:dyDescent="0.3">
      <c r="A3859" t="s">
        <v>3944</v>
      </c>
      <c r="B3859" t="s">
        <v>16</v>
      </c>
      <c r="C3859" t="s">
        <v>54</v>
      </c>
      <c r="D3859" t="s">
        <v>70</v>
      </c>
      <c r="E3859" t="s">
        <v>50</v>
      </c>
      <c r="F3859" s="1">
        <v>45987</v>
      </c>
      <c r="G3859">
        <v>7</v>
      </c>
      <c r="H3859">
        <v>2909.02</v>
      </c>
      <c r="I3859">
        <v>0</v>
      </c>
      <c r="J3859" t="s">
        <v>31</v>
      </c>
      <c r="K3859">
        <v>0</v>
      </c>
      <c r="L3859">
        <v>20363.14</v>
      </c>
      <c r="M3859">
        <v>20363.14</v>
      </c>
      <c r="N3859" t="s">
        <v>96</v>
      </c>
      <c r="O3859">
        <v>2025</v>
      </c>
    </row>
    <row r="3860" spans="1:15" x14ac:dyDescent="0.3">
      <c r="A3860" t="s">
        <v>3945</v>
      </c>
      <c r="B3860" t="s">
        <v>93</v>
      </c>
      <c r="C3860" t="s">
        <v>62</v>
      </c>
      <c r="D3860" t="s">
        <v>95</v>
      </c>
      <c r="E3860" t="s">
        <v>44</v>
      </c>
      <c r="F3860" s="1">
        <v>45977</v>
      </c>
      <c r="G3860">
        <v>10</v>
      </c>
      <c r="H3860">
        <v>881.93</v>
      </c>
      <c r="I3860">
        <v>15</v>
      </c>
      <c r="J3860" t="s">
        <v>20</v>
      </c>
      <c r="K3860">
        <v>1322.89</v>
      </c>
      <c r="L3860">
        <v>8819.2999999999993</v>
      </c>
      <c r="M3860">
        <v>7496.41</v>
      </c>
      <c r="N3860" t="s">
        <v>96</v>
      </c>
      <c r="O3860">
        <v>2025</v>
      </c>
    </row>
    <row r="3861" spans="1:15" x14ac:dyDescent="0.3">
      <c r="A3861" t="s">
        <v>3946</v>
      </c>
      <c r="B3861" t="s">
        <v>43</v>
      </c>
      <c r="C3861" t="s">
        <v>17</v>
      </c>
      <c r="D3861" t="s">
        <v>18</v>
      </c>
      <c r="E3861" t="s">
        <v>56</v>
      </c>
      <c r="F3861" s="1">
        <v>45805</v>
      </c>
      <c r="G3861">
        <v>10</v>
      </c>
      <c r="H3861">
        <v>72041.33</v>
      </c>
      <c r="I3861">
        <v>0</v>
      </c>
      <c r="J3861" t="s">
        <v>82</v>
      </c>
      <c r="K3861">
        <v>0</v>
      </c>
      <c r="L3861">
        <v>720413.3</v>
      </c>
      <c r="M3861">
        <v>720413.3</v>
      </c>
      <c r="N3861" t="s">
        <v>101</v>
      </c>
      <c r="O3861">
        <v>2025</v>
      </c>
    </row>
    <row r="3862" spans="1:15" x14ac:dyDescent="0.3">
      <c r="A3862" t="s">
        <v>3947</v>
      </c>
      <c r="B3862" t="s">
        <v>74</v>
      </c>
      <c r="C3862" t="s">
        <v>17</v>
      </c>
      <c r="D3862" t="s">
        <v>24</v>
      </c>
      <c r="E3862" t="s">
        <v>44</v>
      </c>
      <c r="F3862" s="1">
        <v>45614</v>
      </c>
      <c r="G3862">
        <v>7</v>
      </c>
      <c r="H3862">
        <v>3759.04</v>
      </c>
      <c r="I3862">
        <v>20</v>
      </c>
      <c r="J3862" t="s">
        <v>36</v>
      </c>
      <c r="K3862">
        <v>5262.66</v>
      </c>
      <c r="L3862">
        <v>26313.279999999999</v>
      </c>
      <c r="M3862">
        <v>21050.62</v>
      </c>
      <c r="N3862" t="s">
        <v>96</v>
      </c>
      <c r="O3862">
        <v>2024</v>
      </c>
    </row>
    <row r="3863" spans="1:15" x14ac:dyDescent="0.3">
      <c r="A3863" t="s">
        <v>3948</v>
      </c>
      <c r="B3863" t="s">
        <v>16</v>
      </c>
      <c r="C3863" t="s">
        <v>34</v>
      </c>
      <c r="D3863" t="s">
        <v>48</v>
      </c>
      <c r="E3863" t="s">
        <v>56</v>
      </c>
      <c r="F3863" s="1">
        <v>45865</v>
      </c>
      <c r="G3863">
        <v>9</v>
      </c>
      <c r="H3863">
        <v>8538.16</v>
      </c>
      <c r="I3863">
        <v>5</v>
      </c>
      <c r="J3863" t="s">
        <v>31</v>
      </c>
      <c r="K3863">
        <v>3842.17</v>
      </c>
      <c r="L3863">
        <v>76843.44</v>
      </c>
      <c r="M3863">
        <v>73001.27</v>
      </c>
      <c r="N3863" t="s">
        <v>122</v>
      </c>
      <c r="O3863">
        <v>2025</v>
      </c>
    </row>
    <row r="3864" spans="1:15" x14ac:dyDescent="0.3">
      <c r="A3864" t="s">
        <v>3949</v>
      </c>
      <c r="B3864" t="s">
        <v>109</v>
      </c>
      <c r="C3864" t="s">
        <v>62</v>
      </c>
      <c r="D3864" t="s">
        <v>95</v>
      </c>
      <c r="E3864" t="s">
        <v>50</v>
      </c>
      <c r="F3864" s="1">
        <v>45372</v>
      </c>
      <c r="G3864">
        <v>5</v>
      </c>
      <c r="H3864">
        <v>738.65</v>
      </c>
      <c r="I3864">
        <v>0</v>
      </c>
      <c r="J3864" t="s">
        <v>40</v>
      </c>
      <c r="K3864">
        <v>0</v>
      </c>
      <c r="L3864">
        <v>3693.25</v>
      </c>
      <c r="M3864">
        <v>3693.25</v>
      </c>
      <c r="N3864" t="s">
        <v>83</v>
      </c>
      <c r="O3864">
        <v>2024</v>
      </c>
    </row>
    <row r="3865" spans="1:15" x14ac:dyDescent="0.3">
      <c r="A3865" t="s">
        <v>3950</v>
      </c>
      <c r="B3865" t="s">
        <v>47</v>
      </c>
      <c r="C3865" t="s">
        <v>54</v>
      </c>
      <c r="D3865" t="s">
        <v>70</v>
      </c>
      <c r="E3865" t="s">
        <v>44</v>
      </c>
      <c r="F3865" s="1">
        <v>45611</v>
      </c>
      <c r="G3865">
        <v>1</v>
      </c>
      <c r="H3865">
        <v>3127.28</v>
      </c>
      <c r="I3865">
        <v>10</v>
      </c>
      <c r="J3865" t="s">
        <v>82</v>
      </c>
      <c r="K3865">
        <v>312.73</v>
      </c>
      <c r="L3865">
        <v>3127.28</v>
      </c>
      <c r="M3865">
        <v>2814.55</v>
      </c>
      <c r="N3865" t="s">
        <v>96</v>
      </c>
      <c r="O3865">
        <v>2024</v>
      </c>
    </row>
    <row r="3866" spans="1:15" x14ac:dyDescent="0.3">
      <c r="A3866" t="s">
        <v>3951</v>
      </c>
      <c r="B3866" t="s">
        <v>53</v>
      </c>
      <c r="C3866" t="s">
        <v>17</v>
      </c>
      <c r="D3866" t="s">
        <v>59</v>
      </c>
      <c r="E3866" t="s">
        <v>19</v>
      </c>
      <c r="F3866" s="1">
        <v>45747</v>
      </c>
      <c r="G3866">
        <v>10</v>
      </c>
      <c r="H3866">
        <v>26678.23</v>
      </c>
      <c r="I3866">
        <v>10</v>
      </c>
      <c r="J3866" t="s">
        <v>82</v>
      </c>
      <c r="K3866">
        <v>26678.23</v>
      </c>
      <c r="L3866">
        <v>266782.3</v>
      </c>
      <c r="M3866">
        <v>240104.07</v>
      </c>
      <c r="N3866" t="s">
        <v>83</v>
      </c>
      <c r="O3866">
        <v>2025</v>
      </c>
    </row>
    <row r="3867" spans="1:15" x14ac:dyDescent="0.3">
      <c r="A3867" t="s">
        <v>3952</v>
      </c>
      <c r="B3867" t="s">
        <v>109</v>
      </c>
      <c r="C3867" t="s">
        <v>62</v>
      </c>
      <c r="D3867" t="s">
        <v>99</v>
      </c>
      <c r="E3867" t="s">
        <v>81</v>
      </c>
      <c r="F3867" s="1">
        <v>45716</v>
      </c>
      <c r="G3867">
        <v>1</v>
      </c>
      <c r="H3867">
        <v>1564.7</v>
      </c>
      <c r="I3867">
        <v>10</v>
      </c>
      <c r="J3867" t="s">
        <v>45</v>
      </c>
      <c r="K3867">
        <v>156.47</v>
      </c>
      <c r="L3867">
        <v>1564.7</v>
      </c>
      <c r="M3867">
        <v>1408.23</v>
      </c>
      <c r="N3867" t="s">
        <v>41</v>
      </c>
      <c r="O3867">
        <v>2025</v>
      </c>
    </row>
    <row r="3868" spans="1:15" x14ac:dyDescent="0.3">
      <c r="A3868" t="s">
        <v>3953</v>
      </c>
      <c r="B3868" t="s">
        <v>89</v>
      </c>
      <c r="C3868" t="s">
        <v>17</v>
      </c>
      <c r="D3868" t="s">
        <v>157</v>
      </c>
      <c r="E3868" t="s">
        <v>25</v>
      </c>
      <c r="F3868" s="1">
        <v>45968</v>
      </c>
      <c r="G3868">
        <v>9</v>
      </c>
      <c r="H3868">
        <v>7813.13</v>
      </c>
      <c r="I3868">
        <v>5</v>
      </c>
      <c r="J3868" t="s">
        <v>40</v>
      </c>
      <c r="K3868">
        <v>3515.91</v>
      </c>
      <c r="L3868">
        <v>70318.17</v>
      </c>
      <c r="M3868">
        <v>66802.259999999995</v>
      </c>
      <c r="N3868" t="s">
        <v>96</v>
      </c>
      <c r="O3868">
        <v>2025</v>
      </c>
    </row>
    <row r="3869" spans="1:15" x14ac:dyDescent="0.3">
      <c r="A3869" t="s">
        <v>3954</v>
      </c>
      <c r="B3869" t="s">
        <v>29</v>
      </c>
      <c r="C3869" t="s">
        <v>17</v>
      </c>
      <c r="D3869" t="s">
        <v>18</v>
      </c>
      <c r="E3869" t="s">
        <v>25</v>
      </c>
      <c r="F3869" s="1">
        <v>45654</v>
      </c>
      <c r="G3869">
        <v>7</v>
      </c>
      <c r="H3869">
        <v>69207.820000000007</v>
      </c>
      <c r="I3869">
        <v>15</v>
      </c>
      <c r="J3869" t="s">
        <v>40</v>
      </c>
      <c r="K3869">
        <v>72668.210000000006</v>
      </c>
      <c r="L3869">
        <v>484454.74</v>
      </c>
      <c r="M3869">
        <v>411786.53</v>
      </c>
      <c r="N3869" t="s">
        <v>51</v>
      </c>
      <c r="O3869">
        <v>2024</v>
      </c>
    </row>
    <row r="3870" spans="1:15" x14ac:dyDescent="0.3">
      <c r="A3870" t="s">
        <v>3955</v>
      </c>
      <c r="B3870" t="s">
        <v>89</v>
      </c>
      <c r="C3870" t="s">
        <v>34</v>
      </c>
      <c r="D3870" t="s">
        <v>85</v>
      </c>
      <c r="E3870" t="s">
        <v>19</v>
      </c>
      <c r="F3870" s="1">
        <v>45906</v>
      </c>
      <c r="G3870">
        <v>5</v>
      </c>
      <c r="H3870">
        <v>13171.68</v>
      </c>
      <c r="I3870">
        <v>15</v>
      </c>
      <c r="J3870" t="s">
        <v>71</v>
      </c>
      <c r="K3870">
        <v>9878.76</v>
      </c>
      <c r="L3870">
        <v>65858.399999999994</v>
      </c>
      <c r="M3870">
        <v>55979.64</v>
      </c>
      <c r="N3870" t="s">
        <v>86</v>
      </c>
      <c r="O3870">
        <v>2025</v>
      </c>
    </row>
    <row r="3871" spans="1:15" x14ac:dyDescent="0.3">
      <c r="A3871" t="s">
        <v>3956</v>
      </c>
      <c r="B3871" t="s">
        <v>29</v>
      </c>
      <c r="C3871" t="s">
        <v>62</v>
      </c>
      <c r="D3871" t="s">
        <v>95</v>
      </c>
      <c r="E3871" t="s">
        <v>50</v>
      </c>
      <c r="F3871" s="1">
        <v>45563</v>
      </c>
      <c r="G3871">
        <v>5</v>
      </c>
      <c r="H3871">
        <v>843.65</v>
      </c>
      <c r="I3871">
        <v>20</v>
      </c>
      <c r="J3871" t="s">
        <v>71</v>
      </c>
      <c r="K3871">
        <v>843.65</v>
      </c>
      <c r="L3871">
        <v>4218.25</v>
      </c>
      <c r="M3871">
        <v>3374.6</v>
      </c>
      <c r="N3871" t="s">
        <v>86</v>
      </c>
      <c r="O3871">
        <v>2024</v>
      </c>
    </row>
    <row r="3872" spans="1:15" x14ac:dyDescent="0.3">
      <c r="A3872" t="s">
        <v>3957</v>
      </c>
      <c r="B3872" t="s">
        <v>89</v>
      </c>
      <c r="C3872" t="s">
        <v>54</v>
      </c>
      <c r="D3872" t="s">
        <v>77</v>
      </c>
      <c r="E3872" t="s">
        <v>25</v>
      </c>
      <c r="F3872" s="1">
        <v>45544</v>
      </c>
      <c r="G3872">
        <v>10</v>
      </c>
      <c r="H3872">
        <v>4633.18</v>
      </c>
      <c r="I3872">
        <v>5</v>
      </c>
      <c r="J3872" t="s">
        <v>20</v>
      </c>
      <c r="K3872">
        <v>2316.59</v>
      </c>
      <c r="L3872">
        <v>46331.8</v>
      </c>
      <c r="M3872">
        <v>44015.21</v>
      </c>
      <c r="N3872" t="s">
        <v>86</v>
      </c>
      <c r="O3872">
        <v>2024</v>
      </c>
    </row>
    <row r="3873" spans="1:15" x14ac:dyDescent="0.3">
      <c r="A3873" t="s">
        <v>3958</v>
      </c>
      <c r="B3873" t="s">
        <v>43</v>
      </c>
      <c r="C3873" t="s">
        <v>90</v>
      </c>
      <c r="D3873" t="s">
        <v>91</v>
      </c>
      <c r="E3873" t="s">
        <v>25</v>
      </c>
      <c r="F3873" s="1">
        <v>45937</v>
      </c>
      <c r="G3873">
        <v>7</v>
      </c>
      <c r="H3873">
        <v>1882.43</v>
      </c>
      <c r="I3873">
        <v>0</v>
      </c>
      <c r="J3873" t="s">
        <v>36</v>
      </c>
      <c r="K3873">
        <v>0</v>
      </c>
      <c r="L3873">
        <v>13177.01</v>
      </c>
      <c r="M3873">
        <v>13177.01</v>
      </c>
      <c r="N3873" t="s">
        <v>57</v>
      </c>
      <c r="O3873">
        <v>2025</v>
      </c>
    </row>
    <row r="3874" spans="1:15" x14ac:dyDescent="0.3">
      <c r="A3874" t="s">
        <v>3959</v>
      </c>
      <c r="B3874" t="s">
        <v>109</v>
      </c>
      <c r="C3874" t="s">
        <v>17</v>
      </c>
      <c r="D3874" t="s">
        <v>157</v>
      </c>
      <c r="E3874" t="s">
        <v>50</v>
      </c>
      <c r="F3874" s="1">
        <v>45728</v>
      </c>
      <c r="G3874">
        <v>8</v>
      </c>
      <c r="H3874">
        <v>6913.54</v>
      </c>
      <c r="I3874">
        <v>0</v>
      </c>
      <c r="J3874" t="s">
        <v>36</v>
      </c>
      <c r="K3874">
        <v>0</v>
      </c>
      <c r="L3874">
        <v>55308.32</v>
      </c>
      <c r="M3874">
        <v>55308.32</v>
      </c>
      <c r="N3874" t="s">
        <v>83</v>
      </c>
      <c r="O3874">
        <v>2025</v>
      </c>
    </row>
    <row r="3875" spans="1:15" x14ac:dyDescent="0.3">
      <c r="A3875" t="s">
        <v>3960</v>
      </c>
      <c r="B3875" t="s">
        <v>33</v>
      </c>
      <c r="C3875" t="s">
        <v>54</v>
      </c>
      <c r="D3875" t="s">
        <v>70</v>
      </c>
      <c r="E3875" t="s">
        <v>56</v>
      </c>
      <c r="F3875" s="1">
        <v>45539</v>
      </c>
      <c r="G3875">
        <v>2</v>
      </c>
      <c r="H3875">
        <v>2678.4</v>
      </c>
      <c r="I3875">
        <v>0</v>
      </c>
      <c r="J3875" t="s">
        <v>31</v>
      </c>
      <c r="K3875">
        <v>0</v>
      </c>
      <c r="L3875">
        <v>5356.8</v>
      </c>
      <c r="M3875">
        <v>5356.8</v>
      </c>
      <c r="N3875" t="s">
        <v>86</v>
      </c>
      <c r="O3875">
        <v>2024</v>
      </c>
    </row>
    <row r="3876" spans="1:15" x14ac:dyDescent="0.3">
      <c r="A3876" t="s">
        <v>3961</v>
      </c>
      <c r="B3876" t="s">
        <v>65</v>
      </c>
      <c r="C3876" t="s">
        <v>17</v>
      </c>
      <c r="D3876" t="s">
        <v>18</v>
      </c>
      <c r="E3876" t="s">
        <v>81</v>
      </c>
      <c r="F3876" s="1">
        <v>45951</v>
      </c>
      <c r="G3876">
        <v>6</v>
      </c>
      <c r="H3876">
        <v>69628.89</v>
      </c>
      <c r="I3876">
        <v>0</v>
      </c>
      <c r="J3876" t="s">
        <v>31</v>
      </c>
      <c r="K3876">
        <v>0</v>
      </c>
      <c r="L3876">
        <v>417773.34</v>
      </c>
      <c r="M3876">
        <v>417773.34</v>
      </c>
      <c r="N3876" t="s">
        <v>57</v>
      </c>
      <c r="O3876">
        <v>2025</v>
      </c>
    </row>
    <row r="3877" spans="1:15" x14ac:dyDescent="0.3">
      <c r="A3877" t="s">
        <v>3962</v>
      </c>
      <c r="B3877" t="s">
        <v>29</v>
      </c>
      <c r="C3877" t="s">
        <v>34</v>
      </c>
      <c r="D3877" t="s">
        <v>48</v>
      </c>
      <c r="E3877" t="s">
        <v>56</v>
      </c>
      <c r="F3877" s="1">
        <v>45689</v>
      </c>
      <c r="G3877">
        <v>5</v>
      </c>
      <c r="H3877">
        <v>7242.64</v>
      </c>
      <c r="I3877">
        <v>10</v>
      </c>
      <c r="J3877" t="s">
        <v>26</v>
      </c>
      <c r="K3877">
        <v>3621.32</v>
      </c>
      <c r="L3877">
        <v>36213.199999999997</v>
      </c>
      <c r="M3877">
        <v>32591.88</v>
      </c>
      <c r="N3877" t="s">
        <v>41</v>
      </c>
      <c r="O3877">
        <v>2025</v>
      </c>
    </row>
    <row r="3878" spans="1:15" x14ac:dyDescent="0.3">
      <c r="A3878" t="s">
        <v>3963</v>
      </c>
      <c r="B3878" t="s">
        <v>65</v>
      </c>
      <c r="C3878" t="s">
        <v>90</v>
      </c>
      <c r="D3878" t="s">
        <v>115</v>
      </c>
      <c r="E3878" t="s">
        <v>56</v>
      </c>
      <c r="F3878" s="1">
        <v>45905</v>
      </c>
      <c r="G3878">
        <v>5</v>
      </c>
      <c r="H3878">
        <v>8953.6299999999992</v>
      </c>
      <c r="I3878">
        <v>15</v>
      </c>
      <c r="J3878" t="s">
        <v>71</v>
      </c>
      <c r="K3878">
        <v>6715.22</v>
      </c>
      <c r="L3878">
        <v>44768.15</v>
      </c>
      <c r="M3878">
        <v>38052.93</v>
      </c>
      <c r="N3878" t="s">
        <v>86</v>
      </c>
      <c r="O3878">
        <v>2025</v>
      </c>
    </row>
    <row r="3879" spans="1:15" x14ac:dyDescent="0.3">
      <c r="A3879" t="s">
        <v>3964</v>
      </c>
      <c r="B3879" t="s">
        <v>93</v>
      </c>
      <c r="C3879" t="s">
        <v>54</v>
      </c>
      <c r="D3879" t="s">
        <v>77</v>
      </c>
      <c r="E3879" t="s">
        <v>19</v>
      </c>
      <c r="F3879" s="1">
        <v>45821</v>
      </c>
      <c r="G3879">
        <v>2</v>
      </c>
      <c r="H3879">
        <v>5084.12</v>
      </c>
      <c r="I3879">
        <v>5</v>
      </c>
      <c r="J3879" t="s">
        <v>40</v>
      </c>
      <c r="K3879">
        <v>508.41</v>
      </c>
      <c r="L3879">
        <v>10168.24</v>
      </c>
      <c r="M3879">
        <v>9659.83</v>
      </c>
      <c r="N3879" t="s">
        <v>72</v>
      </c>
      <c r="O3879">
        <v>2025</v>
      </c>
    </row>
    <row r="3880" spans="1:15" x14ac:dyDescent="0.3">
      <c r="A3880" t="s">
        <v>3965</v>
      </c>
      <c r="B3880" t="s">
        <v>109</v>
      </c>
      <c r="C3880" t="s">
        <v>90</v>
      </c>
      <c r="D3880" t="s">
        <v>105</v>
      </c>
      <c r="E3880" t="s">
        <v>25</v>
      </c>
      <c r="F3880" s="1">
        <v>45771</v>
      </c>
      <c r="G3880">
        <v>1</v>
      </c>
      <c r="H3880">
        <v>3809.31</v>
      </c>
      <c r="I3880">
        <v>15</v>
      </c>
      <c r="J3880" t="s">
        <v>71</v>
      </c>
      <c r="K3880">
        <v>571.4</v>
      </c>
      <c r="L3880">
        <v>3809.31</v>
      </c>
      <c r="M3880">
        <v>3237.91</v>
      </c>
      <c r="N3880" t="s">
        <v>27</v>
      </c>
      <c r="O3880">
        <v>2025</v>
      </c>
    </row>
    <row r="3881" spans="1:15" x14ac:dyDescent="0.3">
      <c r="A3881" t="s">
        <v>3966</v>
      </c>
      <c r="B3881" t="s">
        <v>61</v>
      </c>
      <c r="C3881" t="s">
        <v>90</v>
      </c>
      <c r="D3881" t="s">
        <v>107</v>
      </c>
      <c r="E3881" t="s">
        <v>56</v>
      </c>
      <c r="F3881" s="1">
        <v>45879</v>
      </c>
      <c r="G3881">
        <v>5</v>
      </c>
      <c r="H3881">
        <v>12586.55</v>
      </c>
      <c r="I3881">
        <v>5</v>
      </c>
      <c r="J3881" t="s">
        <v>45</v>
      </c>
      <c r="K3881">
        <v>3146.64</v>
      </c>
      <c r="L3881">
        <v>62932.75</v>
      </c>
      <c r="M3881">
        <v>59786.11</v>
      </c>
      <c r="N3881" t="s">
        <v>21</v>
      </c>
      <c r="O3881">
        <v>2025</v>
      </c>
    </row>
    <row r="3882" spans="1:15" x14ac:dyDescent="0.3">
      <c r="A3882" t="s">
        <v>3967</v>
      </c>
      <c r="B3882" t="s">
        <v>65</v>
      </c>
      <c r="C3882" t="s">
        <v>17</v>
      </c>
      <c r="D3882" t="s">
        <v>157</v>
      </c>
      <c r="E3882" t="s">
        <v>25</v>
      </c>
      <c r="F3882" s="1">
        <v>45367</v>
      </c>
      <c r="G3882">
        <v>8</v>
      </c>
      <c r="H3882">
        <v>6486.58</v>
      </c>
      <c r="I3882">
        <v>15</v>
      </c>
      <c r="J3882" t="s">
        <v>82</v>
      </c>
      <c r="K3882">
        <v>7783.9</v>
      </c>
      <c r="L3882">
        <v>51892.639999999999</v>
      </c>
      <c r="M3882">
        <v>44108.74</v>
      </c>
      <c r="N3882" t="s">
        <v>83</v>
      </c>
      <c r="O3882">
        <v>2024</v>
      </c>
    </row>
    <row r="3883" spans="1:15" x14ac:dyDescent="0.3">
      <c r="A3883" t="s">
        <v>3968</v>
      </c>
      <c r="B3883" t="s">
        <v>43</v>
      </c>
      <c r="C3883" t="s">
        <v>17</v>
      </c>
      <c r="D3883" t="s">
        <v>18</v>
      </c>
      <c r="E3883" t="s">
        <v>81</v>
      </c>
      <c r="F3883" s="1">
        <v>45466</v>
      </c>
      <c r="G3883">
        <v>2</v>
      </c>
      <c r="H3883">
        <v>62855.8</v>
      </c>
      <c r="I3883">
        <v>10</v>
      </c>
      <c r="J3883" t="s">
        <v>26</v>
      </c>
      <c r="K3883">
        <v>12571.16</v>
      </c>
      <c r="L3883">
        <v>125711.6</v>
      </c>
      <c r="M3883">
        <v>113140.44</v>
      </c>
      <c r="N3883" t="s">
        <v>72</v>
      </c>
      <c r="O3883">
        <v>2024</v>
      </c>
    </row>
    <row r="3884" spans="1:15" x14ac:dyDescent="0.3">
      <c r="A3884" t="s">
        <v>3969</v>
      </c>
      <c r="B3884" t="s">
        <v>33</v>
      </c>
      <c r="C3884" t="s">
        <v>17</v>
      </c>
      <c r="D3884" t="s">
        <v>39</v>
      </c>
      <c r="E3884" t="s">
        <v>44</v>
      </c>
      <c r="F3884" s="1">
        <v>45750</v>
      </c>
      <c r="G3884">
        <v>5</v>
      </c>
      <c r="H3884">
        <v>17223.52</v>
      </c>
      <c r="I3884">
        <v>5</v>
      </c>
      <c r="J3884" t="s">
        <v>31</v>
      </c>
      <c r="K3884">
        <v>4305.88</v>
      </c>
      <c r="L3884">
        <v>86117.6</v>
      </c>
      <c r="M3884">
        <v>81811.72</v>
      </c>
      <c r="N3884" t="s">
        <v>27</v>
      </c>
      <c r="O3884">
        <v>2025</v>
      </c>
    </row>
    <row r="3885" spans="1:15" x14ac:dyDescent="0.3">
      <c r="A3885" t="s">
        <v>3970</v>
      </c>
      <c r="B3885" t="s">
        <v>61</v>
      </c>
      <c r="C3885" t="s">
        <v>54</v>
      </c>
      <c r="D3885" t="s">
        <v>137</v>
      </c>
      <c r="E3885" t="s">
        <v>81</v>
      </c>
      <c r="F3885" s="1">
        <v>46010</v>
      </c>
      <c r="G3885">
        <v>6</v>
      </c>
      <c r="H3885">
        <v>983.57</v>
      </c>
      <c r="I3885">
        <v>5</v>
      </c>
      <c r="J3885" t="s">
        <v>31</v>
      </c>
      <c r="K3885">
        <v>295.07</v>
      </c>
      <c r="L3885">
        <v>5901.42</v>
      </c>
      <c r="M3885">
        <v>5606.35</v>
      </c>
      <c r="N3885" t="s">
        <v>51</v>
      </c>
      <c r="O3885">
        <v>2025</v>
      </c>
    </row>
    <row r="3886" spans="1:15" x14ac:dyDescent="0.3">
      <c r="A3886" t="s">
        <v>3971</v>
      </c>
      <c r="B3886" t="s">
        <v>47</v>
      </c>
      <c r="C3886" t="s">
        <v>34</v>
      </c>
      <c r="D3886" t="s">
        <v>66</v>
      </c>
      <c r="E3886" t="s">
        <v>56</v>
      </c>
      <c r="F3886" s="1">
        <v>45508</v>
      </c>
      <c r="G3886">
        <v>4</v>
      </c>
      <c r="H3886">
        <v>39601.93</v>
      </c>
      <c r="I3886">
        <v>0</v>
      </c>
      <c r="J3886" t="s">
        <v>26</v>
      </c>
      <c r="K3886">
        <v>0</v>
      </c>
      <c r="L3886">
        <v>158407.72</v>
      </c>
      <c r="M3886">
        <v>158407.72</v>
      </c>
      <c r="N3886" t="s">
        <v>21</v>
      </c>
      <c r="O3886">
        <v>2024</v>
      </c>
    </row>
    <row r="3887" spans="1:15" x14ac:dyDescent="0.3">
      <c r="A3887" t="s">
        <v>3972</v>
      </c>
      <c r="B3887" t="s">
        <v>93</v>
      </c>
      <c r="C3887" t="s">
        <v>17</v>
      </c>
      <c r="D3887" t="s">
        <v>39</v>
      </c>
      <c r="E3887" t="s">
        <v>30</v>
      </c>
      <c r="F3887" s="1">
        <v>45685</v>
      </c>
      <c r="G3887">
        <v>7</v>
      </c>
      <c r="H3887">
        <v>20609.759999999998</v>
      </c>
      <c r="I3887">
        <v>5</v>
      </c>
      <c r="J3887" t="s">
        <v>36</v>
      </c>
      <c r="K3887">
        <v>7213.42</v>
      </c>
      <c r="L3887">
        <v>144268.32</v>
      </c>
      <c r="M3887">
        <v>137054.9</v>
      </c>
      <c r="N3887" t="s">
        <v>116</v>
      </c>
      <c r="O3887">
        <v>2025</v>
      </c>
    </row>
    <row r="3888" spans="1:15" x14ac:dyDescent="0.3">
      <c r="A3888" t="s">
        <v>3973</v>
      </c>
      <c r="B3888" t="s">
        <v>16</v>
      </c>
      <c r="C3888" t="s">
        <v>90</v>
      </c>
      <c r="D3888" t="s">
        <v>105</v>
      </c>
      <c r="E3888" t="s">
        <v>81</v>
      </c>
      <c r="F3888" s="1">
        <v>45955</v>
      </c>
      <c r="G3888">
        <v>8</v>
      </c>
      <c r="H3888">
        <v>3691.53</v>
      </c>
      <c r="I3888">
        <v>15</v>
      </c>
      <c r="J3888" t="s">
        <v>71</v>
      </c>
      <c r="K3888">
        <v>4429.84</v>
      </c>
      <c r="L3888">
        <v>29532.240000000002</v>
      </c>
      <c r="M3888">
        <v>25102.400000000001</v>
      </c>
      <c r="N3888" t="s">
        <v>57</v>
      </c>
      <c r="O3888">
        <v>2025</v>
      </c>
    </row>
    <row r="3889" spans="1:15" x14ac:dyDescent="0.3">
      <c r="A3889" t="s">
        <v>3974</v>
      </c>
      <c r="B3889" t="s">
        <v>38</v>
      </c>
      <c r="C3889" t="s">
        <v>34</v>
      </c>
      <c r="D3889" t="s">
        <v>66</v>
      </c>
      <c r="E3889" t="s">
        <v>19</v>
      </c>
      <c r="F3889" s="1">
        <v>46003</v>
      </c>
      <c r="G3889">
        <v>3</v>
      </c>
      <c r="H3889">
        <v>42603.51</v>
      </c>
      <c r="I3889">
        <v>15</v>
      </c>
      <c r="J3889" t="s">
        <v>31</v>
      </c>
      <c r="K3889">
        <v>19171.580000000002</v>
      </c>
      <c r="L3889">
        <v>127810.53</v>
      </c>
      <c r="M3889">
        <v>108638.95</v>
      </c>
      <c r="N3889" t="s">
        <v>51</v>
      </c>
      <c r="O3889">
        <v>2025</v>
      </c>
    </row>
    <row r="3890" spans="1:15" x14ac:dyDescent="0.3">
      <c r="A3890" t="s">
        <v>3975</v>
      </c>
      <c r="B3890" t="s">
        <v>74</v>
      </c>
      <c r="C3890" t="s">
        <v>34</v>
      </c>
      <c r="D3890" t="s">
        <v>85</v>
      </c>
      <c r="E3890" t="s">
        <v>30</v>
      </c>
      <c r="F3890" s="1">
        <v>45830</v>
      </c>
      <c r="G3890">
        <v>7</v>
      </c>
      <c r="H3890">
        <v>13373.47</v>
      </c>
      <c r="I3890">
        <v>5</v>
      </c>
      <c r="J3890" t="s">
        <v>45</v>
      </c>
      <c r="K3890">
        <v>4680.71</v>
      </c>
      <c r="L3890">
        <v>93614.29</v>
      </c>
      <c r="M3890">
        <v>88933.58</v>
      </c>
      <c r="N3890" t="s">
        <v>72</v>
      </c>
      <c r="O3890">
        <v>2025</v>
      </c>
    </row>
    <row r="3891" spans="1:15" x14ac:dyDescent="0.3">
      <c r="A3891" t="s">
        <v>3976</v>
      </c>
      <c r="B3891" t="s">
        <v>38</v>
      </c>
      <c r="C3891" t="s">
        <v>54</v>
      </c>
      <c r="D3891" t="s">
        <v>55</v>
      </c>
      <c r="E3891" t="s">
        <v>56</v>
      </c>
      <c r="F3891" s="1">
        <v>45858</v>
      </c>
      <c r="G3891">
        <v>8</v>
      </c>
      <c r="H3891">
        <v>1279.1300000000001</v>
      </c>
      <c r="I3891">
        <v>10</v>
      </c>
      <c r="J3891" t="s">
        <v>31</v>
      </c>
      <c r="K3891">
        <v>1023.3</v>
      </c>
      <c r="L3891">
        <v>10233.040000000001</v>
      </c>
      <c r="M3891">
        <v>9209.74</v>
      </c>
      <c r="N3891" t="s">
        <v>122</v>
      </c>
      <c r="O3891">
        <v>2025</v>
      </c>
    </row>
    <row r="3892" spans="1:15" x14ac:dyDescent="0.3">
      <c r="A3892" t="s">
        <v>3977</v>
      </c>
      <c r="B3892" t="s">
        <v>43</v>
      </c>
      <c r="C3892" t="s">
        <v>17</v>
      </c>
      <c r="D3892" t="s">
        <v>59</v>
      </c>
      <c r="E3892" t="s">
        <v>81</v>
      </c>
      <c r="F3892" s="1">
        <v>45419</v>
      </c>
      <c r="G3892">
        <v>8</v>
      </c>
      <c r="H3892">
        <v>28233.82</v>
      </c>
      <c r="I3892">
        <v>15</v>
      </c>
      <c r="J3892" t="s">
        <v>20</v>
      </c>
      <c r="K3892">
        <v>33880.58</v>
      </c>
      <c r="L3892">
        <v>225870.56</v>
      </c>
      <c r="M3892">
        <v>191989.98</v>
      </c>
      <c r="N3892" t="s">
        <v>101</v>
      </c>
      <c r="O3892">
        <v>2024</v>
      </c>
    </row>
    <row r="3893" spans="1:15" x14ac:dyDescent="0.3">
      <c r="A3893" t="s">
        <v>3978</v>
      </c>
      <c r="B3893" t="s">
        <v>23</v>
      </c>
      <c r="C3893" t="s">
        <v>90</v>
      </c>
      <c r="D3893" t="s">
        <v>105</v>
      </c>
      <c r="E3893" t="s">
        <v>25</v>
      </c>
      <c r="F3893" s="1">
        <v>45664</v>
      </c>
      <c r="G3893">
        <v>9</v>
      </c>
      <c r="H3893">
        <v>3710.95</v>
      </c>
      <c r="I3893">
        <v>15</v>
      </c>
      <c r="J3893" t="s">
        <v>45</v>
      </c>
      <c r="K3893">
        <v>5009.78</v>
      </c>
      <c r="L3893">
        <v>33398.550000000003</v>
      </c>
      <c r="M3893">
        <v>28388.77</v>
      </c>
      <c r="N3893" t="s">
        <v>116</v>
      </c>
      <c r="O3893">
        <v>2025</v>
      </c>
    </row>
    <row r="3894" spans="1:15" x14ac:dyDescent="0.3">
      <c r="A3894" t="s">
        <v>3979</v>
      </c>
      <c r="B3894" t="s">
        <v>89</v>
      </c>
      <c r="C3894" t="s">
        <v>34</v>
      </c>
      <c r="D3894" t="s">
        <v>48</v>
      </c>
      <c r="E3894" t="s">
        <v>81</v>
      </c>
      <c r="F3894" s="1">
        <v>45413</v>
      </c>
      <c r="G3894">
        <v>2</v>
      </c>
      <c r="H3894">
        <v>7977.16</v>
      </c>
      <c r="I3894">
        <v>10</v>
      </c>
      <c r="J3894" t="s">
        <v>36</v>
      </c>
      <c r="K3894">
        <v>1595.43</v>
      </c>
      <c r="L3894">
        <v>15954.32</v>
      </c>
      <c r="M3894">
        <v>14358.89</v>
      </c>
      <c r="N3894" t="s">
        <v>101</v>
      </c>
      <c r="O3894">
        <v>2024</v>
      </c>
    </row>
    <row r="3895" spans="1:15" x14ac:dyDescent="0.3">
      <c r="A3895" t="s">
        <v>3980</v>
      </c>
      <c r="B3895" t="s">
        <v>16</v>
      </c>
      <c r="C3895" t="s">
        <v>17</v>
      </c>
      <c r="D3895" t="s">
        <v>157</v>
      </c>
      <c r="E3895" t="s">
        <v>44</v>
      </c>
      <c r="F3895" s="1">
        <v>45671</v>
      </c>
      <c r="G3895">
        <v>5</v>
      </c>
      <c r="H3895">
        <v>6988</v>
      </c>
      <c r="I3895">
        <v>15</v>
      </c>
      <c r="J3895" t="s">
        <v>20</v>
      </c>
      <c r="K3895">
        <v>5241</v>
      </c>
      <c r="L3895">
        <v>34940</v>
      </c>
      <c r="M3895">
        <v>29699</v>
      </c>
      <c r="N3895" t="s">
        <v>116</v>
      </c>
      <c r="O3895">
        <v>2025</v>
      </c>
    </row>
    <row r="3896" spans="1:15" x14ac:dyDescent="0.3">
      <c r="A3896" t="s">
        <v>3981</v>
      </c>
      <c r="B3896" t="s">
        <v>65</v>
      </c>
      <c r="C3896" t="s">
        <v>34</v>
      </c>
      <c r="D3896" t="s">
        <v>66</v>
      </c>
      <c r="E3896" t="s">
        <v>30</v>
      </c>
      <c r="F3896" s="1">
        <v>45307</v>
      </c>
      <c r="G3896">
        <v>2</v>
      </c>
      <c r="H3896">
        <v>45386.720000000001</v>
      </c>
      <c r="I3896">
        <v>10</v>
      </c>
      <c r="J3896" t="s">
        <v>71</v>
      </c>
      <c r="K3896">
        <v>9077.34</v>
      </c>
      <c r="L3896">
        <v>90773.440000000002</v>
      </c>
      <c r="M3896">
        <v>81696.100000000006</v>
      </c>
      <c r="N3896" t="s">
        <v>116</v>
      </c>
      <c r="O3896">
        <v>2024</v>
      </c>
    </row>
    <row r="3897" spans="1:15" x14ac:dyDescent="0.3">
      <c r="A3897" t="s">
        <v>3982</v>
      </c>
      <c r="B3897" t="s">
        <v>109</v>
      </c>
      <c r="C3897" t="s">
        <v>62</v>
      </c>
      <c r="D3897" t="s">
        <v>99</v>
      </c>
      <c r="E3897" t="s">
        <v>44</v>
      </c>
      <c r="F3897" s="1">
        <v>45905</v>
      </c>
      <c r="G3897">
        <v>4</v>
      </c>
      <c r="H3897">
        <v>1443.95</v>
      </c>
      <c r="I3897">
        <v>5</v>
      </c>
      <c r="J3897" t="s">
        <v>20</v>
      </c>
      <c r="K3897">
        <v>288.79000000000002</v>
      </c>
      <c r="L3897">
        <v>5775.8</v>
      </c>
      <c r="M3897">
        <v>5487.01</v>
      </c>
      <c r="N3897" t="s">
        <v>86</v>
      </c>
      <c r="O3897">
        <v>2025</v>
      </c>
    </row>
    <row r="3898" spans="1:15" x14ac:dyDescent="0.3">
      <c r="A3898" t="s">
        <v>3983</v>
      </c>
      <c r="B3898" t="s">
        <v>16</v>
      </c>
      <c r="C3898" t="s">
        <v>90</v>
      </c>
      <c r="D3898" t="s">
        <v>105</v>
      </c>
      <c r="E3898" t="s">
        <v>81</v>
      </c>
      <c r="F3898" s="1">
        <v>45699</v>
      </c>
      <c r="G3898">
        <v>10</v>
      </c>
      <c r="H3898">
        <v>3994.27</v>
      </c>
      <c r="I3898">
        <v>10</v>
      </c>
      <c r="J3898" t="s">
        <v>31</v>
      </c>
      <c r="K3898">
        <v>3994.27</v>
      </c>
      <c r="L3898">
        <v>39942.699999999997</v>
      </c>
      <c r="M3898">
        <v>35948.43</v>
      </c>
      <c r="N3898" t="s">
        <v>41</v>
      </c>
      <c r="O3898">
        <v>2025</v>
      </c>
    </row>
    <row r="3899" spans="1:15" x14ac:dyDescent="0.3">
      <c r="A3899" t="s">
        <v>3984</v>
      </c>
      <c r="B3899" t="s">
        <v>93</v>
      </c>
      <c r="C3899" t="s">
        <v>62</v>
      </c>
      <c r="D3899" t="s">
        <v>63</v>
      </c>
      <c r="E3899" t="s">
        <v>44</v>
      </c>
      <c r="F3899" s="1">
        <v>45629</v>
      </c>
      <c r="G3899">
        <v>1</v>
      </c>
      <c r="H3899">
        <v>2089.46</v>
      </c>
      <c r="I3899">
        <v>5</v>
      </c>
      <c r="J3899" t="s">
        <v>26</v>
      </c>
      <c r="K3899">
        <v>104.47</v>
      </c>
      <c r="L3899">
        <v>2089.46</v>
      </c>
      <c r="M3899">
        <v>1984.99</v>
      </c>
      <c r="N3899" t="s">
        <v>51</v>
      </c>
      <c r="O3899">
        <v>2024</v>
      </c>
    </row>
    <row r="3900" spans="1:15" x14ac:dyDescent="0.3">
      <c r="A3900" t="s">
        <v>3985</v>
      </c>
      <c r="B3900" t="s">
        <v>109</v>
      </c>
      <c r="C3900" t="s">
        <v>90</v>
      </c>
      <c r="D3900" t="s">
        <v>105</v>
      </c>
      <c r="E3900" t="s">
        <v>25</v>
      </c>
      <c r="F3900" s="1">
        <v>45405</v>
      </c>
      <c r="G3900">
        <v>1</v>
      </c>
      <c r="H3900">
        <v>3222.77</v>
      </c>
      <c r="I3900">
        <v>10</v>
      </c>
      <c r="J3900" t="s">
        <v>82</v>
      </c>
      <c r="K3900">
        <v>322.27999999999997</v>
      </c>
      <c r="L3900">
        <v>3222.77</v>
      </c>
      <c r="M3900">
        <v>2900.49</v>
      </c>
      <c r="N3900" t="s">
        <v>27</v>
      </c>
      <c r="O3900">
        <v>2024</v>
      </c>
    </row>
    <row r="3901" spans="1:15" x14ac:dyDescent="0.3">
      <c r="A3901" t="s">
        <v>3986</v>
      </c>
      <c r="B3901" t="s">
        <v>23</v>
      </c>
      <c r="C3901" t="s">
        <v>90</v>
      </c>
      <c r="D3901" t="s">
        <v>105</v>
      </c>
      <c r="E3901" t="s">
        <v>25</v>
      </c>
      <c r="F3901" s="1">
        <v>45489</v>
      </c>
      <c r="G3901">
        <v>9</v>
      </c>
      <c r="H3901">
        <v>3375.68</v>
      </c>
      <c r="I3901">
        <v>10</v>
      </c>
      <c r="J3901" t="s">
        <v>71</v>
      </c>
      <c r="K3901">
        <v>3038.11</v>
      </c>
      <c r="L3901">
        <v>30381.119999999999</v>
      </c>
      <c r="M3901">
        <v>27343.01</v>
      </c>
      <c r="N3901" t="s">
        <v>122</v>
      </c>
      <c r="O3901">
        <v>2024</v>
      </c>
    </row>
    <row r="3902" spans="1:15" x14ac:dyDescent="0.3">
      <c r="A3902" t="s">
        <v>3987</v>
      </c>
      <c r="B3902" t="s">
        <v>47</v>
      </c>
      <c r="C3902" t="s">
        <v>54</v>
      </c>
      <c r="D3902" t="s">
        <v>77</v>
      </c>
      <c r="E3902" t="s">
        <v>50</v>
      </c>
      <c r="F3902" s="1">
        <v>45528</v>
      </c>
      <c r="G3902">
        <v>1</v>
      </c>
      <c r="H3902">
        <v>4558.6000000000004</v>
      </c>
      <c r="I3902">
        <v>20</v>
      </c>
      <c r="J3902" t="s">
        <v>82</v>
      </c>
      <c r="K3902">
        <v>911.72</v>
      </c>
      <c r="L3902">
        <v>4558.6000000000004</v>
      </c>
      <c r="M3902">
        <v>3646.88</v>
      </c>
      <c r="N3902" t="s">
        <v>21</v>
      </c>
      <c r="O3902">
        <v>2024</v>
      </c>
    </row>
    <row r="3903" spans="1:15" x14ac:dyDescent="0.3">
      <c r="A3903" t="s">
        <v>3988</v>
      </c>
      <c r="B3903" t="s">
        <v>61</v>
      </c>
      <c r="C3903" t="s">
        <v>54</v>
      </c>
      <c r="D3903" t="s">
        <v>55</v>
      </c>
      <c r="E3903" t="s">
        <v>44</v>
      </c>
      <c r="F3903" s="1">
        <v>45835</v>
      </c>
      <c r="G3903">
        <v>5</v>
      </c>
      <c r="H3903">
        <v>1279.8</v>
      </c>
      <c r="I3903">
        <v>15</v>
      </c>
      <c r="J3903" t="s">
        <v>20</v>
      </c>
      <c r="K3903">
        <v>959.85</v>
      </c>
      <c r="L3903">
        <v>6399</v>
      </c>
      <c r="M3903">
        <v>5439.15</v>
      </c>
      <c r="N3903" t="s">
        <v>72</v>
      </c>
      <c r="O3903">
        <v>2025</v>
      </c>
    </row>
    <row r="3904" spans="1:15" x14ac:dyDescent="0.3">
      <c r="A3904" t="s">
        <v>3989</v>
      </c>
      <c r="B3904" t="s">
        <v>109</v>
      </c>
      <c r="C3904" t="s">
        <v>54</v>
      </c>
      <c r="D3904" t="s">
        <v>77</v>
      </c>
      <c r="E3904" t="s">
        <v>44</v>
      </c>
      <c r="F3904" s="1">
        <v>45781</v>
      </c>
      <c r="G3904">
        <v>3</v>
      </c>
      <c r="H3904">
        <v>4745.8</v>
      </c>
      <c r="I3904">
        <v>5</v>
      </c>
      <c r="J3904" t="s">
        <v>31</v>
      </c>
      <c r="K3904">
        <v>711.87</v>
      </c>
      <c r="L3904">
        <v>14237.4</v>
      </c>
      <c r="M3904">
        <v>13525.53</v>
      </c>
      <c r="N3904" t="s">
        <v>101</v>
      </c>
      <c r="O3904">
        <v>2025</v>
      </c>
    </row>
    <row r="3905" spans="1:15" x14ac:dyDescent="0.3">
      <c r="A3905" t="s">
        <v>3990</v>
      </c>
      <c r="B3905" t="s">
        <v>43</v>
      </c>
      <c r="C3905" t="s">
        <v>17</v>
      </c>
      <c r="D3905" t="s">
        <v>18</v>
      </c>
      <c r="E3905" t="s">
        <v>30</v>
      </c>
      <c r="F3905" s="1">
        <v>45833</v>
      </c>
      <c r="G3905">
        <v>2</v>
      </c>
      <c r="H3905">
        <v>66524.09</v>
      </c>
      <c r="I3905">
        <v>15</v>
      </c>
      <c r="J3905" t="s">
        <v>40</v>
      </c>
      <c r="K3905">
        <v>19957.23</v>
      </c>
      <c r="L3905">
        <v>133048.18</v>
      </c>
      <c r="M3905">
        <v>113090.95</v>
      </c>
      <c r="N3905" t="s">
        <v>72</v>
      </c>
      <c r="O3905">
        <v>2025</v>
      </c>
    </row>
    <row r="3906" spans="1:15" x14ac:dyDescent="0.3">
      <c r="A3906" t="s">
        <v>3991</v>
      </c>
      <c r="B3906" t="s">
        <v>38</v>
      </c>
      <c r="C3906" t="s">
        <v>34</v>
      </c>
      <c r="D3906" t="s">
        <v>35</v>
      </c>
      <c r="E3906" t="s">
        <v>19</v>
      </c>
      <c r="F3906" s="1">
        <v>45721</v>
      </c>
      <c r="G3906">
        <v>2</v>
      </c>
      <c r="H3906">
        <v>26286.93</v>
      </c>
      <c r="I3906">
        <v>5</v>
      </c>
      <c r="J3906" t="s">
        <v>45</v>
      </c>
      <c r="K3906">
        <v>2628.69</v>
      </c>
      <c r="L3906">
        <v>52573.86</v>
      </c>
      <c r="M3906">
        <v>49945.17</v>
      </c>
      <c r="N3906" t="s">
        <v>83</v>
      </c>
      <c r="O3906">
        <v>2025</v>
      </c>
    </row>
    <row r="3907" spans="1:15" x14ac:dyDescent="0.3">
      <c r="A3907" t="s">
        <v>3992</v>
      </c>
      <c r="B3907" t="s">
        <v>65</v>
      </c>
      <c r="C3907" t="s">
        <v>17</v>
      </c>
      <c r="D3907" t="s">
        <v>24</v>
      </c>
      <c r="E3907" t="s">
        <v>50</v>
      </c>
      <c r="F3907" s="1">
        <v>45313</v>
      </c>
      <c r="G3907">
        <v>7</v>
      </c>
      <c r="H3907">
        <v>2859.99</v>
      </c>
      <c r="I3907">
        <v>0</v>
      </c>
      <c r="J3907" t="s">
        <v>36</v>
      </c>
      <c r="K3907">
        <v>0</v>
      </c>
      <c r="L3907">
        <v>20019.93</v>
      </c>
      <c r="M3907">
        <v>20019.93</v>
      </c>
      <c r="N3907" t="s">
        <v>116</v>
      </c>
      <c r="O3907">
        <v>2024</v>
      </c>
    </row>
    <row r="3908" spans="1:15" x14ac:dyDescent="0.3">
      <c r="A3908" t="s">
        <v>3993</v>
      </c>
      <c r="B3908" t="s">
        <v>38</v>
      </c>
      <c r="C3908" t="s">
        <v>54</v>
      </c>
      <c r="D3908" t="s">
        <v>68</v>
      </c>
      <c r="E3908" t="s">
        <v>19</v>
      </c>
      <c r="F3908" s="1">
        <v>45784</v>
      </c>
      <c r="G3908">
        <v>7</v>
      </c>
      <c r="H3908">
        <v>4121.0200000000004</v>
      </c>
      <c r="I3908">
        <v>5</v>
      </c>
      <c r="J3908" t="s">
        <v>82</v>
      </c>
      <c r="K3908">
        <v>1442.36</v>
      </c>
      <c r="L3908">
        <v>28847.14</v>
      </c>
      <c r="M3908">
        <v>27404.78</v>
      </c>
      <c r="N3908" t="s">
        <v>101</v>
      </c>
      <c r="O3908">
        <v>2025</v>
      </c>
    </row>
    <row r="3909" spans="1:15" x14ac:dyDescent="0.3">
      <c r="A3909" t="s">
        <v>3994</v>
      </c>
      <c r="B3909" t="s">
        <v>29</v>
      </c>
      <c r="C3909" t="s">
        <v>17</v>
      </c>
      <c r="D3909" t="s">
        <v>59</v>
      </c>
      <c r="E3909" t="s">
        <v>56</v>
      </c>
      <c r="F3909" s="1">
        <v>45411</v>
      </c>
      <c r="G3909">
        <v>7</v>
      </c>
      <c r="H3909">
        <v>26297.19</v>
      </c>
      <c r="I3909">
        <v>15</v>
      </c>
      <c r="J3909" t="s">
        <v>40</v>
      </c>
      <c r="K3909">
        <v>27612.05</v>
      </c>
      <c r="L3909">
        <v>184080.33</v>
      </c>
      <c r="M3909">
        <v>156468.28</v>
      </c>
      <c r="N3909" t="s">
        <v>27</v>
      </c>
      <c r="O3909">
        <v>2024</v>
      </c>
    </row>
    <row r="3910" spans="1:15" x14ac:dyDescent="0.3">
      <c r="A3910" t="s">
        <v>3995</v>
      </c>
      <c r="B3910" t="s">
        <v>33</v>
      </c>
      <c r="C3910" t="s">
        <v>54</v>
      </c>
      <c r="D3910" t="s">
        <v>55</v>
      </c>
      <c r="E3910" t="s">
        <v>30</v>
      </c>
      <c r="F3910" s="1">
        <v>45715</v>
      </c>
      <c r="G3910">
        <v>8</v>
      </c>
      <c r="H3910">
        <v>1210.3599999999999</v>
      </c>
      <c r="I3910">
        <v>0</v>
      </c>
      <c r="J3910" t="s">
        <v>82</v>
      </c>
      <c r="K3910">
        <v>0</v>
      </c>
      <c r="L3910">
        <v>9682.8799999999992</v>
      </c>
      <c r="M3910">
        <v>9682.8799999999992</v>
      </c>
      <c r="N3910" t="s">
        <v>41</v>
      </c>
      <c r="O3910">
        <v>2025</v>
      </c>
    </row>
    <row r="3911" spans="1:15" x14ac:dyDescent="0.3">
      <c r="A3911" t="s">
        <v>3996</v>
      </c>
      <c r="B3911" t="s">
        <v>29</v>
      </c>
      <c r="C3911" t="s">
        <v>34</v>
      </c>
      <c r="D3911" t="s">
        <v>85</v>
      </c>
      <c r="E3911" t="s">
        <v>44</v>
      </c>
      <c r="F3911" s="1">
        <v>46022</v>
      </c>
      <c r="G3911">
        <v>10</v>
      </c>
      <c r="H3911">
        <v>14302.77</v>
      </c>
      <c r="I3911">
        <v>5</v>
      </c>
      <c r="J3911" t="s">
        <v>82</v>
      </c>
      <c r="K3911">
        <v>7151.39</v>
      </c>
      <c r="L3911">
        <v>143027.70000000001</v>
      </c>
      <c r="M3911">
        <v>135876.31</v>
      </c>
      <c r="N3911" t="s">
        <v>51</v>
      </c>
      <c r="O3911">
        <v>2025</v>
      </c>
    </row>
    <row r="3912" spans="1:15" x14ac:dyDescent="0.3">
      <c r="A3912" t="s">
        <v>3997</v>
      </c>
      <c r="B3912" t="s">
        <v>74</v>
      </c>
      <c r="C3912" t="s">
        <v>62</v>
      </c>
      <c r="D3912" t="s">
        <v>63</v>
      </c>
      <c r="E3912" t="s">
        <v>81</v>
      </c>
      <c r="F3912" s="1">
        <v>45942</v>
      </c>
      <c r="G3912">
        <v>7</v>
      </c>
      <c r="H3912">
        <v>2180.5</v>
      </c>
      <c r="I3912">
        <v>0</v>
      </c>
      <c r="J3912" t="s">
        <v>36</v>
      </c>
      <c r="K3912">
        <v>0</v>
      </c>
      <c r="L3912">
        <v>15263.5</v>
      </c>
      <c r="M3912">
        <v>15263.5</v>
      </c>
      <c r="N3912" t="s">
        <v>57</v>
      </c>
      <c r="O3912">
        <v>2025</v>
      </c>
    </row>
    <row r="3913" spans="1:15" x14ac:dyDescent="0.3">
      <c r="A3913" t="s">
        <v>3998</v>
      </c>
      <c r="B3913" t="s">
        <v>114</v>
      </c>
      <c r="C3913" t="s">
        <v>34</v>
      </c>
      <c r="D3913" t="s">
        <v>35</v>
      </c>
      <c r="E3913" t="s">
        <v>81</v>
      </c>
      <c r="F3913" s="1">
        <v>45764</v>
      </c>
      <c r="G3913">
        <v>10</v>
      </c>
      <c r="H3913">
        <v>24125.23</v>
      </c>
      <c r="I3913">
        <v>20</v>
      </c>
      <c r="J3913" t="s">
        <v>20</v>
      </c>
      <c r="K3913">
        <v>48250.46</v>
      </c>
      <c r="L3913">
        <v>241252.3</v>
      </c>
      <c r="M3913">
        <v>193001.84</v>
      </c>
      <c r="N3913" t="s">
        <v>27</v>
      </c>
      <c r="O3913">
        <v>2025</v>
      </c>
    </row>
    <row r="3914" spans="1:15" x14ac:dyDescent="0.3">
      <c r="A3914" t="s">
        <v>3999</v>
      </c>
      <c r="B3914" t="s">
        <v>38</v>
      </c>
      <c r="C3914" t="s">
        <v>54</v>
      </c>
      <c r="D3914" t="s">
        <v>137</v>
      </c>
      <c r="E3914" t="s">
        <v>44</v>
      </c>
      <c r="F3914" s="1">
        <v>45482</v>
      </c>
      <c r="G3914">
        <v>6</v>
      </c>
      <c r="H3914">
        <v>851.63</v>
      </c>
      <c r="I3914">
        <v>20</v>
      </c>
      <c r="J3914" t="s">
        <v>36</v>
      </c>
      <c r="K3914">
        <v>1021.96</v>
      </c>
      <c r="L3914">
        <v>5109.78</v>
      </c>
      <c r="M3914">
        <v>4087.82</v>
      </c>
      <c r="N3914" t="s">
        <v>122</v>
      </c>
      <c r="O3914">
        <v>2024</v>
      </c>
    </row>
    <row r="3915" spans="1:15" x14ac:dyDescent="0.3">
      <c r="A3915" t="s">
        <v>4000</v>
      </c>
      <c r="B3915" t="s">
        <v>43</v>
      </c>
      <c r="C3915" t="s">
        <v>90</v>
      </c>
      <c r="D3915" t="s">
        <v>115</v>
      </c>
      <c r="E3915" t="s">
        <v>19</v>
      </c>
      <c r="F3915" s="1">
        <v>45546</v>
      </c>
      <c r="G3915">
        <v>7</v>
      </c>
      <c r="H3915">
        <v>8733.49</v>
      </c>
      <c r="I3915">
        <v>20</v>
      </c>
      <c r="J3915" t="s">
        <v>40</v>
      </c>
      <c r="K3915">
        <v>12226.89</v>
      </c>
      <c r="L3915">
        <v>61134.43</v>
      </c>
      <c r="M3915">
        <v>48907.54</v>
      </c>
      <c r="N3915" t="s">
        <v>86</v>
      </c>
      <c r="O3915">
        <v>2024</v>
      </c>
    </row>
    <row r="3916" spans="1:15" x14ac:dyDescent="0.3">
      <c r="A3916" t="s">
        <v>4001</v>
      </c>
      <c r="B3916" t="s">
        <v>47</v>
      </c>
      <c r="C3916" t="s">
        <v>90</v>
      </c>
      <c r="D3916" t="s">
        <v>91</v>
      </c>
      <c r="E3916" t="s">
        <v>44</v>
      </c>
      <c r="F3916" s="1">
        <v>45368</v>
      </c>
      <c r="G3916">
        <v>5</v>
      </c>
      <c r="H3916">
        <v>1643.68</v>
      </c>
      <c r="I3916">
        <v>5</v>
      </c>
      <c r="J3916" t="s">
        <v>82</v>
      </c>
      <c r="K3916">
        <v>410.92</v>
      </c>
      <c r="L3916">
        <v>8218.4</v>
      </c>
      <c r="M3916">
        <v>7807.48</v>
      </c>
      <c r="N3916" t="s">
        <v>83</v>
      </c>
      <c r="O3916">
        <v>2024</v>
      </c>
    </row>
    <row r="3917" spans="1:15" x14ac:dyDescent="0.3">
      <c r="A3917" t="s">
        <v>4002</v>
      </c>
      <c r="B3917" t="s">
        <v>23</v>
      </c>
      <c r="C3917" t="s">
        <v>34</v>
      </c>
      <c r="D3917" t="s">
        <v>80</v>
      </c>
      <c r="E3917" t="s">
        <v>19</v>
      </c>
      <c r="F3917" s="1">
        <v>45911</v>
      </c>
      <c r="G3917">
        <v>9</v>
      </c>
      <c r="H3917">
        <v>5436.78</v>
      </c>
      <c r="I3917">
        <v>20</v>
      </c>
      <c r="J3917" t="s">
        <v>26</v>
      </c>
      <c r="K3917">
        <v>9786.2000000000007</v>
      </c>
      <c r="L3917">
        <v>48931.02</v>
      </c>
      <c r="M3917">
        <v>39144.82</v>
      </c>
      <c r="N3917" t="s">
        <v>86</v>
      </c>
      <c r="O3917">
        <v>2025</v>
      </c>
    </row>
    <row r="3918" spans="1:15" x14ac:dyDescent="0.3">
      <c r="A3918" t="s">
        <v>4003</v>
      </c>
      <c r="B3918" t="s">
        <v>47</v>
      </c>
      <c r="C3918" t="s">
        <v>90</v>
      </c>
      <c r="D3918" t="s">
        <v>152</v>
      </c>
      <c r="E3918" t="s">
        <v>44</v>
      </c>
      <c r="F3918" s="1">
        <v>45616</v>
      </c>
      <c r="G3918">
        <v>6</v>
      </c>
      <c r="H3918">
        <v>11533.04</v>
      </c>
      <c r="I3918">
        <v>0</v>
      </c>
      <c r="J3918" t="s">
        <v>45</v>
      </c>
      <c r="K3918">
        <v>0</v>
      </c>
      <c r="L3918">
        <v>69198.240000000005</v>
      </c>
      <c r="M3918">
        <v>69198.240000000005</v>
      </c>
      <c r="N3918" t="s">
        <v>96</v>
      </c>
      <c r="O3918">
        <v>2024</v>
      </c>
    </row>
    <row r="3919" spans="1:15" x14ac:dyDescent="0.3">
      <c r="A3919" t="s">
        <v>4004</v>
      </c>
      <c r="B3919" t="s">
        <v>74</v>
      </c>
      <c r="C3919" t="s">
        <v>90</v>
      </c>
      <c r="D3919" t="s">
        <v>107</v>
      </c>
      <c r="E3919" t="s">
        <v>56</v>
      </c>
      <c r="F3919" s="1">
        <v>45916</v>
      </c>
      <c r="G3919">
        <v>1</v>
      </c>
      <c r="H3919">
        <v>11315.19</v>
      </c>
      <c r="I3919">
        <v>10</v>
      </c>
      <c r="J3919" t="s">
        <v>71</v>
      </c>
      <c r="K3919">
        <v>1131.52</v>
      </c>
      <c r="L3919">
        <v>11315.19</v>
      </c>
      <c r="M3919">
        <v>10183.67</v>
      </c>
      <c r="N3919" t="s">
        <v>86</v>
      </c>
      <c r="O3919">
        <v>2025</v>
      </c>
    </row>
    <row r="3920" spans="1:15" x14ac:dyDescent="0.3">
      <c r="A3920" t="s">
        <v>4005</v>
      </c>
      <c r="B3920" t="s">
        <v>16</v>
      </c>
      <c r="C3920" t="s">
        <v>54</v>
      </c>
      <c r="D3920" t="s">
        <v>70</v>
      </c>
      <c r="E3920" t="s">
        <v>50</v>
      </c>
      <c r="F3920" s="1">
        <v>46022</v>
      </c>
      <c r="G3920">
        <v>5</v>
      </c>
      <c r="H3920">
        <v>3131.24</v>
      </c>
      <c r="I3920">
        <v>5</v>
      </c>
      <c r="J3920" t="s">
        <v>26</v>
      </c>
      <c r="K3920">
        <v>782.81</v>
      </c>
      <c r="L3920">
        <v>15656.2</v>
      </c>
      <c r="M3920">
        <v>14873.39</v>
      </c>
      <c r="N3920" t="s">
        <v>51</v>
      </c>
      <c r="O3920">
        <v>2025</v>
      </c>
    </row>
    <row r="3921" spans="1:15" x14ac:dyDescent="0.3">
      <c r="A3921" t="s">
        <v>4006</v>
      </c>
      <c r="B3921" t="s">
        <v>47</v>
      </c>
      <c r="C3921" t="s">
        <v>90</v>
      </c>
      <c r="D3921" t="s">
        <v>107</v>
      </c>
      <c r="E3921" t="s">
        <v>56</v>
      </c>
      <c r="F3921" s="1">
        <v>45698</v>
      </c>
      <c r="G3921">
        <v>7</v>
      </c>
      <c r="H3921">
        <v>12974.54</v>
      </c>
      <c r="I3921">
        <v>5</v>
      </c>
      <c r="J3921" t="s">
        <v>36</v>
      </c>
      <c r="K3921">
        <v>4541.09</v>
      </c>
      <c r="L3921">
        <v>90821.78</v>
      </c>
      <c r="M3921">
        <v>86280.69</v>
      </c>
      <c r="N3921" t="s">
        <v>41</v>
      </c>
      <c r="O3921">
        <v>2025</v>
      </c>
    </row>
    <row r="3922" spans="1:15" x14ac:dyDescent="0.3">
      <c r="A3922" t="s">
        <v>4007</v>
      </c>
      <c r="B3922" t="s">
        <v>33</v>
      </c>
      <c r="C3922" t="s">
        <v>34</v>
      </c>
      <c r="D3922" t="s">
        <v>85</v>
      </c>
      <c r="E3922" t="s">
        <v>81</v>
      </c>
      <c r="F3922" s="1">
        <v>45366</v>
      </c>
      <c r="G3922">
        <v>9</v>
      </c>
      <c r="H3922">
        <v>13188.91</v>
      </c>
      <c r="I3922">
        <v>5</v>
      </c>
      <c r="J3922" t="s">
        <v>40</v>
      </c>
      <c r="K3922">
        <v>5935.01</v>
      </c>
      <c r="L3922">
        <v>118700.19</v>
      </c>
      <c r="M3922">
        <v>112765.18</v>
      </c>
      <c r="N3922" t="s">
        <v>83</v>
      </c>
      <c r="O3922">
        <v>2024</v>
      </c>
    </row>
    <row r="3923" spans="1:15" x14ac:dyDescent="0.3">
      <c r="A3923" t="s">
        <v>4008</v>
      </c>
      <c r="B3923" t="s">
        <v>33</v>
      </c>
      <c r="C3923" t="s">
        <v>54</v>
      </c>
      <c r="D3923" t="s">
        <v>137</v>
      </c>
      <c r="E3923" t="s">
        <v>30</v>
      </c>
      <c r="F3923" s="1">
        <v>45771</v>
      </c>
      <c r="G3923">
        <v>4</v>
      </c>
      <c r="H3923">
        <v>972.33</v>
      </c>
      <c r="I3923">
        <v>20</v>
      </c>
      <c r="J3923" t="s">
        <v>71</v>
      </c>
      <c r="K3923">
        <v>777.86</v>
      </c>
      <c r="L3923">
        <v>3889.32</v>
      </c>
      <c r="M3923">
        <v>3111.46</v>
      </c>
      <c r="N3923" t="s">
        <v>27</v>
      </c>
      <c r="O3923">
        <v>2025</v>
      </c>
    </row>
    <row r="3924" spans="1:15" x14ac:dyDescent="0.3">
      <c r="A3924" t="s">
        <v>4009</v>
      </c>
      <c r="B3924" t="s">
        <v>38</v>
      </c>
      <c r="C3924" t="s">
        <v>34</v>
      </c>
      <c r="D3924" t="s">
        <v>66</v>
      </c>
      <c r="E3924" t="s">
        <v>19</v>
      </c>
      <c r="F3924" s="1">
        <v>45884</v>
      </c>
      <c r="G3924">
        <v>6</v>
      </c>
      <c r="H3924">
        <v>43636.41</v>
      </c>
      <c r="I3924">
        <v>0</v>
      </c>
      <c r="J3924" t="s">
        <v>71</v>
      </c>
      <c r="K3924">
        <v>0</v>
      </c>
      <c r="L3924">
        <v>261818.46</v>
      </c>
      <c r="M3924">
        <v>261818.46</v>
      </c>
      <c r="N3924" t="s">
        <v>21</v>
      </c>
      <c r="O3924">
        <v>2025</v>
      </c>
    </row>
    <row r="3925" spans="1:15" x14ac:dyDescent="0.3">
      <c r="A3925" t="s">
        <v>4010</v>
      </c>
      <c r="B3925" t="s">
        <v>43</v>
      </c>
      <c r="C3925" t="s">
        <v>54</v>
      </c>
      <c r="D3925" t="s">
        <v>55</v>
      </c>
      <c r="E3925" t="s">
        <v>30</v>
      </c>
      <c r="F3925" s="1">
        <v>45567</v>
      </c>
      <c r="G3925">
        <v>2</v>
      </c>
      <c r="H3925">
        <v>1212.25</v>
      </c>
      <c r="I3925">
        <v>15</v>
      </c>
      <c r="J3925" t="s">
        <v>71</v>
      </c>
      <c r="K3925">
        <v>363.68</v>
      </c>
      <c r="L3925">
        <v>2424.5</v>
      </c>
      <c r="M3925">
        <v>2060.8200000000002</v>
      </c>
      <c r="N3925" t="s">
        <v>57</v>
      </c>
      <c r="O3925">
        <v>2024</v>
      </c>
    </row>
    <row r="3926" spans="1:15" x14ac:dyDescent="0.3">
      <c r="A3926" t="s">
        <v>4011</v>
      </c>
      <c r="B3926" t="s">
        <v>114</v>
      </c>
      <c r="C3926" t="s">
        <v>34</v>
      </c>
      <c r="D3926" t="s">
        <v>35</v>
      </c>
      <c r="E3926" t="s">
        <v>56</v>
      </c>
      <c r="F3926" s="1">
        <v>45515</v>
      </c>
      <c r="G3926">
        <v>9</v>
      </c>
      <c r="H3926">
        <v>25160.6</v>
      </c>
      <c r="I3926">
        <v>10</v>
      </c>
      <c r="J3926" t="s">
        <v>26</v>
      </c>
      <c r="K3926">
        <v>22644.54</v>
      </c>
      <c r="L3926">
        <v>226445.4</v>
      </c>
      <c r="M3926">
        <v>203800.86</v>
      </c>
      <c r="N3926" t="s">
        <v>21</v>
      </c>
      <c r="O3926">
        <v>2024</v>
      </c>
    </row>
    <row r="3927" spans="1:15" x14ac:dyDescent="0.3">
      <c r="A3927" t="s">
        <v>4012</v>
      </c>
      <c r="B3927" t="s">
        <v>38</v>
      </c>
      <c r="C3927" t="s">
        <v>90</v>
      </c>
      <c r="D3927" t="s">
        <v>152</v>
      </c>
      <c r="E3927" t="s">
        <v>56</v>
      </c>
      <c r="F3927" s="1">
        <v>45397</v>
      </c>
      <c r="G3927">
        <v>3</v>
      </c>
      <c r="H3927">
        <v>9911.92</v>
      </c>
      <c r="I3927">
        <v>20</v>
      </c>
      <c r="J3927" t="s">
        <v>82</v>
      </c>
      <c r="K3927">
        <v>5947.15</v>
      </c>
      <c r="L3927">
        <v>29735.759999999998</v>
      </c>
      <c r="M3927">
        <v>23788.61</v>
      </c>
      <c r="N3927" t="s">
        <v>27</v>
      </c>
      <c r="O3927">
        <v>2024</v>
      </c>
    </row>
    <row r="3928" spans="1:15" x14ac:dyDescent="0.3">
      <c r="A3928" t="s">
        <v>4013</v>
      </c>
      <c r="B3928" t="s">
        <v>29</v>
      </c>
      <c r="C3928" t="s">
        <v>62</v>
      </c>
      <c r="D3928" t="s">
        <v>63</v>
      </c>
      <c r="E3928" t="s">
        <v>50</v>
      </c>
      <c r="F3928" s="1">
        <v>45306</v>
      </c>
      <c r="G3928">
        <v>9</v>
      </c>
      <c r="H3928">
        <v>1639.33</v>
      </c>
      <c r="I3928">
        <v>15</v>
      </c>
      <c r="J3928" t="s">
        <v>26</v>
      </c>
      <c r="K3928">
        <v>2213.1</v>
      </c>
      <c r="L3928">
        <v>14753.97</v>
      </c>
      <c r="M3928">
        <v>12540.87</v>
      </c>
      <c r="N3928" t="s">
        <v>116</v>
      </c>
      <c r="O3928">
        <v>2024</v>
      </c>
    </row>
    <row r="3929" spans="1:15" x14ac:dyDescent="0.3">
      <c r="A3929" t="s">
        <v>4014</v>
      </c>
      <c r="B3929" t="s">
        <v>16</v>
      </c>
      <c r="C3929" t="s">
        <v>34</v>
      </c>
      <c r="D3929" t="s">
        <v>80</v>
      </c>
      <c r="E3929" t="s">
        <v>81</v>
      </c>
      <c r="F3929" s="1">
        <v>45883</v>
      </c>
      <c r="G3929">
        <v>3</v>
      </c>
      <c r="H3929">
        <v>6342.42</v>
      </c>
      <c r="I3929">
        <v>20</v>
      </c>
      <c r="J3929" t="s">
        <v>36</v>
      </c>
      <c r="K3929">
        <v>3805.45</v>
      </c>
      <c r="L3929">
        <v>19027.259999999998</v>
      </c>
      <c r="M3929">
        <v>15221.81</v>
      </c>
      <c r="N3929" t="s">
        <v>21</v>
      </c>
      <c r="O3929">
        <v>2025</v>
      </c>
    </row>
    <row r="3930" spans="1:15" x14ac:dyDescent="0.3">
      <c r="A3930" t="s">
        <v>4015</v>
      </c>
      <c r="B3930" t="s">
        <v>89</v>
      </c>
      <c r="C3930" t="s">
        <v>34</v>
      </c>
      <c r="D3930" t="s">
        <v>66</v>
      </c>
      <c r="E3930" t="s">
        <v>50</v>
      </c>
      <c r="F3930" s="1">
        <v>45405</v>
      </c>
      <c r="G3930">
        <v>1</v>
      </c>
      <c r="H3930">
        <v>44879.76</v>
      </c>
      <c r="I3930">
        <v>20</v>
      </c>
      <c r="J3930" t="s">
        <v>36</v>
      </c>
      <c r="K3930">
        <v>8975.9500000000007</v>
      </c>
      <c r="L3930">
        <v>44879.76</v>
      </c>
      <c r="M3930">
        <v>35903.81</v>
      </c>
      <c r="N3930" t="s">
        <v>27</v>
      </c>
      <c r="O3930">
        <v>2024</v>
      </c>
    </row>
    <row r="3931" spans="1:15" x14ac:dyDescent="0.3">
      <c r="A3931" t="s">
        <v>4016</v>
      </c>
      <c r="B3931" t="s">
        <v>47</v>
      </c>
      <c r="C3931" t="s">
        <v>54</v>
      </c>
      <c r="D3931" t="s">
        <v>55</v>
      </c>
      <c r="E3931" t="s">
        <v>50</v>
      </c>
      <c r="F3931" s="1">
        <v>45527</v>
      </c>
      <c r="G3931">
        <v>7</v>
      </c>
      <c r="H3931">
        <v>1374.48</v>
      </c>
      <c r="I3931">
        <v>10</v>
      </c>
      <c r="J3931" t="s">
        <v>71</v>
      </c>
      <c r="K3931">
        <v>962.14</v>
      </c>
      <c r="L3931">
        <v>9621.36</v>
      </c>
      <c r="M3931">
        <v>8659.2199999999993</v>
      </c>
      <c r="N3931" t="s">
        <v>21</v>
      </c>
      <c r="O3931">
        <v>2024</v>
      </c>
    </row>
    <row r="3932" spans="1:15" x14ac:dyDescent="0.3">
      <c r="A3932" t="s">
        <v>4017</v>
      </c>
      <c r="B3932" t="s">
        <v>53</v>
      </c>
      <c r="C3932" t="s">
        <v>54</v>
      </c>
      <c r="D3932" t="s">
        <v>137</v>
      </c>
      <c r="E3932" t="s">
        <v>50</v>
      </c>
      <c r="F3932" s="1">
        <v>45775</v>
      </c>
      <c r="G3932">
        <v>3</v>
      </c>
      <c r="H3932">
        <v>811.48</v>
      </c>
      <c r="I3932">
        <v>20</v>
      </c>
      <c r="J3932" t="s">
        <v>26</v>
      </c>
      <c r="K3932">
        <v>486.89</v>
      </c>
      <c r="L3932">
        <v>2434.44</v>
      </c>
      <c r="M3932">
        <v>1947.55</v>
      </c>
      <c r="N3932" t="s">
        <v>27</v>
      </c>
      <c r="O3932">
        <v>2025</v>
      </c>
    </row>
    <row r="3933" spans="1:15" x14ac:dyDescent="0.3">
      <c r="A3933" t="s">
        <v>4018</v>
      </c>
      <c r="B3933" t="s">
        <v>65</v>
      </c>
      <c r="C3933" t="s">
        <v>90</v>
      </c>
      <c r="D3933" t="s">
        <v>105</v>
      </c>
      <c r="E3933" t="s">
        <v>19</v>
      </c>
      <c r="F3933" s="1">
        <v>45849</v>
      </c>
      <c r="G3933">
        <v>8</v>
      </c>
      <c r="H3933">
        <v>3371.71</v>
      </c>
      <c r="I3933">
        <v>0</v>
      </c>
      <c r="J3933" t="s">
        <v>36</v>
      </c>
      <c r="K3933">
        <v>0</v>
      </c>
      <c r="L3933">
        <v>26973.68</v>
      </c>
      <c r="M3933">
        <v>26973.68</v>
      </c>
      <c r="N3933" t="s">
        <v>122</v>
      </c>
      <c r="O3933">
        <v>2025</v>
      </c>
    </row>
    <row r="3934" spans="1:15" x14ac:dyDescent="0.3">
      <c r="A3934" t="s">
        <v>4019</v>
      </c>
      <c r="B3934" t="s">
        <v>89</v>
      </c>
      <c r="C3934" t="s">
        <v>90</v>
      </c>
      <c r="D3934" t="s">
        <v>107</v>
      </c>
      <c r="E3934" t="s">
        <v>81</v>
      </c>
      <c r="F3934" s="1">
        <v>45506</v>
      </c>
      <c r="G3934">
        <v>7</v>
      </c>
      <c r="H3934">
        <v>11778.74</v>
      </c>
      <c r="I3934">
        <v>5</v>
      </c>
      <c r="J3934" t="s">
        <v>31</v>
      </c>
      <c r="K3934">
        <v>4122.5600000000004</v>
      </c>
      <c r="L3934">
        <v>82451.179999999993</v>
      </c>
      <c r="M3934">
        <v>78328.62</v>
      </c>
      <c r="N3934" t="s">
        <v>21</v>
      </c>
      <c r="O3934">
        <v>2024</v>
      </c>
    </row>
    <row r="3935" spans="1:15" x14ac:dyDescent="0.3">
      <c r="A3935" t="s">
        <v>4020</v>
      </c>
      <c r="B3935" t="s">
        <v>33</v>
      </c>
      <c r="C3935" t="s">
        <v>54</v>
      </c>
      <c r="D3935" t="s">
        <v>137</v>
      </c>
      <c r="E3935" t="s">
        <v>19</v>
      </c>
      <c r="F3935" s="1">
        <v>45992</v>
      </c>
      <c r="G3935">
        <v>1</v>
      </c>
      <c r="H3935">
        <v>895.53</v>
      </c>
      <c r="I3935">
        <v>10</v>
      </c>
      <c r="J3935" t="s">
        <v>82</v>
      </c>
      <c r="K3935">
        <v>89.55</v>
      </c>
      <c r="L3935">
        <v>895.53</v>
      </c>
      <c r="M3935">
        <v>805.98</v>
      </c>
      <c r="N3935" t="s">
        <v>51</v>
      </c>
      <c r="O3935">
        <v>2025</v>
      </c>
    </row>
    <row r="3936" spans="1:15" x14ac:dyDescent="0.3">
      <c r="A3936" t="s">
        <v>4021</v>
      </c>
      <c r="B3936" t="s">
        <v>65</v>
      </c>
      <c r="C3936" t="s">
        <v>17</v>
      </c>
      <c r="D3936" t="s">
        <v>18</v>
      </c>
      <c r="E3936" t="s">
        <v>25</v>
      </c>
      <c r="F3936" s="1">
        <v>45997</v>
      </c>
      <c r="G3936">
        <v>9</v>
      </c>
      <c r="H3936">
        <v>78088.429999999993</v>
      </c>
      <c r="I3936">
        <v>5</v>
      </c>
      <c r="J3936" t="s">
        <v>40</v>
      </c>
      <c r="K3936">
        <v>35139.79</v>
      </c>
      <c r="L3936">
        <v>702795.87</v>
      </c>
      <c r="M3936">
        <v>667656.07999999996</v>
      </c>
      <c r="N3936" t="s">
        <v>51</v>
      </c>
      <c r="O3936">
        <v>2025</v>
      </c>
    </row>
    <row r="3937" spans="1:15" x14ac:dyDescent="0.3">
      <c r="A3937" t="s">
        <v>4022</v>
      </c>
      <c r="B3937" t="s">
        <v>114</v>
      </c>
      <c r="C3937" t="s">
        <v>34</v>
      </c>
      <c r="D3937" t="s">
        <v>35</v>
      </c>
      <c r="E3937" t="s">
        <v>50</v>
      </c>
      <c r="F3937" s="1">
        <v>45998</v>
      </c>
      <c r="G3937">
        <v>1</v>
      </c>
      <c r="H3937">
        <v>24838.45</v>
      </c>
      <c r="I3937">
        <v>15</v>
      </c>
      <c r="J3937" t="s">
        <v>20</v>
      </c>
      <c r="K3937">
        <v>3725.77</v>
      </c>
      <c r="L3937">
        <v>24838.45</v>
      </c>
      <c r="M3937">
        <v>21112.68</v>
      </c>
      <c r="N3937" t="s">
        <v>51</v>
      </c>
      <c r="O3937">
        <v>2025</v>
      </c>
    </row>
    <row r="3938" spans="1:15" x14ac:dyDescent="0.3">
      <c r="A3938" t="s">
        <v>4023</v>
      </c>
      <c r="B3938" t="s">
        <v>53</v>
      </c>
      <c r="C3938" t="s">
        <v>17</v>
      </c>
      <c r="D3938" t="s">
        <v>157</v>
      </c>
      <c r="E3938" t="s">
        <v>50</v>
      </c>
      <c r="F3938" s="1">
        <v>45621</v>
      </c>
      <c r="G3938">
        <v>1</v>
      </c>
      <c r="H3938">
        <v>7225.57</v>
      </c>
      <c r="I3938">
        <v>20</v>
      </c>
      <c r="J3938" t="s">
        <v>20</v>
      </c>
      <c r="K3938">
        <v>1445.11</v>
      </c>
      <c r="L3938">
        <v>7225.57</v>
      </c>
      <c r="M3938">
        <v>5780.46</v>
      </c>
      <c r="N3938" t="s">
        <v>96</v>
      </c>
      <c r="O3938">
        <v>2024</v>
      </c>
    </row>
    <row r="3939" spans="1:15" x14ac:dyDescent="0.3">
      <c r="A3939" t="s">
        <v>4024</v>
      </c>
      <c r="B3939" t="s">
        <v>16</v>
      </c>
      <c r="C3939" t="s">
        <v>34</v>
      </c>
      <c r="D3939" t="s">
        <v>80</v>
      </c>
      <c r="E3939" t="s">
        <v>50</v>
      </c>
      <c r="F3939" s="1">
        <v>45991</v>
      </c>
      <c r="G3939">
        <v>3</v>
      </c>
      <c r="H3939">
        <v>7387.31</v>
      </c>
      <c r="I3939">
        <v>10</v>
      </c>
      <c r="J3939" t="s">
        <v>40</v>
      </c>
      <c r="K3939">
        <v>2216.19</v>
      </c>
      <c r="L3939">
        <v>22161.93</v>
      </c>
      <c r="M3939">
        <v>19945.740000000002</v>
      </c>
      <c r="N3939" t="s">
        <v>96</v>
      </c>
      <c r="O3939">
        <v>2025</v>
      </c>
    </row>
    <row r="3940" spans="1:15" x14ac:dyDescent="0.3">
      <c r="A3940" t="s">
        <v>4025</v>
      </c>
      <c r="B3940" t="s">
        <v>33</v>
      </c>
      <c r="C3940" t="s">
        <v>34</v>
      </c>
      <c r="D3940" t="s">
        <v>35</v>
      </c>
      <c r="E3940" t="s">
        <v>44</v>
      </c>
      <c r="F3940" s="1">
        <v>45880</v>
      </c>
      <c r="G3940">
        <v>2</v>
      </c>
      <c r="H3940">
        <v>28628.82</v>
      </c>
      <c r="I3940">
        <v>20</v>
      </c>
      <c r="J3940" t="s">
        <v>20</v>
      </c>
      <c r="K3940">
        <v>11451.53</v>
      </c>
      <c r="L3940">
        <v>57257.64</v>
      </c>
      <c r="M3940">
        <v>45806.11</v>
      </c>
      <c r="N3940" t="s">
        <v>21</v>
      </c>
      <c r="O3940">
        <v>2025</v>
      </c>
    </row>
    <row r="3941" spans="1:15" x14ac:dyDescent="0.3">
      <c r="A3941" t="s">
        <v>4026</v>
      </c>
      <c r="B3941" t="s">
        <v>109</v>
      </c>
      <c r="C3941" t="s">
        <v>34</v>
      </c>
      <c r="D3941" t="s">
        <v>66</v>
      </c>
      <c r="E3941" t="s">
        <v>44</v>
      </c>
      <c r="F3941" s="1">
        <v>45717</v>
      </c>
      <c r="G3941">
        <v>7</v>
      </c>
      <c r="H3941">
        <v>38211.14</v>
      </c>
      <c r="I3941">
        <v>15</v>
      </c>
      <c r="J3941" t="s">
        <v>82</v>
      </c>
      <c r="K3941">
        <v>40121.699999999997</v>
      </c>
      <c r="L3941">
        <v>267477.98</v>
      </c>
      <c r="M3941">
        <v>227356.28</v>
      </c>
      <c r="N3941" t="s">
        <v>83</v>
      </c>
      <c r="O3941">
        <v>2025</v>
      </c>
    </row>
    <row r="3942" spans="1:15" x14ac:dyDescent="0.3">
      <c r="A3942" t="s">
        <v>4027</v>
      </c>
      <c r="B3942" t="s">
        <v>23</v>
      </c>
      <c r="C3942" t="s">
        <v>90</v>
      </c>
      <c r="D3942" t="s">
        <v>91</v>
      </c>
      <c r="E3942" t="s">
        <v>44</v>
      </c>
      <c r="F3942" s="1">
        <v>45984</v>
      </c>
      <c r="G3942">
        <v>5</v>
      </c>
      <c r="H3942">
        <v>1488.82</v>
      </c>
      <c r="I3942">
        <v>5</v>
      </c>
      <c r="J3942" t="s">
        <v>71</v>
      </c>
      <c r="K3942">
        <v>372.21</v>
      </c>
      <c r="L3942">
        <v>7444.1</v>
      </c>
      <c r="M3942">
        <v>7071.89</v>
      </c>
      <c r="N3942" t="s">
        <v>96</v>
      </c>
      <c r="O3942">
        <v>2025</v>
      </c>
    </row>
    <row r="3943" spans="1:15" x14ac:dyDescent="0.3">
      <c r="A3943" t="s">
        <v>4028</v>
      </c>
      <c r="B3943" t="s">
        <v>33</v>
      </c>
      <c r="C3943" t="s">
        <v>17</v>
      </c>
      <c r="D3943" t="s">
        <v>39</v>
      </c>
      <c r="E3943" t="s">
        <v>19</v>
      </c>
      <c r="F3943" s="1">
        <v>45357</v>
      </c>
      <c r="G3943">
        <v>1</v>
      </c>
      <c r="H3943">
        <v>17952.91</v>
      </c>
      <c r="I3943">
        <v>15</v>
      </c>
      <c r="J3943" t="s">
        <v>40</v>
      </c>
      <c r="K3943">
        <v>2692.94</v>
      </c>
      <c r="L3943">
        <v>17952.91</v>
      </c>
      <c r="M3943">
        <v>15259.97</v>
      </c>
      <c r="N3943" t="s">
        <v>83</v>
      </c>
      <c r="O3943">
        <v>2024</v>
      </c>
    </row>
    <row r="3944" spans="1:15" x14ac:dyDescent="0.3">
      <c r="A3944" t="s">
        <v>4029</v>
      </c>
      <c r="B3944" t="s">
        <v>93</v>
      </c>
      <c r="C3944" t="s">
        <v>90</v>
      </c>
      <c r="D3944" t="s">
        <v>115</v>
      </c>
      <c r="E3944" t="s">
        <v>56</v>
      </c>
      <c r="F3944" s="1">
        <v>45323</v>
      </c>
      <c r="G3944">
        <v>9</v>
      </c>
      <c r="H3944">
        <v>7774.79</v>
      </c>
      <c r="I3944">
        <v>10</v>
      </c>
      <c r="J3944" t="s">
        <v>26</v>
      </c>
      <c r="K3944">
        <v>6997.31</v>
      </c>
      <c r="L3944">
        <v>69973.11</v>
      </c>
      <c r="M3944">
        <v>62975.8</v>
      </c>
      <c r="N3944" t="s">
        <v>41</v>
      </c>
      <c r="O3944">
        <v>2024</v>
      </c>
    </row>
    <row r="3945" spans="1:15" x14ac:dyDescent="0.3">
      <c r="A3945" t="s">
        <v>4030</v>
      </c>
      <c r="B3945" t="s">
        <v>47</v>
      </c>
      <c r="C3945" t="s">
        <v>54</v>
      </c>
      <c r="D3945" t="s">
        <v>70</v>
      </c>
      <c r="E3945" t="s">
        <v>19</v>
      </c>
      <c r="F3945" s="1">
        <v>45793</v>
      </c>
      <c r="G3945">
        <v>7</v>
      </c>
      <c r="H3945">
        <v>2437.08</v>
      </c>
      <c r="I3945">
        <v>20</v>
      </c>
      <c r="J3945" t="s">
        <v>82</v>
      </c>
      <c r="K3945">
        <v>3411.91</v>
      </c>
      <c r="L3945">
        <v>17059.560000000001</v>
      </c>
      <c r="M3945">
        <v>13647.65</v>
      </c>
      <c r="N3945" t="s">
        <v>101</v>
      </c>
      <c r="O3945">
        <v>2025</v>
      </c>
    </row>
    <row r="3946" spans="1:15" x14ac:dyDescent="0.3">
      <c r="A3946" t="s">
        <v>4031</v>
      </c>
      <c r="B3946" t="s">
        <v>65</v>
      </c>
      <c r="C3946" t="s">
        <v>90</v>
      </c>
      <c r="D3946" t="s">
        <v>107</v>
      </c>
      <c r="E3946" t="s">
        <v>25</v>
      </c>
      <c r="F3946" s="1">
        <v>45594</v>
      </c>
      <c r="G3946">
        <v>2</v>
      </c>
      <c r="H3946">
        <v>12272.75</v>
      </c>
      <c r="I3946">
        <v>0</v>
      </c>
      <c r="J3946" t="s">
        <v>36</v>
      </c>
      <c r="K3946">
        <v>0</v>
      </c>
      <c r="L3946">
        <v>24545.5</v>
      </c>
      <c r="M3946">
        <v>24545.5</v>
      </c>
      <c r="N3946" t="s">
        <v>57</v>
      </c>
      <c r="O3946">
        <v>2024</v>
      </c>
    </row>
    <row r="3947" spans="1:15" x14ac:dyDescent="0.3">
      <c r="A3947" t="s">
        <v>4032</v>
      </c>
      <c r="B3947" t="s">
        <v>61</v>
      </c>
      <c r="C3947" t="s">
        <v>62</v>
      </c>
      <c r="D3947" t="s">
        <v>95</v>
      </c>
      <c r="E3947" t="s">
        <v>81</v>
      </c>
      <c r="F3947" s="1">
        <v>45922</v>
      </c>
      <c r="G3947">
        <v>10</v>
      </c>
      <c r="H3947">
        <v>915.64</v>
      </c>
      <c r="I3947">
        <v>15</v>
      </c>
      <c r="J3947" t="s">
        <v>31</v>
      </c>
      <c r="K3947">
        <v>1373.46</v>
      </c>
      <c r="L3947">
        <v>9156.4</v>
      </c>
      <c r="M3947">
        <v>7782.94</v>
      </c>
      <c r="N3947" t="s">
        <v>86</v>
      </c>
      <c r="O3947">
        <v>2025</v>
      </c>
    </row>
    <row r="3948" spans="1:15" x14ac:dyDescent="0.3">
      <c r="A3948" t="s">
        <v>4033</v>
      </c>
      <c r="B3948" t="s">
        <v>47</v>
      </c>
      <c r="C3948" t="s">
        <v>17</v>
      </c>
      <c r="D3948" t="s">
        <v>59</v>
      </c>
      <c r="E3948" t="s">
        <v>19</v>
      </c>
      <c r="F3948" s="1">
        <v>46017</v>
      </c>
      <c r="G3948">
        <v>6</v>
      </c>
      <c r="H3948">
        <v>27310.79</v>
      </c>
      <c r="I3948">
        <v>5</v>
      </c>
      <c r="J3948" t="s">
        <v>36</v>
      </c>
      <c r="K3948">
        <v>8193.24</v>
      </c>
      <c r="L3948">
        <v>163864.74</v>
      </c>
      <c r="M3948">
        <v>155671.5</v>
      </c>
      <c r="N3948" t="s">
        <v>51</v>
      </c>
      <c r="O3948">
        <v>2025</v>
      </c>
    </row>
    <row r="3949" spans="1:15" x14ac:dyDescent="0.3">
      <c r="A3949" t="s">
        <v>4034</v>
      </c>
      <c r="B3949" t="s">
        <v>61</v>
      </c>
      <c r="C3949" t="s">
        <v>34</v>
      </c>
      <c r="D3949" t="s">
        <v>85</v>
      </c>
      <c r="E3949" t="s">
        <v>44</v>
      </c>
      <c r="F3949" s="1">
        <v>45624</v>
      </c>
      <c r="G3949">
        <v>9</v>
      </c>
      <c r="H3949">
        <v>14643.6</v>
      </c>
      <c r="I3949">
        <v>5</v>
      </c>
      <c r="J3949" t="s">
        <v>26</v>
      </c>
      <c r="K3949">
        <v>6589.62</v>
      </c>
      <c r="L3949">
        <v>131792.4</v>
      </c>
      <c r="M3949">
        <v>125202.78</v>
      </c>
      <c r="N3949" t="s">
        <v>96</v>
      </c>
      <c r="O3949">
        <v>2024</v>
      </c>
    </row>
    <row r="3950" spans="1:15" x14ac:dyDescent="0.3">
      <c r="A3950" t="s">
        <v>4035</v>
      </c>
      <c r="B3950" t="s">
        <v>61</v>
      </c>
      <c r="C3950" t="s">
        <v>90</v>
      </c>
      <c r="D3950" t="s">
        <v>152</v>
      </c>
      <c r="E3950" t="s">
        <v>19</v>
      </c>
      <c r="F3950" s="1">
        <v>45650</v>
      </c>
      <c r="G3950">
        <v>5</v>
      </c>
      <c r="H3950">
        <v>11935.47</v>
      </c>
      <c r="I3950">
        <v>10</v>
      </c>
      <c r="J3950" t="s">
        <v>20</v>
      </c>
      <c r="K3950">
        <v>5967.74</v>
      </c>
      <c r="L3950">
        <v>59677.35</v>
      </c>
      <c r="M3950">
        <v>53709.61</v>
      </c>
      <c r="N3950" t="s">
        <v>51</v>
      </c>
      <c r="O3950">
        <v>2024</v>
      </c>
    </row>
    <row r="3951" spans="1:15" x14ac:dyDescent="0.3">
      <c r="A3951" t="s">
        <v>4036</v>
      </c>
      <c r="B3951" t="s">
        <v>53</v>
      </c>
      <c r="C3951" t="s">
        <v>90</v>
      </c>
      <c r="D3951" t="s">
        <v>152</v>
      </c>
      <c r="E3951" t="s">
        <v>19</v>
      </c>
      <c r="F3951" s="1">
        <v>45902</v>
      </c>
      <c r="G3951">
        <v>6</v>
      </c>
      <c r="H3951">
        <v>9116.81</v>
      </c>
      <c r="I3951">
        <v>0</v>
      </c>
      <c r="J3951" t="s">
        <v>20</v>
      </c>
      <c r="K3951">
        <v>0</v>
      </c>
      <c r="L3951">
        <v>54700.86</v>
      </c>
      <c r="M3951">
        <v>54700.86</v>
      </c>
      <c r="N3951" t="s">
        <v>86</v>
      </c>
      <c r="O3951">
        <v>2025</v>
      </c>
    </row>
    <row r="3952" spans="1:15" x14ac:dyDescent="0.3">
      <c r="A3952" t="s">
        <v>4037</v>
      </c>
      <c r="B3952" t="s">
        <v>114</v>
      </c>
      <c r="C3952" t="s">
        <v>17</v>
      </c>
      <c r="D3952" t="s">
        <v>18</v>
      </c>
      <c r="E3952" t="s">
        <v>19</v>
      </c>
      <c r="F3952" s="1">
        <v>45624</v>
      </c>
      <c r="G3952">
        <v>6</v>
      </c>
      <c r="H3952">
        <v>73404.44</v>
      </c>
      <c r="I3952">
        <v>15</v>
      </c>
      <c r="J3952" t="s">
        <v>36</v>
      </c>
      <c r="K3952">
        <v>66064</v>
      </c>
      <c r="L3952">
        <v>440426.64</v>
      </c>
      <c r="M3952">
        <v>374362.64</v>
      </c>
      <c r="N3952" t="s">
        <v>96</v>
      </c>
      <c r="O3952">
        <v>2024</v>
      </c>
    </row>
    <row r="3953" spans="1:15" x14ac:dyDescent="0.3">
      <c r="A3953" t="s">
        <v>4038</v>
      </c>
      <c r="B3953" t="s">
        <v>89</v>
      </c>
      <c r="C3953" t="s">
        <v>34</v>
      </c>
      <c r="D3953" t="s">
        <v>35</v>
      </c>
      <c r="E3953" t="s">
        <v>30</v>
      </c>
      <c r="F3953" s="1">
        <v>45703</v>
      </c>
      <c r="G3953">
        <v>1</v>
      </c>
      <c r="H3953">
        <v>23881.56</v>
      </c>
      <c r="I3953">
        <v>15</v>
      </c>
      <c r="J3953" t="s">
        <v>36</v>
      </c>
      <c r="K3953">
        <v>3582.23</v>
      </c>
      <c r="L3953">
        <v>23881.56</v>
      </c>
      <c r="M3953">
        <v>20299.330000000002</v>
      </c>
      <c r="N3953" t="s">
        <v>41</v>
      </c>
      <c r="O3953">
        <v>2025</v>
      </c>
    </row>
    <row r="3954" spans="1:15" x14ac:dyDescent="0.3">
      <c r="A3954" t="s">
        <v>4039</v>
      </c>
      <c r="B3954" t="s">
        <v>93</v>
      </c>
      <c r="C3954" t="s">
        <v>62</v>
      </c>
      <c r="D3954" t="s">
        <v>132</v>
      </c>
      <c r="E3954" t="s">
        <v>25</v>
      </c>
      <c r="F3954" s="1">
        <v>45312</v>
      </c>
      <c r="G3954">
        <v>5</v>
      </c>
      <c r="H3954">
        <v>2817.8</v>
      </c>
      <c r="I3954">
        <v>10</v>
      </c>
      <c r="J3954" t="s">
        <v>20</v>
      </c>
      <c r="K3954">
        <v>1408.9</v>
      </c>
      <c r="L3954">
        <v>14089</v>
      </c>
      <c r="M3954">
        <v>12680.1</v>
      </c>
      <c r="N3954" t="s">
        <v>116</v>
      </c>
      <c r="O3954">
        <v>2024</v>
      </c>
    </row>
    <row r="3955" spans="1:15" x14ac:dyDescent="0.3">
      <c r="A3955" t="s">
        <v>4040</v>
      </c>
      <c r="B3955" t="s">
        <v>109</v>
      </c>
      <c r="C3955" t="s">
        <v>54</v>
      </c>
      <c r="D3955" t="s">
        <v>77</v>
      </c>
      <c r="E3955" t="s">
        <v>30</v>
      </c>
      <c r="F3955" s="1">
        <v>45412</v>
      </c>
      <c r="G3955">
        <v>9</v>
      </c>
      <c r="H3955">
        <v>5039.71</v>
      </c>
      <c r="I3955">
        <v>10</v>
      </c>
      <c r="J3955" t="s">
        <v>71</v>
      </c>
      <c r="K3955">
        <v>4535.74</v>
      </c>
      <c r="L3955">
        <v>45357.39</v>
      </c>
      <c r="M3955">
        <v>40821.65</v>
      </c>
      <c r="N3955" t="s">
        <v>27</v>
      </c>
      <c r="O3955">
        <v>2024</v>
      </c>
    </row>
    <row r="3956" spans="1:15" x14ac:dyDescent="0.3">
      <c r="A3956" t="s">
        <v>4041</v>
      </c>
      <c r="B3956" t="s">
        <v>93</v>
      </c>
      <c r="C3956" t="s">
        <v>34</v>
      </c>
      <c r="D3956" t="s">
        <v>85</v>
      </c>
      <c r="E3956" t="s">
        <v>50</v>
      </c>
      <c r="F3956" s="1">
        <v>46011</v>
      </c>
      <c r="G3956">
        <v>6</v>
      </c>
      <c r="H3956">
        <v>15046.76</v>
      </c>
      <c r="I3956">
        <v>10</v>
      </c>
      <c r="J3956" t="s">
        <v>45</v>
      </c>
      <c r="K3956">
        <v>9028.06</v>
      </c>
      <c r="L3956">
        <v>90280.56</v>
      </c>
      <c r="M3956">
        <v>81252.5</v>
      </c>
      <c r="N3956" t="s">
        <v>51</v>
      </c>
      <c r="O3956">
        <v>2025</v>
      </c>
    </row>
    <row r="3957" spans="1:15" x14ac:dyDescent="0.3">
      <c r="A3957" t="s">
        <v>4042</v>
      </c>
      <c r="B3957" t="s">
        <v>114</v>
      </c>
      <c r="C3957" t="s">
        <v>62</v>
      </c>
      <c r="D3957" t="s">
        <v>132</v>
      </c>
      <c r="E3957" t="s">
        <v>50</v>
      </c>
      <c r="F3957" s="1">
        <v>45625</v>
      </c>
      <c r="G3957">
        <v>6</v>
      </c>
      <c r="H3957">
        <v>2862.43</v>
      </c>
      <c r="I3957">
        <v>15</v>
      </c>
      <c r="J3957" t="s">
        <v>26</v>
      </c>
      <c r="K3957">
        <v>2576.19</v>
      </c>
      <c r="L3957">
        <v>17174.580000000002</v>
      </c>
      <c r="M3957">
        <v>14598.39</v>
      </c>
      <c r="N3957" t="s">
        <v>96</v>
      </c>
      <c r="O3957">
        <v>2024</v>
      </c>
    </row>
    <row r="3958" spans="1:15" x14ac:dyDescent="0.3">
      <c r="A3958" t="s">
        <v>4043</v>
      </c>
      <c r="B3958" t="s">
        <v>89</v>
      </c>
      <c r="C3958" t="s">
        <v>62</v>
      </c>
      <c r="D3958" t="s">
        <v>99</v>
      </c>
      <c r="E3958" t="s">
        <v>81</v>
      </c>
      <c r="F3958" s="1">
        <v>45401</v>
      </c>
      <c r="G3958">
        <v>4</v>
      </c>
      <c r="H3958">
        <v>1644.47</v>
      </c>
      <c r="I3958">
        <v>20</v>
      </c>
      <c r="J3958" t="s">
        <v>82</v>
      </c>
      <c r="K3958">
        <v>1315.58</v>
      </c>
      <c r="L3958">
        <v>6577.88</v>
      </c>
      <c r="M3958">
        <v>5262.3</v>
      </c>
      <c r="N3958" t="s">
        <v>27</v>
      </c>
      <c r="O3958">
        <v>2024</v>
      </c>
    </row>
    <row r="3959" spans="1:15" x14ac:dyDescent="0.3">
      <c r="A3959" t="s">
        <v>4044</v>
      </c>
      <c r="B3959" t="s">
        <v>109</v>
      </c>
      <c r="C3959" t="s">
        <v>54</v>
      </c>
      <c r="D3959" t="s">
        <v>55</v>
      </c>
      <c r="E3959" t="s">
        <v>30</v>
      </c>
      <c r="F3959" s="1">
        <v>45631</v>
      </c>
      <c r="G3959">
        <v>8</v>
      </c>
      <c r="H3959">
        <v>1323.85</v>
      </c>
      <c r="I3959">
        <v>5</v>
      </c>
      <c r="J3959" t="s">
        <v>40</v>
      </c>
      <c r="K3959">
        <v>529.54</v>
      </c>
      <c r="L3959">
        <v>10590.8</v>
      </c>
      <c r="M3959">
        <v>10061.26</v>
      </c>
      <c r="N3959" t="s">
        <v>51</v>
      </c>
      <c r="O3959">
        <v>2024</v>
      </c>
    </row>
    <row r="3960" spans="1:15" x14ac:dyDescent="0.3">
      <c r="A3960" t="s">
        <v>4045</v>
      </c>
      <c r="B3960" t="s">
        <v>33</v>
      </c>
      <c r="C3960" t="s">
        <v>90</v>
      </c>
      <c r="D3960" t="s">
        <v>115</v>
      </c>
      <c r="E3960" t="s">
        <v>44</v>
      </c>
      <c r="F3960" s="1">
        <v>45381</v>
      </c>
      <c r="G3960">
        <v>7</v>
      </c>
      <c r="H3960">
        <v>7201.12</v>
      </c>
      <c r="I3960">
        <v>20</v>
      </c>
      <c r="J3960" t="s">
        <v>82</v>
      </c>
      <c r="K3960">
        <v>10081.57</v>
      </c>
      <c r="L3960">
        <v>50407.839999999997</v>
      </c>
      <c r="M3960">
        <v>40326.269999999997</v>
      </c>
      <c r="N3960" t="s">
        <v>83</v>
      </c>
      <c r="O3960">
        <v>2024</v>
      </c>
    </row>
    <row r="3961" spans="1:15" x14ac:dyDescent="0.3">
      <c r="A3961" t="s">
        <v>4046</v>
      </c>
      <c r="B3961" t="s">
        <v>93</v>
      </c>
      <c r="C3961" t="s">
        <v>62</v>
      </c>
      <c r="D3961" t="s">
        <v>132</v>
      </c>
      <c r="E3961" t="s">
        <v>56</v>
      </c>
      <c r="F3961" s="1">
        <v>45403</v>
      </c>
      <c r="G3961">
        <v>6</v>
      </c>
      <c r="H3961">
        <v>2662.06</v>
      </c>
      <c r="I3961">
        <v>5</v>
      </c>
      <c r="J3961" t="s">
        <v>26</v>
      </c>
      <c r="K3961">
        <v>798.62</v>
      </c>
      <c r="L3961">
        <v>15972.36</v>
      </c>
      <c r="M3961">
        <v>15173.74</v>
      </c>
      <c r="N3961" t="s">
        <v>27</v>
      </c>
      <c r="O3961">
        <v>2024</v>
      </c>
    </row>
    <row r="3962" spans="1:15" x14ac:dyDescent="0.3">
      <c r="A3962" t="s">
        <v>4047</v>
      </c>
      <c r="B3962" t="s">
        <v>74</v>
      </c>
      <c r="C3962" t="s">
        <v>34</v>
      </c>
      <c r="D3962" t="s">
        <v>80</v>
      </c>
      <c r="E3962" t="s">
        <v>50</v>
      </c>
      <c r="F3962" s="1">
        <v>45680</v>
      </c>
      <c r="G3962">
        <v>9</v>
      </c>
      <c r="H3962">
        <v>6292.67</v>
      </c>
      <c r="I3962">
        <v>15</v>
      </c>
      <c r="J3962" t="s">
        <v>20</v>
      </c>
      <c r="K3962">
        <v>8495.1</v>
      </c>
      <c r="L3962">
        <v>56634.03</v>
      </c>
      <c r="M3962">
        <v>48138.93</v>
      </c>
      <c r="N3962" t="s">
        <v>116</v>
      </c>
      <c r="O3962">
        <v>2025</v>
      </c>
    </row>
    <row r="3963" spans="1:15" x14ac:dyDescent="0.3">
      <c r="A3963" t="s">
        <v>4048</v>
      </c>
      <c r="B3963" t="s">
        <v>114</v>
      </c>
      <c r="C3963" t="s">
        <v>17</v>
      </c>
      <c r="D3963" t="s">
        <v>18</v>
      </c>
      <c r="E3963" t="s">
        <v>81</v>
      </c>
      <c r="F3963" s="1">
        <v>45570</v>
      </c>
      <c r="G3963">
        <v>8</v>
      </c>
      <c r="H3963">
        <v>72083.14</v>
      </c>
      <c r="I3963">
        <v>0</v>
      </c>
      <c r="J3963" t="s">
        <v>20</v>
      </c>
      <c r="K3963">
        <v>0</v>
      </c>
      <c r="L3963">
        <v>576665.12</v>
      </c>
      <c r="M3963">
        <v>576665.12</v>
      </c>
      <c r="N3963" t="s">
        <v>57</v>
      </c>
      <c r="O3963">
        <v>2024</v>
      </c>
    </row>
    <row r="3964" spans="1:15" x14ac:dyDescent="0.3">
      <c r="A3964" t="s">
        <v>4049</v>
      </c>
      <c r="B3964" t="s">
        <v>61</v>
      </c>
      <c r="C3964" t="s">
        <v>34</v>
      </c>
      <c r="D3964" t="s">
        <v>66</v>
      </c>
      <c r="E3964" t="s">
        <v>81</v>
      </c>
      <c r="F3964" s="1">
        <v>45299</v>
      </c>
      <c r="G3964">
        <v>8</v>
      </c>
      <c r="H3964">
        <v>38807.629999999997</v>
      </c>
      <c r="I3964">
        <v>0</v>
      </c>
      <c r="J3964" t="s">
        <v>20</v>
      </c>
      <c r="K3964">
        <v>0</v>
      </c>
      <c r="L3964">
        <v>310461.03999999998</v>
      </c>
      <c r="M3964">
        <v>310461.03999999998</v>
      </c>
      <c r="N3964" t="s">
        <v>116</v>
      </c>
      <c r="O3964">
        <v>2024</v>
      </c>
    </row>
    <row r="3965" spans="1:15" x14ac:dyDescent="0.3">
      <c r="A3965" t="s">
        <v>4050</v>
      </c>
      <c r="B3965" t="s">
        <v>16</v>
      </c>
      <c r="C3965" t="s">
        <v>17</v>
      </c>
      <c r="D3965" t="s">
        <v>59</v>
      </c>
      <c r="E3965" t="s">
        <v>44</v>
      </c>
      <c r="F3965" s="1">
        <v>45883</v>
      </c>
      <c r="G3965">
        <v>10</v>
      </c>
      <c r="H3965">
        <v>23291.54</v>
      </c>
      <c r="I3965">
        <v>0</v>
      </c>
      <c r="J3965" t="s">
        <v>71</v>
      </c>
      <c r="K3965">
        <v>0</v>
      </c>
      <c r="L3965">
        <v>232915.4</v>
      </c>
      <c r="M3965">
        <v>232915.4</v>
      </c>
      <c r="N3965" t="s">
        <v>21</v>
      </c>
      <c r="O3965">
        <v>2025</v>
      </c>
    </row>
    <row r="3966" spans="1:15" x14ac:dyDescent="0.3">
      <c r="A3966" t="s">
        <v>4051</v>
      </c>
      <c r="B3966" t="s">
        <v>114</v>
      </c>
      <c r="C3966" t="s">
        <v>62</v>
      </c>
      <c r="D3966" t="s">
        <v>99</v>
      </c>
      <c r="E3966" t="s">
        <v>25</v>
      </c>
      <c r="F3966" s="1">
        <v>45508</v>
      </c>
      <c r="G3966">
        <v>9</v>
      </c>
      <c r="H3966">
        <v>1603.78</v>
      </c>
      <c r="I3966">
        <v>20</v>
      </c>
      <c r="J3966" t="s">
        <v>20</v>
      </c>
      <c r="K3966">
        <v>2886.8</v>
      </c>
      <c r="L3966">
        <v>14434.02</v>
      </c>
      <c r="M3966">
        <v>11547.22</v>
      </c>
      <c r="N3966" t="s">
        <v>21</v>
      </c>
      <c r="O3966">
        <v>2024</v>
      </c>
    </row>
    <row r="3967" spans="1:15" x14ac:dyDescent="0.3">
      <c r="A3967" t="s">
        <v>4052</v>
      </c>
      <c r="B3967" t="s">
        <v>114</v>
      </c>
      <c r="C3967" t="s">
        <v>54</v>
      </c>
      <c r="D3967" t="s">
        <v>137</v>
      </c>
      <c r="E3967" t="s">
        <v>44</v>
      </c>
      <c r="F3967" s="1">
        <v>45817</v>
      </c>
      <c r="G3967">
        <v>6</v>
      </c>
      <c r="H3967">
        <v>975.12</v>
      </c>
      <c r="I3967">
        <v>20</v>
      </c>
      <c r="J3967" t="s">
        <v>36</v>
      </c>
      <c r="K3967">
        <v>1170.1400000000001</v>
      </c>
      <c r="L3967">
        <v>5850.72</v>
      </c>
      <c r="M3967">
        <v>4680.58</v>
      </c>
      <c r="N3967" t="s">
        <v>72</v>
      </c>
      <c r="O3967">
        <v>2025</v>
      </c>
    </row>
    <row r="3968" spans="1:15" x14ac:dyDescent="0.3">
      <c r="A3968" t="s">
        <v>4053</v>
      </c>
      <c r="B3968" t="s">
        <v>23</v>
      </c>
      <c r="C3968" t="s">
        <v>54</v>
      </c>
      <c r="D3968" t="s">
        <v>77</v>
      </c>
      <c r="E3968" t="s">
        <v>81</v>
      </c>
      <c r="F3968" s="1">
        <v>45851</v>
      </c>
      <c r="G3968">
        <v>5</v>
      </c>
      <c r="H3968">
        <v>5469.93</v>
      </c>
      <c r="I3968">
        <v>20</v>
      </c>
      <c r="J3968" t="s">
        <v>82</v>
      </c>
      <c r="K3968">
        <v>5469.93</v>
      </c>
      <c r="L3968">
        <v>27349.65</v>
      </c>
      <c r="M3968">
        <v>21879.72</v>
      </c>
      <c r="N3968" t="s">
        <v>122</v>
      </c>
      <c r="O3968">
        <v>2025</v>
      </c>
    </row>
    <row r="3969" spans="1:15" x14ac:dyDescent="0.3">
      <c r="A3969" t="s">
        <v>4054</v>
      </c>
      <c r="B3969" t="s">
        <v>16</v>
      </c>
      <c r="C3969" t="s">
        <v>90</v>
      </c>
      <c r="D3969" t="s">
        <v>152</v>
      </c>
      <c r="E3969" t="s">
        <v>50</v>
      </c>
      <c r="F3969" s="1">
        <v>46020</v>
      </c>
      <c r="G3969">
        <v>10</v>
      </c>
      <c r="H3969">
        <v>9923.52</v>
      </c>
      <c r="I3969">
        <v>0</v>
      </c>
      <c r="J3969" t="s">
        <v>26</v>
      </c>
      <c r="K3969">
        <v>0</v>
      </c>
      <c r="L3969">
        <v>99235.199999999997</v>
      </c>
      <c r="M3969">
        <v>99235.199999999997</v>
      </c>
      <c r="N3969" t="s">
        <v>51</v>
      </c>
      <c r="O3969">
        <v>2025</v>
      </c>
    </row>
    <row r="3970" spans="1:15" x14ac:dyDescent="0.3">
      <c r="A3970" t="s">
        <v>4055</v>
      </c>
      <c r="B3970" t="s">
        <v>89</v>
      </c>
      <c r="C3970" t="s">
        <v>90</v>
      </c>
      <c r="D3970" t="s">
        <v>107</v>
      </c>
      <c r="E3970" t="s">
        <v>81</v>
      </c>
      <c r="F3970" s="1">
        <v>45922</v>
      </c>
      <c r="G3970">
        <v>10</v>
      </c>
      <c r="H3970">
        <v>13740.65</v>
      </c>
      <c r="I3970">
        <v>10</v>
      </c>
      <c r="J3970" t="s">
        <v>40</v>
      </c>
      <c r="K3970">
        <v>13740.65</v>
      </c>
      <c r="L3970">
        <v>137406.5</v>
      </c>
      <c r="M3970">
        <v>123665.85</v>
      </c>
      <c r="N3970" t="s">
        <v>86</v>
      </c>
      <c r="O3970">
        <v>2025</v>
      </c>
    </row>
    <row r="3971" spans="1:15" x14ac:dyDescent="0.3">
      <c r="A3971" t="s">
        <v>4056</v>
      </c>
      <c r="B3971" t="s">
        <v>89</v>
      </c>
      <c r="C3971" t="s">
        <v>62</v>
      </c>
      <c r="D3971" t="s">
        <v>119</v>
      </c>
      <c r="E3971" t="s">
        <v>30</v>
      </c>
      <c r="F3971" s="1">
        <v>45609</v>
      </c>
      <c r="G3971">
        <v>5</v>
      </c>
      <c r="H3971">
        <v>3571.18</v>
      </c>
      <c r="I3971">
        <v>0</v>
      </c>
      <c r="J3971" t="s">
        <v>40</v>
      </c>
      <c r="K3971">
        <v>0</v>
      </c>
      <c r="L3971">
        <v>17855.900000000001</v>
      </c>
      <c r="M3971">
        <v>17855.900000000001</v>
      </c>
      <c r="N3971" t="s">
        <v>96</v>
      </c>
      <c r="O3971">
        <v>2024</v>
      </c>
    </row>
    <row r="3972" spans="1:15" x14ac:dyDescent="0.3">
      <c r="A3972" t="s">
        <v>4057</v>
      </c>
      <c r="B3972" t="s">
        <v>93</v>
      </c>
      <c r="C3972" t="s">
        <v>90</v>
      </c>
      <c r="D3972" t="s">
        <v>152</v>
      </c>
      <c r="E3972" t="s">
        <v>44</v>
      </c>
      <c r="F3972" s="1">
        <v>45728</v>
      </c>
      <c r="G3972">
        <v>3</v>
      </c>
      <c r="H3972">
        <v>9964</v>
      </c>
      <c r="I3972">
        <v>10</v>
      </c>
      <c r="J3972" t="s">
        <v>36</v>
      </c>
      <c r="K3972">
        <v>2989.2</v>
      </c>
      <c r="L3972">
        <v>29892</v>
      </c>
      <c r="M3972">
        <v>26902.799999999999</v>
      </c>
      <c r="N3972" t="s">
        <v>83</v>
      </c>
      <c r="O3972">
        <v>2025</v>
      </c>
    </row>
    <row r="3973" spans="1:15" x14ac:dyDescent="0.3">
      <c r="A3973" t="s">
        <v>4058</v>
      </c>
      <c r="B3973" t="s">
        <v>43</v>
      </c>
      <c r="C3973" t="s">
        <v>62</v>
      </c>
      <c r="D3973" t="s">
        <v>63</v>
      </c>
      <c r="E3973" t="s">
        <v>44</v>
      </c>
      <c r="F3973" s="1">
        <v>45655</v>
      </c>
      <c r="G3973">
        <v>10</v>
      </c>
      <c r="H3973">
        <v>1836.02</v>
      </c>
      <c r="I3973">
        <v>15</v>
      </c>
      <c r="J3973" t="s">
        <v>71</v>
      </c>
      <c r="K3973">
        <v>2754.03</v>
      </c>
      <c r="L3973">
        <v>18360.2</v>
      </c>
      <c r="M3973">
        <v>15606.17</v>
      </c>
      <c r="N3973" t="s">
        <v>51</v>
      </c>
      <c r="O3973">
        <v>2024</v>
      </c>
    </row>
    <row r="3974" spans="1:15" x14ac:dyDescent="0.3">
      <c r="A3974" t="s">
        <v>4059</v>
      </c>
      <c r="B3974" t="s">
        <v>29</v>
      </c>
      <c r="C3974" t="s">
        <v>17</v>
      </c>
      <c r="D3974" t="s">
        <v>39</v>
      </c>
      <c r="E3974" t="s">
        <v>19</v>
      </c>
      <c r="F3974" s="1">
        <v>45917</v>
      </c>
      <c r="G3974">
        <v>9</v>
      </c>
      <c r="H3974">
        <v>17682.25</v>
      </c>
      <c r="I3974">
        <v>20</v>
      </c>
      <c r="J3974" t="s">
        <v>20</v>
      </c>
      <c r="K3974">
        <v>31828.05</v>
      </c>
      <c r="L3974">
        <v>159140.25</v>
      </c>
      <c r="M3974">
        <v>127312.2</v>
      </c>
      <c r="N3974" t="s">
        <v>86</v>
      </c>
      <c r="O3974">
        <v>2025</v>
      </c>
    </row>
    <row r="3975" spans="1:15" x14ac:dyDescent="0.3">
      <c r="A3975" t="s">
        <v>4060</v>
      </c>
      <c r="B3975" t="s">
        <v>74</v>
      </c>
      <c r="C3975" t="s">
        <v>17</v>
      </c>
      <c r="D3975" t="s">
        <v>157</v>
      </c>
      <c r="E3975" t="s">
        <v>81</v>
      </c>
      <c r="F3975" s="1">
        <v>45664</v>
      </c>
      <c r="G3975">
        <v>9</v>
      </c>
      <c r="H3975">
        <v>7796.38</v>
      </c>
      <c r="I3975">
        <v>15</v>
      </c>
      <c r="J3975" t="s">
        <v>31</v>
      </c>
      <c r="K3975">
        <v>10525.11</v>
      </c>
      <c r="L3975">
        <v>70167.42</v>
      </c>
      <c r="M3975">
        <v>59642.31</v>
      </c>
      <c r="N3975" t="s">
        <v>116</v>
      </c>
      <c r="O3975">
        <v>2025</v>
      </c>
    </row>
    <row r="3976" spans="1:15" x14ac:dyDescent="0.3">
      <c r="A3976" t="s">
        <v>4061</v>
      </c>
      <c r="B3976" t="s">
        <v>114</v>
      </c>
      <c r="C3976" t="s">
        <v>54</v>
      </c>
      <c r="D3976" t="s">
        <v>55</v>
      </c>
      <c r="E3976" t="s">
        <v>30</v>
      </c>
      <c r="F3976" s="1">
        <v>45629</v>
      </c>
      <c r="G3976">
        <v>7</v>
      </c>
      <c r="H3976">
        <v>1407.78</v>
      </c>
      <c r="I3976">
        <v>20</v>
      </c>
      <c r="J3976" t="s">
        <v>71</v>
      </c>
      <c r="K3976">
        <v>1970.89</v>
      </c>
      <c r="L3976">
        <v>9854.4599999999991</v>
      </c>
      <c r="M3976">
        <v>7883.57</v>
      </c>
      <c r="N3976" t="s">
        <v>51</v>
      </c>
      <c r="O3976">
        <v>2024</v>
      </c>
    </row>
    <row r="3977" spans="1:15" x14ac:dyDescent="0.3">
      <c r="A3977" t="s">
        <v>4062</v>
      </c>
      <c r="B3977" t="s">
        <v>89</v>
      </c>
      <c r="C3977" t="s">
        <v>17</v>
      </c>
      <c r="D3977" t="s">
        <v>157</v>
      </c>
      <c r="E3977" t="s">
        <v>81</v>
      </c>
      <c r="F3977" s="1">
        <v>45515</v>
      </c>
      <c r="G3977">
        <v>5</v>
      </c>
      <c r="H3977">
        <v>7485.08</v>
      </c>
      <c r="I3977">
        <v>15</v>
      </c>
      <c r="J3977" t="s">
        <v>40</v>
      </c>
      <c r="K3977">
        <v>5613.81</v>
      </c>
      <c r="L3977">
        <v>37425.4</v>
      </c>
      <c r="M3977">
        <v>31811.59</v>
      </c>
      <c r="N3977" t="s">
        <v>21</v>
      </c>
      <c r="O3977">
        <v>2024</v>
      </c>
    </row>
    <row r="3978" spans="1:15" x14ac:dyDescent="0.3">
      <c r="A3978" t="s">
        <v>4063</v>
      </c>
      <c r="B3978" t="s">
        <v>89</v>
      </c>
      <c r="C3978" t="s">
        <v>34</v>
      </c>
      <c r="D3978" t="s">
        <v>80</v>
      </c>
      <c r="E3978" t="s">
        <v>30</v>
      </c>
      <c r="F3978" s="1">
        <v>45995</v>
      </c>
      <c r="G3978">
        <v>8</v>
      </c>
      <c r="H3978">
        <v>6708.39</v>
      </c>
      <c r="I3978">
        <v>15</v>
      </c>
      <c r="J3978" t="s">
        <v>82</v>
      </c>
      <c r="K3978">
        <v>8050.07</v>
      </c>
      <c r="L3978">
        <v>53667.12</v>
      </c>
      <c r="M3978">
        <v>45617.05</v>
      </c>
      <c r="N3978" t="s">
        <v>51</v>
      </c>
      <c r="O3978">
        <v>2025</v>
      </c>
    </row>
    <row r="3979" spans="1:15" x14ac:dyDescent="0.3">
      <c r="A3979" t="s">
        <v>4064</v>
      </c>
      <c r="B3979" t="s">
        <v>33</v>
      </c>
      <c r="C3979" t="s">
        <v>17</v>
      </c>
      <c r="D3979" t="s">
        <v>59</v>
      </c>
      <c r="E3979" t="s">
        <v>30</v>
      </c>
      <c r="F3979" s="1">
        <v>45949</v>
      </c>
      <c r="G3979">
        <v>1</v>
      </c>
      <c r="H3979">
        <v>28132.02</v>
      </c>
      <c r="I3979">
        <v>20</v>
      </c>
      <c r="J3979" t="s">
        <v>26</v>
      </c>
      <c r="K3979">
        <v>5626.4</v>
      </c>
      <c r="L3979">
        <v>28132.02</v>
      </c>
      <c r="M3979">
        <v>22505.62</v>
      </c>
      <c r="N3979" t="s">
        <v>57</v>
      </c>
      <c r="O3979">
        <v>2025</v>
      </c>
    </row>
    <row r="3980" spans="1:15" x14ac:dyDescent="0.3">
      <c r="A3980" t="s">
        <v>4065</v>
      </c>
      <c r="B3980" t="s">
        <v>93</v>
      </c>
      <c r="C3980" t="s">
        <v>34</v>
      </c>
      <c r="D3980" t="s">
        <v>35</v>
      </c>
      <c r="E3980" t="s">
        <v>50</v>
      </c>
      <c r="F3980" s="1">
        <v>45487</v>
      </c>
      <c r="G3980">
        <v>4</v>
      </c>
      <c r="H3980">
        <v>26971.85</v>
      </c>
      <c r="I3980">
        <v>20</v>
      </c>
      <c r="J3980" t="s">
        <v>36</v>
      </c>
      <c r="K3980">
        <v>21577.48</v>
      </c>
      <c r="L3980">
        <v>107887.4</v>
      </c>
      <c r="M3980">
        <v>86309.92</v>
      </c>
      <c r="N3980" t="s">
        <v>122</v>
      </c>
      <c r="O3980">
        <v>2024</v>
      </c>
    </row>
    <row r="3981" spans="1:15" x14ac:dyDescent="0.3">
      <c r="A3981" t="s">
        <v>4066</v>
      </c>
      <c r="B3981" t="s">
        <v>109</v>
      </c>
      <c r="C3981" t="s">
        <v>62</v>
      </c>
      <c r="D3981" t="s">
        <v>119</v>
      </c>
      <c r="E3981" t="s">
        <v>50</v>
      </c>
      <c r="F3981" s="1">
        <v>45710</v>
      </c>
      <c r="G3981">
        <v>10</v>
      </c>
      <c r="H3981">
        <v>3664.39</v>
      </c>
      <c r="I3981">
        <v>10</v>
      </c>
      <c r="J3981" t="s">
        <v>20</v>
      </c>
      <c r="K3981">
        <v>3664.39</v>
      </c>
      <c r="L3981">
        <v>36643.9</v>
      </c>
      <c r="M3981">
        <v>32979.51</v>
      </c>
      <c r="N3981" t="s">
        <v>41</v>
      </c>
      <c r="O3981">
        <v>2025</v>
      </c>
    </row>
    <row r="3982" spans="1:15" x14ac:dyDescent="0.3">
      <c r="A3982" t="s">
        <v>4067</v>
      </c>
      <c r="B3982" t="s">
        <v>33</v>
      </c>
      <c r="C3982" t="s">
        <v>34</v>
      </c>
      <c r="D3982" t="s">
        <v>66</v>
      </c>
      <c r="E3982" t="s">
        <v>30</v>
      </c>
      <c r="F3982" s="1">
        <v>45483</v>
      </c>
      <c r="G3982">
        <v>4</v>
      </c>
      <c r="H3982">
        <v>36869.980000000003</v>
      </c>
      <c r="I3982">
        <v>5</v>
      </c>
      <c r="J3982" t="s">
        <v>26</v>
      </c>
      <c r="K3982">
        <v>7374</v>
      </c>
      <c r="L3982">
        <v>147479.92000000001</v>
      </c>
      <c r="M3982">
        <v>140105.92000000001</v>
      </c>
      <c r="N3982" t="s">
        <v>122</v>
      </c>
      <c r="O3982">
        <v>2024</v>
      </c>
    </row>
    <row r="3983" spans="1:15" x14ac:dyDescent="0.3">
      <c r="A3983" t="s">
        <v>4068</v>
      </c>
      <c r="B3983" t="s">
        <v>29</v>
      </c>
      <c r="C3983" t="s">
        <v>90</v>
      </c>
      <c r="D3983" t="s">
        <v>115</v>
      </c>
      <c r="E3983" t="s">
        <v>50</v>
      </c>
      <c r="F3983" s="1">
        <v>45535</v>
      </c>
      <c r="G3983">
        <v>6</v>
      </c>
      <c r="H3983">
        <v>8588.7099999999991</v>
      </c>
      <c r="I3983">
        <v>10</v>
      </c>
      <c r="J3983" t="s">
        <v>71</v>
      </c>
      <c r="K3983">
        <v>5153.2299999999996</v>
      </c>
      <c r="L3983">
        <v>51532.26</v>
      </c>
      <c r="M3983">
        <v>46379.03</v>
      </c>
      <c r="N3983" t="s">
        <v>21</v>
      </c>
      <c r="O3983">
        <v>2024</v>
      </c>
    </row>
    <row r="3984" spans="1:15" x14ac:dyDescent="0.3">
      <c r="A3984" t="s">
        <v>4069</v>
      </c>
      <c r="B3984" t="s">
        <v>93</v>
      </c>
      <c r="C3984" t="s">
        <v>17</v>
      </c>
      <c r="D3984" t="s">
        <v>39</v>
      </c>
      <c r="E3984" t="s">
        <v>56</v>
      </c>
      <c r="F3984" s="1">
        <v>45560</v>
      </c>
      <c r="G3984">
        <v>10</v>
      </c>
      <c r="H3984">
        <v>19304.87</v>
      </c>
      <c r="I3984">
        <v>5</v>
      </c>
      <c r="J3984" t="s">
        <v>36</v>
      </c>
      <c r="K3984">
        <v>9652.44</v>
      </c>
      <c r="L3984">
        <v>193048.7</v>
      </c>
      <c r="M3984">
        <v>183396.26</v>
      </c>
      <c r="N3984" t="s">
        <v>86</v>
      </c>
      <c r="O3984">
        <v>2024</v>
      </c>
    </row>
    <row r="3985" spans="1:15" x14ac:dyDescent="0.3">
      <c r="A3985" t="s">
        <v>4070</v>
      </c>
      <c r="B3985" t="s">
        <v>29</v>
      </c>
      <c r="C3985" t="s">
        <v>34</v>
      </c>
      <c r="D3985" t="s">
        <v>85</v>
      </c>
      <c r="E3985" t="s">
        <v>19</v>
      </c>
      <c r="F3985" s="1">
        <v>45790</v>
      </c>
      <c r="G3985">
        <v>2</v>
      </c>
      <c r="H3985">
        <v>11676.06</v>
      </c>
      <c r="I3985">
        <v>20</v>
      </c>
      <c r="J3985" t="s">
        <v>71</v>
      </c>
      <c r="K3985">
        <v>4670.42</v>
      </c>
      <c r="L3985">
        <v>23352.12</v>
      </c>
      <c r="M3985">
        <v>18681.7</v>
      </c>
      <c r="N3985" t="s">
        <v>101</v>
      </c>
      <c r="O3985">
        <v>2025</v>
      </c>
    </row>
    <row r="3986" spans="1:15" x14ac:dyDescent="0.3">
      <c r="A3986" t="s">
        <v>4071</v>
      </c>
      <c r="B3986" t="s">
        <v>93</v>
      </c>
      <c r="C3986" t="s">
        <v>62</v>
      </c>
      <c r="D3986" t="s">
        <v>95</v>
      </c>
      <c r="E3986" t="s">
        <v>50</v>
      </c>
      <c r="F3986" s="1">
        <v>45613</v>
      </c>
      <c r="G3986">
        <v>6</v>
      </c>
      <c r="H3986">
        <v>867.83</v>
      </c>
      <c r="I3986">
        <v>15</v>
      </c>
      <c r="J3986" t="s">
        <v>45</v>
      </c>
      <c r="K3986">
        <v>781.05</v>
      </c>
      <c r="L3986">
        <v>5206.9799999999996</v>
      </c>
      <c r="M3986">
        <v>4425.93</v>
      </c>
      <c r="N3986" t="s">
        <v>96</v>
      </c>
      <c r="O3986">
        <v>2024</v>
      </c>
    </row>
    <row r="3987" spans="1:15" x14ac:dyDescent="0.3">
      <c r="A3987" t="s">
        <v>4072</v>
      </c>
      <c r="B3987" t="s">
        <v>109</v>
      </c>
      <c r="C3987" t="s">
        <v>17</v>
      </c>
      <c r="D3987" t="s">
        <v>59</v>
      </c>
      <c r="E3987" t="s">
        <v>25</v>
      </c>
      <c r="F3987" s="1">
        <v>45408</v>
      </c>
      <c r="G3987">
        <v>8</v>
      </c>
      <c r="H3987">
        <v>24071.73</v>
      </c>
      <c r="I3987">
        <v>5</v>
      </c>
      <c r="J3987" t="s">
        <v>31</v>
      </c>
      <c r="K3987">
        <v>9628.69</v>
      </c>
      <c r="L3987">
        <v>192573.84</v>
      </c>
      <c r="M3987">
        <v>182945.15</v>
      </c>
      <c r="N3987" t="s">
        <v>27</v>
      </c>
      <c r="O3987">
        <v>2024</v>
      </c>
    </row>
    <row r="3988" spans="1:15" x14ac:dyDescent="0.3">
      <c r="A3988" t="s">
        <v>4073</v>
      </c>
      <c r="B3988" t="s">
        <v>43</v>
      </c>
      <c r="C3988" t="s">
        <v>90</v>
      </c>
      <c r="D3988" t="s">
        <v>115</v>
      </c>
      <c r="E3988" t="s">
        <v>44</v>
      </c>
      <c r="F3988" s="1">
        <v>45869</v>
      </c>
      <c r="G3988">
        <v>5</v>
      </c>
      <c r="H3988">
        <v>8798.64</v>
      </c>
      <c r="I3988">
        <v>15</v>
      </c>
      <c r="J3988" t="s">
        <v>45</v>
      </c>
      <c r="K3988">
        <v>6598.98</v>
      </c>
      <c r="L3988">
        <v>43993.2</v>
      </c>
      <c r="M3988">
        <v>37394.22</v>
      </c>
      <c r="N3988" t="s">
        <v>122</v>
      </c>
      <c r="O3988">
        <v>2025</v>
      </c>
    </row>
    <row r="3989" spans="1:15" x14ac:dyDescent="0.3">
      <c r="A3989" t="s">
        <v>4074</v>
      </c>
      <c r="B3989" t="s">
        <v>47</v>
      </c>
      <c r="C3989" t="s">
        <v>17</v>
      </c>
      <c r="D3989" t="s">
        <v>59</v>
      </c>
      <c r="E3989" t="s">
        <v>81</v>
      </c>
      <c r="F3989" s="1">
        <v>45970</v>
      </c>
      <c r="G3989">
        <v>10</v>
      </c>
      <c r="H3989">
        <v>25391.05</v>
      </c>
      <c r="I3989">
        <v>5</v>
      </c>
      <c r="J3989" t="s">
        <v>20</v>
      </c>
      <c r="K3989">
        <v>12695.53</v>
      </c>
      <c r="L3989">
        <v>253910.5</v>
      </c>
      <c r="M3989">
        <v>241214.97</v>
      </c>
      <c r="N3989" t="s">
        <v>96</v>
      </c>
      <c r="O3989">
        <v>2025</v>
      </c>
    </row>
    <row r="3990" spans="1:15" x14ac:dyDescent="0.3">
      <c r="A3990" t="s">
        <v>4075</v>
      </c>
      <c r="B3990" t="s">
        <v>38</v>
      </c>
      <c r="C3990" t="s">
        <v>90</v>
      </c>
      <c r="D3990" t="s">
        <v>105</v>
      </c>
      <c r="E3990" t="s">
        <v>56</v>
      </c>
      <c r="F3990" s="1">
        <v>45322</v>
      </c>
      <c r="G3990">
        <v>8</v>
      </c>
      <c r="H3990">
        <v>3793.08</v>
      </c>
      <c r="I3990">
        <v>0</v>
      </c>
      <c r="J3990" t="s">
        <v>45</v>
      </c>
      <c r="K3990">
        <v>0</v>
      </c>
      <c r="L3990">
        <v>30344.639999999999</v>
      </c>
      <c r="M3990">
        <v>30344.639999999999</v>
      </c>
      <c r="N3990" t="s">
        <v>116</v>
      </c>
      <c r="O3990">
        <v>2024</v>
      </c>
    </row>
    <row r="3991" spans="1:15" x14ac:dyDescent="0.3">
      <c r="A3991" t="s">
        <v>4076</v>
      </c>
      <c r="B3991" t="s">
        <v>38</v>
      </c>
      <c r="C3991" t="s">
        <v>34</v>
      </c>
      <c r="D3991" t="s">
        <v>85</v>
      </c>
      <c r="E3991" t="s">
        <v>50</v>
      </c>
      <c r="F3991" s="1">
        <v>45963</v>
      </c>
      <c r="G3991">
        <v>1</v>
      </c>
      <c r="H3991">
        <v>13083.44</v>
      </c>
      <c r="I3991">
        <v>10</v>
      </c>
      <c r="J3991" t="s">
        <v>20</v>
      </c>
      <c r="K3991">
        <v>1308.3399999999999</v>
      </c>
      <c r="L3991">
        <v>13083.44</v>
      </c>
      <c r="M3991">
        <v>11775.1</v>
      </c>
      <c r="N3991" t="s">
        <v>96</v>
      </c>
      <c r="O3991">
        <v>2025</v>
      </c>
    </row>
    <row r="3992" spans="1:15" x14ac:dyDescent="0.3">
      <c r="A3992" t="s">
        <v>4077</v>
      </c>
      <c r="B3992" t="s">
        <v>65</v>
      </c>
      <c r="C3992" t="s">
        <v>62</v>
      </c>
      <c r="D3992" t="s">
        <v>99</v>
      </c>
      <c r="E3992" t="s">
        <v>30</v>
      </c>
      <c r="F3992" s="1">
        <v>45546</v>
      </c>
      <c r="G3992">
        <v>1</v>
      </c>
      <c r="H3992">
        <v>1701.3</v>
      </c>
      <c r="I3992">
        <v>10</v>
      </c>
      <c r="J3992" t="s">
        <v>45</v>
      </c>
      <c r="K3992">
        <v>170.13</v>
      </c>
      <c r="L3992">
        <v>1701.3</v>
      </c>
      <c r="M3992">
        <v>1531.17</v>
      </c>
      <c r="N3992" t="s">
        <v>86</v>
      </c>
      <c r="O3992">
        <v>2024</v>
      </c>
    </row>
    <row r="3993" spans="1:15" x14ac:dyDescent="0.3">
      <c r="A3993" t="s">
        <v>4078</v>
      </c>
      <c r="B3993" t="s">
        <v>74</v>
      </c>
      <c r="C3993" t="s">
        <v>62</v>
      </c>
      <c r="D3993" t="s">
        <v>119</v>
      </c>
      <c r="E3993" t="s">
        <v>19</v>
      </c>
      <c r="F3993" s="1">
        <v>45344</v>
      </c>
      <c r="G3993">
        <v>3</v>
      </c>
      <c r="H3993">
        <v>3998.33</v>
      </c>
      <c r="I3993">
        <v>5</v>
      </c>
      <c r="J3993" t="s">
        <v>45</v>
      </c>
      <c r="K3993">
        <v>599.75</v>
      </c>
      <c r="L3993">
        <v>11994.99</v>
      </c>
      <c r="M3993">
        <v>11395.24</v>
      </c>
      <c r="N3993" t="s">
        <v>41</v>
      </c>
      <c r="O3993">
        <v>2024</v>
      </c>
    </row>
    <row r="3994" spans="1:15" x14ac:dyDescent="0.3">
      <c r="A3994" t="s">
        <v>4079</v>
      </c>
      <c r="B3994" t="s">
        <v>109</v>
      </c>
      <c r="C3994" t="s">
        <v>62</v>
      </c>
      <c r="D3994" t="s">
        <v>99</v>
      </c>
      <c r="E3994" t="s">
        <v>56</v>
      </c>
      <c r="F3994" s="1">
        <v>45790</v>
      </c>
      <c r="G3994">
        <v>9</v>
      </c>
      <c r="H3994">
        <v>1577.14</v>
      </c>
      <c r="I3994">
        <v>10</v>
      </c>
      <c r="J3994" t="s">
        <v>71</v>
      </c>
      <c r="K3994">
        <v>1419.43</v>
      </c>
      <c r="L3994">
        <v>14194.26</v>
      </c>
      <c r="M3994">
        <v>12774.83</v>
      </c>
      <c r="N3994" t="s">
        <v>101</v>
      </c>
      <c r="O3994">
        <v>2025</v>
      </c>
    </row>
    <row r="3995" spans="1:15" x14ac:dyDescent="0.3">
      <c r="A3995" t="s">
        <v>4080</v>
      </c>
      <c r="B3995" t="s">
        <v>61</v>
      </c>
      <c r="C3995" t="s">
        <v>34</v>
      </c>
      <c r="D3995" t="s">
        <v>85</v>
      </c>
      <c r="E3995" t="s">
        <v>50</v>
      </c>
      <c r="F3995" s="1">
        <v>45711</v>
      </c>
      <c r="G3995">
        <v>4</v>
      </c>
      <c r="H3995">
        <v>12529.68</v>
      </c>
      <c r="I3995">
        <v>20</v>
      </c>
      <c r="J3995" t="s">
        <v>71</v>
      </c>
      <c r="K3995">
        <v>10023.74</v>
      </c>
      <c r="L3995">
        <v>50118.720000000001</v>
      </c>
      <c r="M3995">
        <v>40094.980000000003</v>
      </c>
      <c r="N3995" t="s">
        <v>41</v>
      </c>
      <c r="O3995">
        <v>2025</v>
      </c>
    </row>
    <row r="3996" spans="1:15" x14ac:dyDescent="0.3">
      <c r="A3996" t="s">
        <v>4081</v>
      </c>
      <c r="B3996" t="s">
        <v>61</v>
      </c>
      <c r="C3996" t="s">
        <v>17</v>
      </c>
      <c r="D3996" t="s">
        <v>39</v>
      </c>
      <c r="E3996" t="s">
        <v>44</v>
      </c>
      <c r="F3996" s="1">
        <v>45328</v>
      </c>
      <c r="G3996">
        <v>1</v>
      </c>
      <c r="H3996">
        <v>18537.97</v>
      </c>
      <c r="I3996">
        <v>5</v>
      </c>
      <c r="J3996" t="s">
        <v>31</v>
      </c>
      <c r="K3996">
        <v>926.9</v>
      </c>
      <c r="L3996">
        <v>18537.97</v>
      </c>
      <c r="M3996">
        <v>17611.07</v>
      </c>
      <c r="N3996" t="s">
        <v>41</v>
      </c>
      <c r="O3996">
        <v>2024</v>
      </c>
    </row>
    <row r="3997" spans="1:15" x14ac:dyDescent="0.3">
      <c r="A3997" t="s">
        <v>4082</v>
      </c>
      <c r="B3997" t="s">
        <v>23</v>
      </c>
      <c r="C3997" t="s">
        <v>90</v>
      </c>
      <c r="D3997" t="s">
        <v>91</v>
      </c>
      <c r="E3997" t="s">
        <v>30</v>
      </c>
      <c r="F3997" s="1">
        <v>45726</v>
      </c>
      <c r="G3997">
        <v>10</v>
      </c>
      <c r="H3997">
        <v>1356.51</v>
      </c>
      <c r="I3997">
        <v>5</v>
      </c>
      <c r="J3997" t="s">
        <v>36</v>
      </c>
      <c r="K3997">
        <v>678.26</v>
      </c>
      <c r="L3997">
        <v>13565.1</v>
      </c>
      <c r="M3997">
        <v>12886.84</v>
      </c>
      <c r="N3997" t="s">
        <v>83</v>
      </c>
      <c r="O3997">
        <v>2025</v>
      </c>
    </row>
    <row r="3998" spans="1:15" x14ac:dyDescent="0.3">
      <c r="A3998" t="s">
        <v>4083</v>
      </c>
      <c r="B3998" t="s">
        <v>93</v>
      </c>
      <c r="C3998" t="s">
        <v>34</v>
      </c>
      <c r="D3998" t="s">
        <v>80</v>
      </c>
      <c r="E3998" t="s">
        <v>56</v>
      </c>
      <c r="F3998" s="1">
        <v>45637</v>
      </c>
      <c r="G3998">
        <v>1</v>
      </c>
      <c r="H3998">
        <v>6600.68</v>
      </c>
      <c r="I3998">
        <v>15</v>
      </c>
      <c r="J3998" t="s">
        <v>45</v>
      </c>
      <c r="K3998">
        <v>990.1</v>
      </c>
      <c r="L3998">
        <v>6600.68</v>
      </c>
      <c r="M3998">
        <v>5610.58</v>
      </c>
      <c r="N3998" t="s">
        <v>51</v>
      </c>
      <c r="O3998">
        <v>2024</v>
      </c>
    </row>
    <row r="3999" spans="1:15" x14ac:dyDescent="0.3">
      <c r="A3999" t="s">
        <v>4084</v>
      </c>
      <c r="B3999" t="s">
        <v>23</v>
      </c>
      <c r="C3999" t="s">
        <v>54</v>
      </c>
      <c r="D3999" t="s">
        <v>70</v>
      </c>
      <c r="E3999" t="s">
        <v>30</v>
      </c>
      <c r="F3999" s="1">
        <v>45316</v>
      </c>
      <c r="G3999">
        <v>2</v>
      </c>
      <c r="H3999">
        <v>2847.62</v>
      </c>
      <c r="I3999">
        <v>0</v>
      </c>
      <c r="J3999" t="s">
        <v>71</v>
      </c>
      <c r="K3999">
        <v>0</v>
      </c>
      <c r="L3999">
        <v>5695.24</v>
      </c>
      <c r="M3999">
        <v>5695.24</v>
      </c>
      <c r="N3999" t="s">
        <v>116</v>
      </c>
      <c r="O3999">
        <v>2024</v>
      </c>
    </row>
    <row r="4000" spans="1:15" x14ac:dyDescent="0.3">
      <c r="A4000" t="s">
        <v>4085</v>
      </c>
      <c r="B4000" t="s">
        <v>109</v>
      </c>
      <c r="C4000" t="s">
        <v>34</v>
      </c>
      <c r="D4000" t="s">
        <v>80</v>
      </c>
      <c r="E4000" t="s">
        <v>50</v>
      </c>
      <c r="F4000" s="1">
        <v>45550</v>
      </c>
      <c r="G4000">
        <v>5</v>
      </c>
      <c r="H4000">
        <v>6317.4</v>
      </c>
      <c r="I4000">
        <v>15</v>
      </c>
      <c r="J4000" t="s">
        <v>20</v>
      </c>
      <c r="K4000">
        <v>4738.05</v>
      </c>
      <c r="L4000">
        <v>31587</v>
      </c>
      <c r="M4000">
        <v>26848.95</v>
      </c>
      <c r="N4000" t="s">
        <v>86</v>
      </c>
      <c r="O4000">
        <v>2024</v>
      </c>
    </row>
    <row r="4001" spans="1:15" x14ac:dyDescent="0.3">
      <c r="A4001" t="s">
        <v>4086</v>
      </c>
      <c r="B4001" t="s">
        <v>89</v>
      </c>
      <c r="C4001" t="s">
        <v>90</v>
      </c>
      <c r="D4001" t="s">
        <v>91</v>
      </c>
      <c r="E4001" t="s">
        <v>50</v>
      </c>
      <c r="F4001" s="1">
        <v>45683</v>
      </c>
      <c r="G4001">
        <v>3</v>
      </c>
      <c r="H4001">
        <v>1623.04</v>
      </c>
      <c r="I4001">
        <v>20</v>
      </c>
      <c r="J4001" t="s">
        <v>82</v>
      </c>
      <c r="K4001">
        <v>973.82</v>
      </c>
      <c r="L4001">
        <v>4869.12</v>
      </c>
      <c r="M4001">
        <v>3895.3</v>
      </c>
      <c r="N4001" t="s">
        <v>116</v>
      </c>
      <c r="O4001">
        <v>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E9DDA-2431-40A8-95E9-5D3E3ABF9B10}">
  <dimension ref="B1:BP18"/>
  <sheetViews>
    <sheetView zoomScale="76" zoomScaleNormal="115" workbookViewId="0">
      <selection activeCell="L28" sqref="L28"/>
    </sheetView>
  </sheetViews>
  <sheetFormatPr defaultRowHeight="14.4" x14ac:dyDescent="0.3"/>
  <cols>
    <col min="2" max="2" width="23.6640625" bestFit="1" customWidth="1"/>
    <col min="3" max="3" width="22.21875" customWidth="1"/>
    <col min="4" max="4" width="6.33203125" customWidth="1"/>
    <col min="5" max="5" width="16.33203125" bestFit="1" customWidth="1"/>
    <col min="6" max="6" width="17.109375" bestFit="1" customWidth="1"/>
    <col min="7" max="7" width="7.6640625" customWidth="1"/>
    <col min="8" max="8" width="16.33203125" bestFit="1" customWidth="1"/>
    <col min="9" max="9" width="15.21875" bestFit="1" customWidth="1"/>
    <col min="10" max="10" width="12.109375" customWidth="1"/>
    <col min="11" max="11" width="22.21875" bestFit="1" customWidth="1"/>
    <col min="12" max="12" width="17.6640625" bestFit="1" customWidth="1"/>
    <col min="13" max="13" width="16.5546875" customWidth="1"/>
    <col min="14" max="18" width="15.5546875" bestFit="1" customWidth="1"/>
    <col min="19" max="19" width="22.77734375" bestFit="1" customWidth="1"/>
    <col min="20" max="20" width="17.109375" bestFit="1" customWidth="1"/>
    <col min="21" max="21" width="19.5546875" bestFit="1" customWidth="1"/>
    <col min="22" max="22" width="17.33203125" bestFit="1" customWidth="1"/>
    <col min="23" max="23" width="15.5546875" bestFit="1" customWidth="1"/>
    <col min="24" max="24" width="16.33203125" bestFit="1" customWidth="1"/>
    <col min="25" max="25" width="16.88671875" bestFit="1" customWidth="1"/>
    <col min="26" max="26" width="15.5546875" bestFit="1" customWidth="1"/>
    <col min="27" max="27" width="16.33203125" bestFit="1" customWidth="1"/>
    <col min="28" max="28" width="21.109375" bestFit="1" customWidth="1"/>
    <col min="29" max="30" width="15.5546875" bestFit="1" customWidth="1"/>
    <col min="31" max="31" width="16.6640625" bestFit="1" customWidth="1"/>
    <col min="32" max="32" width="17.33203125" bestFit="1" customWidth="1"/>
    <col min="33" max="34" width="15.5546875" bestFit="1" customWidth="1"/>
    <col min="35" max="35" width="16.6640625" bestFit="1" customWidth="1"/>
    <col min="36" max="36" width="16.88671875" bestFit="1" customWidth="1"/>
    <col min="37" max="39" width="15.5546875" bestFit="1" customWidth="1"/>
    <col min="40" max="40" width="16.6640625" bestFit="1" customWidth="1"/>
    <col min="41" max="41" width="21.109375" bestFit="1" customWidth="1"/>
    <col min="42" max="44" width="15.5546875" bestFit="1" customWidth="1"/>
    <col min="45" max="45" width="20.109375" bestFit="1" customWidth="1"/>
    <col min="46" max="46" width="17.33203125" bestFit="1" customWidth="1"/>
    <col min="47" max="47" width="15.5546875" bestFit="1" customWidth="1"/>
    <col min="48" max="48" width="22.21875" bestFit="1" customWidth="1"/>
    <col min="49" max="49" width="16.88671875" bestFit="1" customWidth="1"/>
    <col min="50" max="52" width="15.5546875" bestFit="1" customWidth="1"/>
    <col min="53" max="53" width="22.21875" bestFit="1" customWidth="1"/>
    <col min="54" max="54" width="21.109375" bestFit="1" customWidth="1"/>
    <col min="55" max="56" width="15.5546875" bestFit="1" customWidth="1"/>
    <col min="57" max="57" width="17.77734375" bestFit="1" customWidth="1"/>
    <col min="58" max="58" width="17.33203125" bestFit="1" customWidth="1"/>
    <col min="59" max="60" width="15.5546875" bestFit="1" customWidth="1"/>
    <col min="61" max="61" width="17" bestFit="1" customWidth="1"/>
    <col min="62" max="62" width="16.88671875" bestFit="1" customWidth="1"/>
    <col min="63" max="63" width="25.44140625" bestFit="1" customWidth="1"/>
    <col min="64" max="64" width="25.109375" bestFit="1" customWidth="1"/>
    <col min="65" max="65" width="17.77734375" bestFit="1" customWidth="1"/>
    <col min="66" max="66" width="21.109375" bestFit="1" customWidth="1"/>
    <col min="67" max="67" width="12.77734375" bestFit="1" customWidth="1"/>
    <col min="68" max="68" width="18.21875" customWidth="1"/>
    <col min="69" max="826" width="15.5546875" bestFit="1" customWidth="1"/>
    <col min="827" max="827" width="10.77734375" bestFit="1" customWidth="1"/>
  </cols>
  <sheetData>
    <row r="1" spans="2:68" x14ac:dyDescent="0.3">
      <c r="G1" s="7"/>
    </row>
    <row r="3" spans="2:68" x14ac:dyDescent="0.3">
      <c r="B3" t="s">
        <v>4087</v>
      </c>
      <c r="E3" s="3" t="s">
        <v>4088</v>
      </c>
      <c r="F3" t="s">
        <v>4087</v>
      </c>
      <c r="H3" s="3" t="s">
        <v>4088</v>
      </c>
      <c r="I3" t="s">
        <v>4090</v>
      </c>
      <c r="K3" s="3" t="s">
        <v>4097</v>
      </c>
      <c r="L3" t="s">
        <v>4089</v>
      </c>
      <c r="U3" s="3" t="s">
        <v>4095</v>
      </c>
      <c r="V3" t="s">
        <v>4091</v>
      </c>
      <c r="X3" s="3" t="s">
        <v>4088</v>
      </c>
      <c r="Y3" t="s">
        <v>4092</v>
      </c>
      <c r="BE3" s="3" t="s">
        <v>4098</v>
      </c>
      <c r="BF3" t="s">
        <v>4091</v>
      </c>
      <c r="BP3" s="11"/>
    </row>
    <row r="4" spans="2:68" x14ac:dyDescent="0.3">
      <c r="B4">
        <v>247094629.82000029</v>
      </c>
      <c r="C4" s="8">
        <f>GETPIVOTDATA("Gross_Sale",$B$4)</f>
        <v>247094629.82000029</v>
      </c>
      <c r="E4" s="4" t="s">
        <v>157</v>
      </c>
      <c r="F4" s="8">
        <v>6820041.2100000009</v>
      </c>
      <c r="H4" s="4" t="s">
        <v>157</v>
      </c>
      <c r="I4" s="8">
        <v>6192680.0199999968</v>
      </c>
      <c r="K4" s="4" t="s">
        <v>71</v>
      </c>
      <c r="L4" s="8">
        <v>26278783.100000005</v>
      </c>
      <c r="M4" s="4"/>
      <c r="U4" s="4" t="s">
        <v>62</v>
      </c>
      <c r="V4" s="8">
        <v>8835516.7999999989</v>
      </c>
      <c r="X4" s="4" t="s">
        <v>59</v>
      </c>
      <c r="Y4">
        <v>1115</v>
      </c>
      <c r="AA4" s="3" t="s">
        <v>4088</v>
      </c>
      <c r="AB4" t="s">
        <v>4093</v>
      </c>
      <c r="AE4" s="3" t="s">
        <v>4096</v>
      </c>
      <c r="AF4" t="s">
        <v>4091</v>
      </c>
      <c r="AI4" s="3" t="s">
        <v>4096</v>
      </c>
      <c r="AJ4" t="s">
        <v>4092</v>
      </c>
      <c r="AN4" s="3" t="s">
        <v>4096</v>
      </c>
      <c r="AO4" t="s">
        <v>4093</v>
      </c>
      <c r="AS4" s="3" t="s">
        <v>4100</v>
      </c>
      <c r="AT4" t="s">
        <v>4091</v>
      </c>
      <c r="AV4" s="3" t="s">
        <v>4097</v>
      </c>
      <c r="AW4" t="s">
        <v>4092</v>
      </c>
      <c r="BA4" s="3" t="s">
        <v>4097</v>
      </c>
      <c r="BB4" t="s">
        <v>4093</v>
      </c>
      <c r="BE4" s="4" t="s">
        <v>23</v>
      </c>
      <c r="BF4" s="8">
        <v>14221409.729999991</v>
      </c>
      <c r="BJ4" s="3" t="s">
        <v>4098</v>
      </c>
      <c r="BK4" t="s">
        <v>4099</v>
      </c>
      <c r="BM4" s="3" t="s">
        <v>4098</v>
      </c>
      <c r="BN4" t="s">
        <v>4093</v>
      </c>
      <c r="BP4" s="12"/>
    </row>
    <row r="5" spans="2:68" x14ac:dyDescent="0.3">
      <c r="E5" s="4" t="s">
        <v>48</v>
      </c>
      <c r="F5" s="8">
        <v>7296137.8000000026</v>
      </c>
      <c r="H5" s="4" t="s">
        <v>48</v>
      </c>
      <c r="I5" s="8">
        <v>6585523.870000001</v>
      </c>
      <c r="K5" s="4" t="s">
        <v>20</v>
      </c>
      <c r="L5" s="8">
        <v>29424554.389999993</v>
      </c>
      <c r="M5" s="4"/>
      <c r="U5" s="4" t="s">
        <v>54</v>
      </c>
      <c r="V5" s="8">
        <v>11743709.379999992</v>
      </c>
      <c r="X5" s="4" t="s">
        <v>132</v>
      </c>
      <c r="Y5">
        <v>969</v>
      </c>
      <c r="AA5" s="4" t="s">
        <v>115</v>
      </c>
      <c r="AB5" s="13">
        <v>10.13986013986014</v>
      </c>
      <c r="AE5" s="4" t="s">
        <v>30</v>
      </c>
      <c r="AF5" s="8">
        <v>29704780.660000023</v>
      </c>
      <c r="AI5" s="4" t="s">
        <v>50</v>
      </c>
      <c r="AJ5">
        <v>3012</v>
      </c>
      <c r="AN5" s="4" t="s">
        <v>44</v>
      </c>
      <c r="AO5" s="13">
        <v>10.128644939965694</v>
      </c>
      <c r="AS5" s="4" t="s">
        <v>71</v>
      </c>
      <c r="AT5" s="8">
        <v>23663362.089999992</v>
      </c>
      <c r="AV5" s="4" t="s">
        <v>31</v>
      </c>
      <c r="AW5">
        <v>3089</v>
      </c>
      <c r="BA5" s="4" t="s">
        <v>26</v>
      </c>
      <c r="BB5" s="13">
        <v>9.5859213250517605</v>
      </c>
      <c r="BE5" s="4" t="s">
        <v>38</v>
      </c>
      <c r="BF5" s="8">
        <v>14251952.600000003</v>
      </c>
      <c r="BJ5" s="4" t="s">
        <v>43</v>
      </c>
      <c r="BK5" s="12">
        <v>63148.262686567105</v>
      </c>
      <c r="BM5" s="4" t="s">
        <v>89</v>
      </c>
      <c r="BN5" s="13">
        <v>9.7328244274809155</v>
      </c>
      <c r="BP5" s="12"/>
    </row>
    <row r="6" spans="2:68" x14ac:dyDescent="0.3">
      <c r="E6" s="4" t="s">
        <v>152</v>
      </c>
      <c r="F6" s="8">
        <v>8901708.6499999966</v>
      </c>
      <c r="H6" s="4" t="s">
        <v>152</v>
      </c>
      <c r="I6" s="8">
        <v>8013094.5100000007</v>
      </c>
      <c r="K6" s="4" t="s">
        <v>40</v>
      </c>
      <c r="L6" s="8">
        <v>29721966.96999998</v>
      </c>
      <c r="M6" s="4"/>
      <c r="U6" s="4" t="s">
        <v>90</v>
      </c>
      <c r="V6" s="8">
        <v>27596912.63000001</v>
      </c>
      <c r="X6" s="4" t="s">
        <v>105</v>
      </c>
      <c r="Y6">
        <v>950</v>
      </c>
      <c r="AA6" s="4" t="s">
        <v>66</v>
      </c>
      <c r="AB6" s="13">
        <v>10.152439024390244</v>
      </c>
      <c r="AE6" s="4" t="s">
        <v>50</v>
      </c>
      <c r="AF6" s="8">
        <v>30549742.719999995</v>
      </c>
      <c r="AI6" s="4" t="s">
        <v>81</v>
      </c>
      <c r="AJ6">
        <v>3035</v>
      </c>
      <c r="AN6" s="4" t="s">
        <v>25</v>
      </c>
      <c r="AO6" s="13">
        <v>10.116504854368932</v>
      </c>
      <c r="AS6" s="4" t="s">
        <v>20</v>
      </c>
      <c r="AT6" s="8">
        <v>26440405.800000031</v>
      </c>
      <c r="AV6" s="4" t="s">
        <v>82</v>
      </c>
      <c r="AW6">
        <v>2875</v>
      </c>
      <c r="BA6" s="4" t="s">
        <v>40</v>
      </c>
      <c r="BB6" s="13">
        <v>9.7263157894736842</v>
      </c>
      <c r="BE6" s="4" t="s">
        <v>109</v>
      </c>
      <c r="BF6" s="8">
        <v>14494137.849999992</v>
      </c>
      <c r="BJ6" s="4" t="s">
        <v>114</v>
      </c>
      <c r="BK6" s="12">
        <v>59991.523992537346</v>
      </c>
      <c r="BM6" s="4" t="s">
        <v>47</v>
      </c>
      <c r="BN6" s="13">
        <v>9.8458904109589049</v>
      </c>
      <c r="BP6" s="12"/>
    </row>
    <row r="7" spans="2:68" x14ac:dyDescent="0.3">
      <c r="B7" t="s">
        <v>4091</v>
      </c>
      <c r="E7" s="4" t="s">
        <v>107</v>
      </c>
      <c r="F7" s="8">
        <v>10187792.859999996</v>
      </c>
      <c r="H7" s="4" t="s">
        <v>107</v>
      </c>
      <c r="I7" s="8">
        <v>9226734.3399999961</v>
      </c>
      <c r="K7" s="4" t="s">
        <v>82</v>
      </c>
      <c r="L7" s="8">
        <v>30555066.399999972</v>
      </c>
      <c r="M7" s="4"/>
      <c r="U7" s="4" t="s">
        <v>34</v>
      </c>
      <c r="V7" s="8">
        <v>72578170.680000037</v>
      </c>
      <c r="X7" s="4" t="s">
        <v>119</v>
      </c>
      <c r="Y7">
        <v>943</v>
      </c>
      <c r="AA7" s="4" t="s">
        <v>91</v>
      </c>
      <c r="AB7" s="13">
        <v>10.184049079754601</v>
      </c>
      <c r="AE7" s="4" t="s">
        <v>19</v>
      </c>
      <c r="AF7" s="8">
        <v>30607901.53999998</v>
      </c>
      <c r="AI7" s="4" t="s">
        <v>19</v>
      </c>
      <c r="AJ7">
        <v>3087</v>
      </c>
      <c r="AN7" s="4" t="s">
        <v>56</v>
      </c>
      <c r="AO7" s="13">
        <v>10.107084019769358</v>
      </c>
      <c r="AS7" s="4" t="s">
        <v>40</v>
      </c>
      <c r="AT7" s="8">
        <v>26876760.579999983</v>
      </c>
      <c r="AV7" s="4" t="s">
        <v>36</v>
      </c>
      <c r="AW7">
        <v>2806</v>
      </c>
      <c r="BA7" s="4" t="s">
        <v>45</v>
      </c>
      <c r="BB7" s="13">
        <v>9.7643442622950811</v>
      </c>
      <c r="BE7" s="4" t="s">
        <v>53</v>
      </c>
      <c r="BF7" s="8">
        <v>14843663.10999999</v>
      </c>
      <c r="BJ7" s="4" t="s">
        <v>89</v>
      </c>
      <c r="BK7" s="12">
        <v>58783.488549618327</v>
      </c>
      <c r="BM7" s="4" t="s">
        <v>114</v>
      </c>
      <c r="BN7" s="13">
        <v>10.111940298507463</v>
      </c>
      <c r="BP7" s="12"/>
    </row>
    <row r="8" spans="2:68" x14ac:dyDescent="0.3">
      <c r="B8">
        <v>223315947.87000015</v>
      </c>
      <c r="C8" s="8">
        <f>GETPIVOTDATA("Total_Sales",$B$8)</f>
        <v>223315947.87000015</v>
      </c>
      <c r="E8" s="4" t="s">
        <v>85</v>
      </c>
      <c r="F8" s="8">
        <v>11196018.420000002</v>
      </c>
      <c r="H8" s="4" t="s">
        <v>85</v>
      </c>
      <c r="I8" s="8">
        <v>10121331.759999998</v>
      </c>
      <c r="K8" s="4" t="s">
        <v>26</v>
      </c>
      <c r="L8" s="8">
        <v>30650703.489999972</v>
      </c>
      <c r="M8" s="4"/>
      <c r="U8" s="4" t="s">
        <v>17</v>
      </c>
      <c r="V8" s="8">
        <v>102561638.38000016</v>
      </c>
      <c r="X8" s="4" t="s">
        <v>68</v>
      </c>
      <c r="Y8">
        <v>930</v>
      </c>
      <c r="AA8" s="4" t="s">
        <v>119</v>
      </c>
      <c r="AB8" s="13">
        <v>10.245398773006135</v>
      </c>
      <c r="AE8" s="4" t="s">
        <v>81</v>
      </c>
      <c r="AF8" s="8">
        <v>30840159.759999994</v>
      </c>
      <c r="AI8" s="4" t="s">
        <v>25</v>
      </c>
      <c r="AJ8">
        <v>3091</v>
      </c>
      <c r="AN8" s="4" t="s">
        <v>30</v>
      </c>
      <c r="AO8" s="13">
        <v>9.9333333333333336</v>
      </c>
      <c r="AS8" s="4" t="s">
        <v>82</v>
      </c>
      <c r="AT8" s="8">
        <v>27568568.340000011</v>
      </c>
      <c r="AV8" s="4" t="s">
        <v>45</v>
      </c>
      <c r="AW8">
        <v>2781</v>
      </c>
      <c r="BA8" s="4" t="s">
        <v>36</v>
      </c>
      <c r="BB8" s="13">
        <v>9.8221343873517792</v>
      </c>
      <c r="BE8" s="4" t="s">
        <v>47</v>
      </c>
      <c r="BF8" s="8">
        <v>15144810.180000013</v>
      </c>
      <c r="BJ8" s="4" t="s">
        <v>93</v>
      </c>
      <c r="BK8" s="12">
        <v>58524.629801980191</v>
      </c>
      <c r="BM8" s="4" t="s">
        <v>16</v>
      </c>
      <c r="BN8" s="13">
        <v>10.115384615384615</v>
      </c>
      <c r="BP8" s="12"/>
    </row>
    <row r="9" spans="2:68" x14ac:dyDescent="0.3">
      <c r="E9" s="4" t="s">
        <v>39</v>
      </c>
      <c r="F9" s="8">
        <v>17401233.370000001</v>
      </c>
      <c r="H9" s="4" t="s">
        <v>39</v>
      </c>
      <c r="I9" s="8">
        <v>15789880.789999999</v>
      </c>
      <c r="K9" s="4" t="s">
        <v>36</v>
      </c>
      <c r="L9" s="8">
        <v>31859219.289999988</v>
      </c>
      <c r="M9" s="5"/>
      <c r="N9" s="6"/>
      <c r="X9" s="4" t="s">
        <v>39</v>
      </c>
      <c r="Y9">
        <v>926</v>
      </c>
      <c r="AA9" s="4" t="s">
        <v>99</v>
      </c>
      <c r="AB9" s="13">
        <v>10.333333333333334</v>
      </c>
      <c r="AE9" s="4" t="s">
        <v>25</v>
      </c>
      <c r="AF9" s="8">
        <v>31850449.210000027</v>
      </c>
      <c r="AI9" s="4" t="s">
        <v>44</v>
      </c>
      <c r="AJ9">
        <v>3204</v>
      </c>
      <c r="AN9" s="4" t="s">
        <v>19</v>
      </c>
      <c r="AO9" s="13">
        <v>9.8688811188811183</v>
      </c>
      <c r="AS9" s="4" t="s">
        <v>26</v>
      </c>
      <c r="AT9" s="8">
        <v>27730360.969999984</v>
      </c>
      <c r="AV9" s="4" t="s">
        <v>20</v>
      </c>
      <c r="AW9">
        <v>2744</v>
      </c>
      <c r="BA9" s="4" t="s">
        <v>31</v>
      </c>
      <c r="BB9" s="13">
        <v>9.973637961335676</v>
      </c>
      <c r="BE9" s="4" t="s">
        <v>89</v>
      </c>
      <c r="BF9" s="8">
        <v>15401274.000000002</v>
      </c>
      <c r="BJ9" s="4" t="s">
        <v>65</v>
      </c>
      <c r="BK9" s="12">
        <v>58316.642374999989</v>
      </c>
      <c r="BM9" s="4" t="s">
        <v>43</v>
      </c>
      <c r="BN9" s="13">
        <v>10.186567164179104</v>
      </c>
      <c r="BP9" s="12"/>
    </row>
    <row r="10" spans="2:68" x14ac:dyDescent="0.3">
      <c r="E10" s="4" t="s">
        <v>35</v>
      </c>
      <c r="F10" s="8">
        <v>21961689.449999988</v>
      </c>
      <c r="H10" s="4" t="s">
        <v>35</v>
      </c>
      <c r="I10" s="8">
        <v>19648555.879999995</v>
      </c>
      <c r="K10" s="4" t="s">
        <v>45</v>
      </c>
      <c r="L10" s="8">
        <v>33543802.890000015</v>
      </c>
      <c r="X10" s="4" t="s">
        <v>157</v>
      </c>
      <c r="Y10">
        <v>925</v>
      </c>
      <c r="AA10" s="4" t="s">
        <v>132</v>
      </c>
      <c r="AB10" s="13">
        <v>10.502958579881657</v>
      </c>
      <c r="AE10" s="4" t="s">
        <v>44</v>
      </c>
      <c r="AF10" s="8">
        <v>32795135.730000012</v>
      </c>
      <c r="AI10" s="4" t="s">
        <v>30</v>
      </c>
      <c r="AJ10">
        <v>3212</v>
      </c>
      <c r="AN10" s="4" t="s">
        <v>50</v>
      </c>
      <c r="AO10" s="13">
        <v>9.7909407665505235</v>
      </c>
      <c r="AS10" s="4" t="s">
        <v>36</v>
      </c>
      <c r="AT10" s="8">
        <v>28852036.790000003</v>
      </c>
      <c r="AV10" s="4" t="s">
        <v>26</v>
      </c>
      <c r="AW10">
        <v>2674</v>
      </c>
      <c r="BA10" s="4" t="s">
        <v>71</v>
      </c>
      <c r="BB10" s="13">
        <v>10.128205128205128</v>
      </c>
      <c r="BE10" s="4" t="s">
        <v>33</v>
      </c>
      <c r="BF10" s="8">
        <v>15578120.989999998</v>
      </c>
      <c r="BJ10" s="4" t="s">
        <v>109</v>
      </c>
      <c r="BK10" s="12">
        <v>57516.420039682511</v>
      </c>
      <c r="BM10" s="4" t="s">
        <v>93</v>
      </c>
      <c r="BN10" s="13">
        <v>10.198019801980198</v>
      </c>
      <c r="BP10" s="12"/>
    </row>
    <row r="11" spans="2:68" x14ac:dyDescent="0.3">
      <c r="B11" t="s">
        <v>4093</v>
      </c>
      <c r="E11" s="4" t="s">
        <v>59</v>
      </c>
      <c r="F11" s="8">
        <v>29299109.510000013</v>
      </c>
      <c r="H11" s="4" t="s">
        <v>59</v>
      </c>
      <c r="I11" s="8">
        <v>26203651.780000012</v>
      </c>
      <c r="K11" s="4" t="s">
        <v>31</v>
      </c>
      <c r="L11" s="8">
        <v>35060533.290000021</v>
      </c>
      <c r="X11" s="4" t="s">
        <v>99</v>
      </c>
      <c r="Y11">
        <v>912</v>
      </c>
      <c r="AA11" s="4" t="s">
        <v>152</v>
      </c>
      <c r="AB11" s="13">
        <v>10.509554140127388</v>
      </c>
      <c r="AE11" s="4" t="s">
        <v>56</v>
      </c>
      <c r="AF11" s="8">
        <v>36967778.25</v>
      </c>
      <c r="AI11" s="4" t="s">
        <v>56</v>
      </c>
      <c r="AJ11">
        <v>3431</v>
      </c>
      <c r="AN11" s="4" t="s">
        <v>81</v>
      </c>
      <c r="AO11" s="13">
        <v>9.7540983606557372</v>
      </c>
      <c r="AS11" s="4" t="s">
        <v>45</v>
      </c>
      <c r="AT11" s="8">
        <v>30511480.289999984</v>
      </c>
      <c r="AV11" s="4" t="s">
        <v>71</v>
      </c>
      <c r="AW11">
        <v>2557</v>
      </c>
      <c r="BA11" s="4" t="s">
        <v>20</v>
      </c>
      <c r="BB11" s="13">
        <v>10.304259634888439</v>
      </c>
      <c r="BE11" s="4" t="s">
        <v>114</v>
      </c>
      <c r="BF11" s="8">
        <v>16077728.430000009</v>
      </c>
      <c r="BJ11" s="4" t="s">
        <v>33</v>
      </c>
      <c r="BK11" s="12">
        <v>56854.456167883203</v>
      </c>
      <c r="BM11" s="4" t="s">
        <v>23</v>
      </c>
      <c r="BN11" s="13">
        <v>10.247148288973383</v>
      </c>
      <c r="BP11" s="12"/>
    </row>
    <row r="12" spans="2:68" x14ac:dyDescent="0.3">
      <c r="B12" s="9">
        <v>9.9574999999999996</v>
      </c>
      <c r="C12" s="10">
        <f>GETPIVOTDATA("Discount_%",$B$12)</f>
        <v>9.9574999999999996</v>
      </c>
      <c r="E12" s="4" t="s">
        <v>66</v>
      </c>
      <c r="F12" s="8">
        <v>34563267.439999998</v>
      </c>
      <c r="H12" s="4" t="s">
        <v>66</v>
      </c>
      <c r="I12" s="8">
        <v>31079733.579999994</v>
      </c>
      <c r="X12" s="4" t="s">
        <v>80</v>
      </c>
      <c r="Y12">
        <v>895</v>
      </c>
      <c r="AA12" s="4" t="s">
        <v>35</v>
      </c>
      <c r="AB12" s="13">
        <v>10.5625</v>
      </c>
      <c r="AS12" s="4" t="s">
        <v>31</v>
      </c>
      <c r="AT12" s="8">
        <v>31672973.010000028</v>
      </c>
      <c r="AV12" s="4" t="s">
        <v>40</v>
      </c>
      <c r="AW12">
        <v>2546</v>
      </c>
      <c r="BA12" s="4" t="s">
        <v>82</v>
      </c>
      <c r="BB12" s="13">
        <v>10.328185328185327</v>
      </c>
      <c r="BE12" s="4" t="s">
        <v>43</v>
      </c>
      <c r="BF12" s="8">
        <v>16923734.399999984</v>
      </c>
      <c r="BJ12" s="4" t="s">
        <v>74</v>
      </c>
      <c r="BK12" s="12">
        <v>55483.622071713144</v>
      </c>
      <c r="BM12" s="4" t="s">
        <v>53</v>
      </c>
      <c r="BN12" s="13">
        <v>10.268817204301076</v>
      </c>
      <c r="BP12" s="12"/>
    </row>
    <row r="13" spans="2:68" x14ac:dyDescent="0.3">
      <c r="E13" s="4" t="s">
        <v>18</v>
      </c>
      <c r="F13" s="8">
        <v>56875650.800000034</v>
      </c>
      <c r="H13" s="4" t="s">
        <v>18</v>
      </c>
      <c r="I13" s="8">
        <v>52092048.899999999</v>
      </c>
      <c r="X13" s="4" t="s">
        <v>91</v>
      </c>
      <c r="Y13">
        <v>892</v>
      </c>
      <c r="AA13" s="4" t="s">
        <v>59</v>
      </c>
      <c r="AB13" s="13">
        <v>10.871794871794872</v>
      </c>
      <c r="BE13" s="4" t="s">
        <v>93</v>
      </c>
      <c r="BF13" s="8">
        <v>17732962.829999998</v>
      </c>
      <c r="BJ13" s="4" t="s">
        <v>29</v>
      </c>
      <c r="BK13" s="12">
        <v>54755.266914062486</v>
      </c>
      <c r="BM13" s="4" t="s">
        <v>109</v>
      </c>
      <c r="BN13" s="13">
        <v>10.575396825396826</v>
      </c>
      <c r="BP13" s="12"/>
    </row>
    <row r="14" spans="2:68" x14ac:dyDescent="0.3">
      <c r="B14" s="8" t="s">
        <v>4094</v>
      </c>
      <c r="AA14" s="4" t="s">
        <v>77</v>
      </c>
      <c r="AB14" s="13">
        <v>10.974025974025974</v>
      </c>
      <c r="BJ14" s="4" t="s">
        <v>38</v>
      </c>
      <c r="BK14" s="12">
        <v>54396.765648854976</v>
      </c>
      <c r="BM14" s="4" t="s">
        <v>61</v>
      </c>
      <c r="BN14" s="13">
        <v>10.722222222222221</v>
      </c>
      <c r="BP14" s="12"/>
    </row>
    <row r="15" spans="2:68" x14ac:dyDescent="0.3">
      <c r="B15" s="8">
        <v>23778681.950000055</v>
      </c>
      <c r="C15" s="8">
        <f>GETPIVOTDATA("Discount_Amount",$B$15)</f>
        <v>23778681.950000055</v>
      </c>
      <c r="BP15" s="12"/>
    </row>
    <row r="16" spans="2:68" x14ac:dyDescent="0.3">
      <c r="BO16" s="8"/>
      <c r="BP16" s="12"/>
    </row>
    <row r="17" spans="67:68" x14ac:dyDescent="0.3">
      <c r="BO17" s="8"/>
      <c r="BP17" s="12"/>
    </row>
    <row r="18" spans="67:68" x14ac:dyDescent="0.3">
      <c r="BO18" s="8"/>
      <c r="BP18" s="12"/>
    </row>
  </sheetData>
  <pageMargins left="0.7" right="0.7" top="0.75" bottom="0.75" header="0.3" footer="0.3"/>
  <pageSetup orientation="portrait" r:id="rId20"/>
  <drawing r:id="rId21"/>
  <extLst>
    <ext xmlns:x14="http://schemas.microsoft.com/office/spreadsheetml/2009/9/main" uri="{A8765BA9-456A-4dab-B4F3-ACF838C121DE}">
      <x14:slicerList>
        <x14:slicer r:id="rId2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15AD-B344-4DD1-8510-041A8226F5AE}">
  <dimension ref="AI15"/>
  <sheetViews>
    <sheetView showGridLines="0" zoomScale="54" zoomScaleNormal="37" workbookViewId="0">
      <selection activeCell="AE10" sqref="AE10"/>
    </sheetView>
  </sheetViews>
  <sheetFormatPr defaultRowHeight="14.4" x14ac:dyDescent="0.3"/>
  <sheetData>
    <row r="15" spans="35:35" x14ac:dyDescent="0.3">
      <c r="AI15" t="s">
        <v>4101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7D0A4-2474-4CB3-9630-B7516BD6233A}">
  <dimension ref="A1"/>
  <sheetViews>
    <sheetView showGridLines="0" zoomScale="51" zoomScaleNormal="70" workbookViewId="0">
      <selection activeCell="AD9" sqref="AD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E3295-0656-4843-9247-48200DE96FB9}">
  <dimension ref="A1"/>
  <sheetViews>
    <sheetView showGridLines="0" zoomScale="55" zoomScaleNormal="40" workbookViewId="0">
      <selection activeCell="AJ20" sqref="AJ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ED57D-860A-46AC-9C2E-1E6033C96A89}">
  <dimension ref="A1:A2"/>
  <sheetViews>
    <sheetView showGridLines="0" zoomScale="53" zoomScaleNormal="58" workbookViewId="0">
      <selection activeCell="AD7" sqref="AD7"/>
    </sheetView>
  </sheetViews>
  <sheetFormatPr defaultRowHeight="14.4" x14ac:dyDescent="0.3"/>
  <sheetData>
    <row r="1" customFormat="1" x14ac:dyDescent="0.3"/>
    <row r="2"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8BC95-E396-49FE-94E7-5F5D2D595B00}">
  <dimension ref="A1"/>
  <sheetViews>
    <sheetView showGridLines="0" tabSelected="1" zoomScale="56" zoomScaleNormal="90" workbookViewId="0">
      <selection activeCell="AD9" sqref="AD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pivot table</vt:lpstr>
      <vt:lpstr>Overview</vt:lpstr>
      <vt:lpstr>Product Performance</vt:lpstr>
      <vt:lpstr>Store Analysis</vt:lpstr>
      <vt:lpstr>Sales Team Performance</vt:lpstr>
      <vt:lpstr>Customer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shivamsudha546@gmail.com</dc:creator>
  <cp:lastModifiedBy>shivamsudha546@gmail.com</cp:lastModifiedBy>
  <dcterms:created xsi:type="dcterms:W3CDTF">2026-05-07T09:52:04Z</dcterms:created>
  <dcterms:modified xsi:type="dcterms:W3CDTF">2026-05-21T17:42:58Z</dcterms:modified>
</cp:coreProperties>
</file>